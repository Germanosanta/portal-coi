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3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4.xml" ContentType="application/vnd.openxmlformats-officedocument.drawing+xml"/>
  <Override PartName="/xl/slicers/slicer2.xml" ContentType="application/vnd.ms-excel.slicer+xml"/>
  <Override PartName="/xl/drawings/drawing75.xml" ContentType="application/vnd.openxmlformats-officedocument.drawing+xml"/>
  <Override PartName="/xl/slicers/slicer3.xml" ContentType="application/vnd.ms-excel.slicer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Novo Atualizado/"/>
    </mc:Choice>
  </mc:AlternateContent>
  <xr:revisionPtr revIDLastSave="358" documentId="6_{EB04144F-7BAF-44CC-BEF2-26A403A1EC90}" xr6:coauthVersionLast="47" xr6:coauthVersionMax="47" xr10:uidLastSave="{276C5E18-3291-4AE3-825C-6B39E2EFCB6C}"/>
  <bookViews>
    <workbookView xWindow="-28920" yWindow="-4710" windowWidth="29040" windowHeight="15840" tabRatio="781" firstSheet="62" activeTab="72" xr2:uid="{BD5C5A8C-1367-44D9-856B-9E5869C29C53}"/>
  </bookViews>
  <sheets>
    <sheet name="Acumulado" sheetId="3" r:id="rId1"/>
    <sheet name="21 02 2022" sheetId="1" r:id="rId2"/>
    <sheet name="28 02 2022" sheetId="4" r:id="rId3"/>
    <sheet name="07 03 2022" sheetId="5" r:id="rId4"/>
    <sheet name="14 03 2022" sheetId="6" r:id="rId5"/>
    <sheet name="21 03 2022" sheetId="7" r:id="rId6"/>
    <sheet name="28 03 2022" sheetId="8" r:id="rId7"/>
    <sheet name="04 04 2022" sheetId="9" r:id="rId8"/>
    <sheet name="11 04 2022" sheetId="10" r:id="rId9"/>
    <sheet name="18 04 2022" sheetId="11" r:id="rId10"/>
    <sheet name="25 04 2022" sheetId="12" r:id="rId11"/>
    <sheet name="02 05 2022" sheetId="13" r:id="rId12"/>
    <sheet name="09 05 2022" sheetId="14" r:id="rId13"/>
    <sheet name="16 05 2022 " sheetId="15" r:id="rId14"/>
    <sheet name="23 05 2022 " sheetId="16" r:id="rId15"/>
    <sheet name="30 05 2022 " sheetId="17" r:id="rId16"/>
    <sheet name="06 06 2022  " sheetId="18" r:id="rId17"/>
    <sheet name="13 06 2022  " sheetId="19" r:id="rId18"/>
    <sheet name="20 06 2022  " sheetId="20" r:id="rId19"/>
    <sheet name="27 06 2022   " sheetId="21" r:id="rId20"/>
    <sheet name="04 07 2022    " sheetId="22" r:id="rId21"/>
    <sheet name="11 07 2022     " sheetId="47" r:id="rId22"/>
    <sheet name="18 07 2022    " sheetId="48" r:id="rId23"/>
    <sheet name="25 07 2022  " sheetId="49" r:id="rId24"/>
    <sheet name="01 08 2022   " sheetId="50" r:id="rId25"/>
    <sheet name="08 08 2022    " sheetId="51" r:id="rId26"/>
    <sheet name="15 08 2022     " sheetId="52" r:id="rId27"/>
    <sheet name="22 08 2022      " sheetId="53" r:id="rId28"/>
    <sheet name="29 08 2022       " sheetId="54" r:id="rId29"/>
    <sheet name="05 09 2022        " sheetId="55" r:id="rId30"/>
    <sheet name="12 09 2022         " sheetId="56" r:id="rId31"/>
    <sheet name="19 09 2022         " sheetId="57" r:id="rId32"/>
    <sheet name="26 09 2022          " sheetId="58" r:id="rId33"/>
    <sheet name="03 10 2022           " sheetId="59" r:id="rId34"/>
    <sheet name="10 10 2022            " sheetId="60" r:id="rId35"/>
    <sheet name="17 10 2022           " sheetId="61" r:id="rId36"/>
    <sheet name="24 10 2022" sheetId="62" r:id="rId37"/>
    <sheet name="31 10 2022" sheetId="63" r:id="rId38"/>
    <sheet name="07 11 2022" sheetId="64" r:id="rId39"/>
    <sheet name="14 11 2022" sheetId="65" r:id="rId40"/>
    <sheet name="28 11 2022" sheetId="73" r:id="rId41"/>
    <sheet name="05 12 2022" sheetId="66" r:id="rId42"/>
    <sheet name="02 01 2023" sheetId="67" r:id="rId43"/>
    <sheet name="16 01 2023" sheetId="68" r:id="rId44"/>
    <sheet name="23 01 2023" sheetId="74" r:id="rId45"/>
    <sheet name="30 01 2023" sheetId="69" r:id="rId46"/>
    <sheet name="06 02 2023" sheetId="70" r:id="rId47"/>
    <sheet name="13 02 2023" sheetId="71" r:id="rId48"/>
    <sheet name="20 02 2023" sheetId="72" r:id="rId49"/>
    <sheet name="27 02 2023" sheetId="75" r:id="rId50"/>
    <sheet name="06 03 2023" sheetId="76" r:id="rId51"/>
    <sheet name="13 03 2023" sheetId="77" r:id="rId52"/>
    <sheet name="20 03 2023" sheetId="78" r:id="rId53"/>
    <sheet name="27 03 2023" sheetId="79" r:id="rId54"/>
    <sheet name="03 04 2023" sheetId="80" r:id="rId55"/>
    <sheet name="10 04 2023" sheetId="81" r:id="rId56"/>
    <sheet name="17 04 2023" sheetId="83" r:id="rId57"/>
    <sheet name="24 04 2023" sheetId="84" r:id="rId58"/>
    <sheet name="01 05 2023" sheetId="85" r:id="rId59"/>
    <sheet name="08 05 2023" sheetId="86" r:id="rId60"/>
    <sheet name="15 05 2023" sheetId="87" r:id="rId61"/>
    <sheet name="22 05 2023" sheetId="88" r:id="rId62"/>
    <sheet name="29 05 2023" sheetId="89" r:id="rId63"/>
    <sheet name="05 06 2023" sheetId="90" r:id="rId64"/>
    <sheet name="12 06 2023" sheetId="91" r:id="rId65"/>
    <sheet name="19 06 2023" sheetId="92" r:id="rId66"/>
    <sheet name="26 06 2023" sheetId="93" r:id="rId67"/>
    <sheet name="03 07 2023" sheetId="94" r:id="rId68"/>
    <sheet name="10 07 2023" sheetId="95" r:id="rId69"/>
    <sheet name="17 07 2023" sheetId="96" r:id="rId70"/>
    <sheet name="24 07 2023" sheetId="97" r:id="rId71"/>
    <sheet name="31 07 2023" sheetId="98" r:id="rId72"/>
    <sheet name="Base de Dados" sheetId="23" r:id="rId73"/>
    <sheet name="Analise Semanal" sheetId="43" r:id="rId74"/>
    <sheet name="Analise Anual" sheetId="44" r:id="rId75"/>
    <sheet name="Dashboard Indicadores" sheetId="46" r:id="rId76"/>
  </sheets>
  <definedNames>
    <definedName name="_xlnm._FilterDatabase" localSheetId="56" hidden="1">'17 04 2023'!$B$4:$H$109</definedName>
    <definedName name="DadosExternos_1" localSheetId="72" hidden="1">'Base de Dados'!$A$1:$D$1064</definedName>
    <definedName name="SegmentaçãodeDados_Ano">#N/A</definedName>
    <definedName name="SegmentaçãodeDados_Periodo">#N/A</definedName>
    <definedName name="SegmentaçãodeDados_Semana">#N/A</definedName>
  </definedNames>
  <calcPr calcId="181029"/>
  <pivotCaches>
    <pivotCache cacheId="2" r:id="rId77"/>
  </pivotCaches>
  <extLst>
    <ext xmlns:x14="http://schemas.microsoft.com/office/spreadsheetml/2009/9/main" uri="{BBE1A952-AA13-448e-AADC-164F8A28A991}">
      <x14:slicerCaches>
        <x14:slicerCache r:id="rId78"/>
        <x14:slicerCache r:id="rId79"/>
        <x14:slicerCache r:id="rId8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7" i="23" l="1"/>
  <c r="E1048" i="23"/>
  <c r="E1049" i="23"/>
  <c r="E1050" i="23"/>
  <c r="E1051" i="23"/>
  <c r="E1052" i="23"/>
  <c r="E1053" i="23"/>
  <c r="E1054" i="23"/>
  <c r="E1055" i="23"/>
  <c r="E1056" i="23"/>
  <c r="E1057" i="23"/>
  <c r="E1058" i="23"/>
  <c r="E1059" i="23"/>
  <c r="E1060" i="23"/>
  <c r="E1061" i="23"/>
  <c r="E1062" i="23"/>
  <c r="E1063" i="23"/>
  <c r="E1064" i="23"/>
  <c r="F1047" i="23"/>
  <c r="F1048" i="23"/>
  <c r="F1049" i="23"/>
  <c r="F1050" i="23"/>
  <c r="F1051" i="23"/>
  <c r="F1052" i="23"/>
  <c r="F1053" i="23"/>
  <c r="F1054" i="23"/>
  <c r="F1055" i="23"/>
  <c r="F1056" i="23"/>
  <c r="F1057" i="23"/>
  <c r="F1058" i="23"/>
  <c r="F1059" i="23"/>
  <c r="F1060" i="23"/>
  <c r="F1061" i="23"/>
  <c r="F1062" i="23"/>
  <c r="F1063" i="23"/>
  <c r="F1064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K22" i="98"/>
  <c r="K21" i="98"/>
  <c r="K20" i="98"/>
  <c r="K19" i="98"/>
  <c r="K18" i="98"/>
  <c r="K17" i="98"/>
  <c r="K16" i="98"/>
  <c r="K15" i="98"/>
  <c r="K14" i="98"/>
  <c r="K13" i="98"/>
  <c r="K12" i="98"/>
  <c r="K11" i="98"/>
  <c r="K10" i="98"/>
  <c r="K9" i="98"/>
  <c r="K8" i="98"/>
  <c r="K7" i="98"/>
  <c r="K6" i="98"/>
  <c r="M5" i="98"/>
  <c r="K5" i="98"/>
  <c r="B4" i="98"/>
  <c r="C3" i="98"/>
  <c r="D3" i="98" s="1"/>
  <c r="E1029" i="23"/>
  <c r="E1030" i="23"/>
  <c r="E1031" i="23"/>
  <c r="E1032" i="23"/>
  <c r="E1033" i="23"/>
  <c r="E1034" i="23"/>
  <c r="E1035" i="23"/>
  <c r="E1036" i="23"/>
  <c r="E1037" i="23"/>
  <c r="E1038" i="23"/>
  <c r="E1039" i="23"/>
  <c r="E1040" i="23"/>
  <c r="E1041" i="23"/>
  <c r="E1042" i="23"/>
  <c r="E1043" i="23"/>
  <c r="E1044" i="23"/>
  <c r="E1045" i="23"/>
  <c r="E1046" i="23"/>
  <c r="F1029" i="23"/>
  <c r="F1030" i="23"/>
  <c r="F1031" i="23"/>
  <c r="F1032" i="23"/>
  <c r="F1033" i="23"/>
  <c r="F1034" i="23"/>
  <c r="F1035" i="23"/>
  <c r="F1036" i="23"/>
  <c r="F1037" i="23"/>
  <c r="F1038" i="23"/>
  <c r="F1039" i="23"/>
  <c r="F1040" i="23"/>
  <c r="F1041" i="23"/>
  <c r="F1042" i="23"/>
  <c r="F1043" i="23"/>
  <c r="F1044" i="23"/>
  <c r="F1045" i="23"/>
  <c r="F1046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K22" i="97"/>
  <c r="K21" i="97"/>
  <c r="K20" i="97"/>
  <c r="K19" i="97"/>
  <c r="K18" i="97"/>
  <c r="K17" i="97"/>
  <c r="K16" i="97"/>
  <c r="K15" i="97"/>
  <c r="K14" i="97"/>
  <c r="K13" i="97"/>
  <c r="K12" i="97"/>
  <c r="K11" i="97"/>
  <c r="K10" i="97"/>
  <c r="K9" i="97"/>
  <c r="K8" i="97"/>
  <c r="K7" i="97"/>
  <c r="K6" i="97"/>
  <c r="M5" i="97"/>
  <c r="K5" i="97"/>
  <c r="B4" i="97"/>
  <c r="C3" i="97"/>
  <c r="D3" i="97" s="1"/>
  <c r="E1011" i="23"/>
  <c r="E1012" i="23"/>
  <c r="E1013" i="23"/>
  <c r="E1014" i="23"/>
  <c r="E1015" i="23"/>
  <c r="E1016" i="23"/>
  <c r="E1017" i="23"/>
  <c r="E1018" i="23"/>
  <c r="E1019" i="23"/>
  <c r="E1020" i="23"/>
  <c r="E1021" i="23"/>
  <c r="E1022" i="23"/>
  <c r="E1023" i="23"/>
  <c r="E1024" i="23"/>
  <c r="E1025" i="23"/>
  <c r="E1026" i="23"/>
  <c r="E1027" i="23"/>
  <c r="E1028" i="23"/>
  <c r="F1011" i="23"/>
  <c r="F1012" i="23"/>
  <c r="F1013" i="23"/>
  <c r="F1014" i="23"/>
  <c r="F1015" i="23"/>
  <c r="F1016" i="23"/>
  <c r="F1017" i="23"/>
  <c r="F1018" i="23"/>
  <c r="F1019" i="23"/>
  <c r="F1020" i="23"/>
  <c r="F1021" i="23"/>
  <c r="F1022" i="23"/>
  <c r="F1023" i="23"/>
  <c r="F1024" i="23"/>
  <c r="F1025" i="23"/>
  <c r="F1026" i="23"/>
  <c r="F1027" i="23"/>
  <c r="F1028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K22" i="96"/>
  <c r="K21" i="96"/>
  <c r="K20" i="96"/>
  <c r="K19" i="96"/>
  <c r="K18" i="96"/>
  <c r="K17" i="96"/>
  <c r="K16" i="96"/>
  <c r="K15" i="96"/>
  <c r="K14" i="96"/>
  <c r="K13" i="96"/>
  <c r="K12" i="96"/>
  <c r="K11" i="96"/>
  <c r="K10" i="96"/>
  <c r="K9" i="96"/>
  <c r="K8" i="96"/>
  <c r="K7" i="96"/>
  <c r="K6" i="96"/>
  <c r="M5" i="96"/>
  <c r="K5" i="96"/>
  <c r="B4" i="96"/>
  <c r="C3" i="96"/>
  <c r="D3" i="96" s="1"/>
  <c r="E993" i="23"/>
  <c r="E994" i="23"/>
  <c r="E995" i="23"/>
  <c r="E996" i="23"/>
  <c r="E997" i="23"/>
  <c r="E998" i="23"/>
  <c r="E999" i="23"/>
  <c r="E1000" i="23"/>
  <c r="E1001" i="23"/>
  <c r="E1002" i="23"/>
  <c r="E1003" i="23"/>
  <c r="E1004" i="23"/>
  <c r="E1005" i="23"/>
  <c r="E1006" i="23"/>
  <c r="E1007" i="23"/>
  <c r="E1008" i="23"/>
  <c r="E1009" i="23"/>
  <c r="E1010" i="23"/>
  <c r="F993" i="23"/>
  <c r="F994" i="23"/>
  <c r="F995" i="23"/>
  <c r="F996" i="23"/>
  <c r="F997" i="23"/>
  <c r="F998" i="23"/>
  <c r="F999" i="23"/>
  <c r="F1000" i="23"/>
  <c r="F1001" i="23"/>
  <c r="F1002" i="23"/>
  <c r="F1003" i="23"/>
  <c r="F1004" i="23"/>
  <c r="F1005" i="23"/>
  <c r="F1006" i="23"/>
  <c r="F1007" i="23"/>
  <c r="F1008" i="23"/>
  <c r="F1009" i="23"/>
  <c r="F1010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K22" i="95"/>
  <c r="K21" i="95"/>
  <c r="K20" i="95"/>
  <c r="K19" i="95"/>
  <c r="K18" i="95"/>
  <c r="K17" i="95"/>
  <c r="K16" i="95"/>
  <c r="K15" i="95"/>
  <c r="K14" i="95"/>
  <c r="K13" i="95"/>
  <c r="K12" i="95"/>
  <c r="K11" i="95"/>
  <c r="K10" i="95"/>
  <c r="K9" i="95"/>
  <c r="K8" i="95"/>
  <c r="K7" i="95"/>
  <c r="K6" i="95"/>
  <c r="M5" i="95"/>
  <c r="K5" i="95"/>
  <c r="B4" i="95"/>
  <c r="C3" i="95"/>
  <c r="D3" i="95" s="1"/>
  <c r="C4" i="98" l="1"/>
  <c r="E3" i="98"/>
  <c r="D4" i="98"/>
  <c r="K23" i="98"/>
  <c r="L15" i="98" s="1"/>
  <c r="C4" i="97"/>
  <c r="K23" i="97"/>
  <c r="L21" i="97" s="1"/>
  <c r="E3" i="97"/>
  <c r="D4" i="97"/>
  <c r="E3" i="96"/>
  <c r="D4" i="96"/>
  <c r="C4" i="96"/>
  <c r="K23" i="96"/>
  <c r="L23" i="96" s="1"/>
  <c r="K23" i="95"/>
  <c r="L16" i="95" s="1"/>
  <c r="E3" i="95"/>
  <c r="D4" i="95"/>
  <c r="C4" i="95"/>
  <c r="L22" i="98" l="1"/>
  <c r="L14" i="98"/>
  <c r="F3" i="98"/>
  <c r="E4" i="98"/>
  <c r="L6" i="98"/>
  <c r="L18" i="98"/>
  <c r="L21" i="98"/>
  <c r="L10" i="98"/>
  <c r="L13" i="98"/>
  <c r="L9" i="98"/>
  <c r="L5" i="98"/>
  <c r="L17" i="98"/>
  <c r="L19" i="98"/>
  <c r="L23" i="98"/>
  <c r="L20" i="98"/>
  <c r="L16" i="98"/>
  <c r="L12" i="98"/>
  <c r="L8" i="98"/>
  <c r="L11" i="98"/>
  <c r="L7" i="98"/>
  <c r="L11" i="97"/>
  <c r="L19" i="97"/>
  <c r="L15" i="97"/>
  <c r="L22" i="97"/>
  <c r="L16" i="97"/>
  <c r="L6" i="97"/>
  <c r="L5" i="97"/>
  <c r="L8" i="97"/>
  <c r="L9" i="97"/>
  <c r="L23" i="97"/>
  <c r="L20" i="97"/>
  <c r="L18" i="97"/>
  <c r="L14" i="97"/>
  <c r="L13" i="97"/>
  <c r="L12" i="97"/>
  <c r="L10" i="97"/>
  <c r="L7" i="97"/>
  <c r="L17" i="97"/>
  <c r="E4" i="97"/>
  <c r="F3" i="97"/>
  <c r="L15" i="96"/>
  <c r="L18" i="96"/>
  <c r="L22" i="96"/>
  <c r="L20" i="96"/>
  <c r="L10" i="96"/>
  <c r="L16" i="96"/>
  <c r="L5" i="96"/>
  <c r="F3" i="96"/>
  <c r="E4" i="96"/>
  <c r="L21" i="96"/>
  <c r="L19" i="96"/>
  <c r="L13" i="96"/>
  <c r="L11" i="96"/>
  <c r="L17" i="96"/>
  <c r="L14" i="96"/>
  <c r="L12" i="96"/>
  <c r="L6" i="96"/>
  <c r="L9" i="96"/>
  <c r="L8" i="96"/>
  <c r="L7" i="96"/>
  <c r="L9" i="95"/>
  <c r="L14" i="95"/>
  <c r="L18" i="95"/>
  <c r="L8" i="95"/>
  <c r="L23" i="95"/>
  <c r="L7" i="95"/>
  <c r="L20" i="95"/>
  <c r="L10" i="95"/>
  <c r="L21" i="95"/>
  <c r="L13" i="95"/>
  <c r="L22" i="95"/>
  <c r="L5" i="95"/>
  <c r="L17" i="95"/>
  <c r="L6" i="95"/>
  <c r="L19" i="95"/>
  <c r="L15" i="95"/>
  <c r="L12" i="95"/>
  <c r="L11" i="95"/>
  <c r="F3" i="95"/>
  <c r="E4" i="95"/>
  <c r="F4" i="98" l="1"/>
  <c r="G3" i="98"/>
  <c r="F4" i="97"/>
  <c r="G3" i="97"/>
  <c r="F4" i="96"/>
  <c r="G3" i="96"/>
  <c r="F4" i="95"/>
  <c r="G3" i="95"/>
  <c r="G4" i="98" l="1"/>
  <c r="H3" i="98"/>
  <c r="H4" i="98" s="1"/>
  <c r="H3" i="97"/>
  <c r="H4" i="97" s="1"/>
  <c r="G4" i="97"/>
  <c r="G4" i="96"/>
  <c r="H3" i="96"/>
  <c r="H4" i="96" s="1"/>
  <c r="G4" i="95"/>
  <c r="H3" i="95"/>
  <c r="H4" i="95" s="1"/>
  <c r="E975" i="23" l="1"/>
  <c r="E976" i="23"/>
  <c r="E977" i="23"/>
  <c r="E978" i="23"/>
  <c r="E979" i="23"/>
  <c r="E980" i="23"/>
  <c r="E981" i="23"/>
  <c r="E982" i="23"/>
  <c r="E983" i="23"/>
  <c r="E984" i="23"/>
  <c r="E985" i="23"/>
  <c r="E986" i="23"/>
  <c r="E987" i="23"/>
  <c r="E988" i="23"/>
  <c r="E989" i="23"/>
  <c r="E990" i="23"/>
  <c r="E991" i="23"/>
  <c r="E992" i="23"/>
  <c r="F975" i="23"/>
  <c r="F976" i="23"/>
  <c r="F977" i="23"/>
  <c r="F978" i="23"/>
  <c r="F979" i="23"/>
  <c r="F980" i="23"/>
  <c r="F981" i="23"/>
  <c r="F982" i="23"/>
  <c r="F983" i="23"/>
  <c r="F984" i="23"/>
  <c r="F985" i="23"/>
  <c r="F986" i="23"/>
  <c r="F987" i="23"/>
  <c r="F988" i="23"/>
  <c r="F989" i="23"/>
  <c r="F990" i="23"/>
  <c r="F991" i="23"/>
  <c r="F992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K22" i="94"/>
  <c r="K21" i="94"/>
  <c r="K20" i="94"/>
  <c r="K19" i="94"/>
  <c r="K18" i="94"/>
  <c r="K17" i="94"/>
  <c r="K16" i="94"/>
  <c r="K15" i="94"/>
  <c r="K14" i="94"/>
  <c r="K13" i="94"/>
  <c r="K12" i="94"/>
  <c r="K11" i="94"/>
  <c r="K10" i="94"/>
  <c r="K9" i="94"/>
  <c r="K8" i="94"/>
  <c r="K7" i="94"/>
  <c r="K6" i="94"/>
  <c r="M5" i="94"/>
  <c r="K5" i="94"/>
  <c r="B4" i="94"/>
  <c r="C3" i="94"/>
  <c r="D3" i="94" s="1"/>
  <c r="E957" i="23"/>
  <c r="E958" i="23"/>
  <c r="E959" i="23"/>
  <c r="E960" i="23"/>
  <c r="E961" i="23"/>
  <c r="E962" i="23"/>
  <c r="E963" i="23"/>
  <c r="E964" i="23"/>
  <c r="E965" i="23"/>
  <c r="E966" i="23"/>
  <c r="E967" i="23"/>
  <c r="E968" i="23"/>
  <c r="E969" i="23"/>
  <c r="E970" i="23"/>
  <c r="E971" i="23"/>
  <c r="E972" i="23"/>
  <c r="E973" i="23"/>
  <c r="E974" i="23"/>
  <c r="F957" i="23"/>
  <c r="F958" i="23"/>
  <c r="F959" i="23"/>
  <c r="F960" i="23"/>
  <c r="F961" i="23"/>
  <c r="F962" i="23"/>
  <c r="F963" i="23"/>
  <c r="F964" i="23"/>
  <c r="F965" i="23"/>
  <c r="F966" i="23"/>
  <c r="F967" i="23"/>
  <c r="F968" i="23"/>
  <c r="F969" i="23"/>
  <c r="F970" i="23"/>
  <c r="F971" i="23"/>
  <c r="F972" i="23"/>
  <c r="F973" i="23"/>
  <c r="F974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K22" i="93"/>
  <c r="K21" i="93"/>
  <c r="K20" i="93"/>
  <c r="K19" i="93"/>
  <c r="K18" i="93"/>
  <c r="K17" i="93"/>
  <c r="K16" i="93"/>
  <c r="K15" i="93"/>
  <c r="K14" i="93"/>
  <c r="K13" i="93"/>
  <c r="K12" i="93"/>
  <c r="K11" i="93"/>
  <c r="K10" i="93"/>
  <c r="K9" i="93"/>
  <c r="K8" i="93"/>
  <c r="K7" i="93"/>
  <c r="K6" i="93"/>
  <c r="M5" i="93"/>
  <c r="K5" i="93"/>
  <c r="B4" i="93"/>
  <c r="C3" i="93"/>
  <c r="D3" i="93" s="1"/>
  <c r="E939" i="23"/>
  <c r="E940" i="23"/>
  <c r="E941" i="23"/>
  <c r="E942" i="23"/>
  <c r="E943" i="23"/>
  <c r="E944" i="23"/>
  <c r="E945" i="23"/>
  <c r="E946" i="23"/>
  <c r="E947" i="23"/>
  <c r="E948" i="23"/>
  <c r="E949" i="23"/>
  <c r="E950" i="23"/>
  <c r="E951" i="23"/>
  <c r="E952" i="23"/>
  <c r="E953" i="23"/>
  <c r="E954" i="23"/>
  <c r="E955" i="23"/>
  <c r="E956" i="23"/>
  <c r="F939" i="23"/>
  <c r="F940" i="23"/>
  <c r="F941" i="23"/>
  <c r="F942" i="23"/>
  <c r="F943" i="23"/>
  <c r="F944" i="23"/>
  <c r="F945" i="23"/>
  <c r="F946" i="23"/>
  <c r="F947" i="23"/>
  <c r="F948" i="23"/>
  <c r="F949" i="23"/>
  <c r="F950" i="23"/>
  <c r="F951" i="23"/>
  <c r="F952" i="23"/>
  <c r="F953" i="23"/>
  <c r="F954" i="23"/>
  <c r="F955" i="23"/>
  <c r="F956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K22" i="92"/>
  <c r="K21" i="92"/>
  <c r="K20" i="92"/>
  <c r="K19" i="92"/>
  <c r="K18" i="92"/>
  <c r="K17" i="92"/>
  <c r="K16" i="92"/>
  <c r="K15" i="92"/>
  <c r="K14" i="92"/>
  <c r="K13" i="92"/>
  <c r="K12" i="92"/>
  <c r="K11" i="92"/>
  <c r="K10" i="92"/>
  <c r="K9" i="92"/>
  <c r="K8" i="92"/>
  <c r="K7" i="92"/>
  <c r="K6" i="92"/>
  <c r="M5" i="92"/>
  <c r="K5" i="92"/>
  <c r="B4" i="92"/>
  <c r="C3" i="92"/>
  <c r="D3" i="92" s="1"/>
  <c r="E921" i="23"/>
  <c r="E922" i="23"/>
  <c r="E923" i="23"/>
  <c r="E924" i="23"/>
  <c r="E925" i="23"/>
  <c r="E926" i="23"/>
  <c r="E927" i="23"/>
  <c r="E928" i="23"/>
  <c r="E929" i="23"/>
  <c r="E930" i="23"/>
  <c r="E931" i="23"/>
  <c r="E932" i="23"/>
  <c r="E933" i="23"/>
  <c r="E934" i="23"/>
  <c r="E935" i="23"/>
  <c r="E936" i="23"/>
  <c r="E937" i="23"/>
  <c r="E938" i="23"/>
  <c r="F921" i="23"/>
  <c r="F922" i="23"/>
  <c r="F923" i="23"/>
  <c r="F924" i="23"/>
  <c r="F925" i="23"/>
  <c r="F926" i="23"/>
  <c r="F927" i="23"/>
  <c r="F928" i="23"/>
  <c r="F929" i="23"/>
  <c r="F930" i="23"/>
  <c r="F931" i="23"/>
  <c r="F932" i="23"/>
  <c r="F933" i="23"/>
  <c r="F934" i="23"/>
  <c r="F935" i="23"/>
  <c r="F936" i="23"/>
  <c r="F937" i="23"/>
  <c r="F938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K22" i="91"/>
  <c r="K21" i="91"/>
  <c r="K20" i="91"/>
  <c r="K19" i="91"/>
  <c r="K18" i="91"/>
  <c r="K17" i="91"/>
  <c r="K16" i="91"/>
  <c r="K15" i="91"/>
  <c r="K14" i="91"/>
  <c r="K13" i="91"/>
  <c r="K12" i="91"/>
  <c r="K11" i="91"/>
  <c r="K10" i="91"/>
  <c r="K9" i="91"/>
  <c r="K8" i="91"/>
  <c r="K7" i="91"/>
  <c r="K6" i="91"/>
  <c r="M5" i="91"/>
  <c r="K5" i="91"/>
  <c r="B4" i="91"/>
  <c r="C3" i="91"/>
  <c r="D3" i="91" s="1"/>
  <c r="E920" i="23"/>
  <c r="F920" i="23"/>
  <c r="G920" i="23"/>
  <c r="K21" i="90"/>
  <c r="K20" i="90"/>
  <c r="K22" i="90"/>
  <c r="K19" i="90"/>
  <c r="K18" i="90"/>
  <c r="K17" i="90"/>
  <c r="K16" i="90"/>
  <c r="K15" i="90"/>
  <c r="K14" i="90"/>
  <c r="K13" i="90"/>
  <c r="K12" i="90"/>
  <c r="K11" i="90"/>
  <c r="K10" i="90"/>
  <c r="K9" i="90"/>
  <c r="K8" i="90"/>
  <c r="K7" i="90"/>
  <c r="K6" i="90"/>
  <c r="M5" i="90"/>
  <c r="K5" i="90"/>
  <c r="B4" i="90"/>
  <c r="C3" i="90"/>
  <c r="C4" i="90" s="1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232" i="23"/>
  <c r="F233" i="23"/>
  <c r="F234" i="23"/>
  <c r="F235" i="23"/>
  <c r="F236" i="23"/>
  <c r="F237" i="23"/>
  <c r="F238" i="23"/>
  <c r="F239" i="23"/>
  <c r="F240" i="23"/>
  <c r="F241" i="23"/>
  <c r="F242" i="23"/>
  <c r="F243" i="23"/>
  <c r="F244" i="23"/>
  <c r="F245" i="23"/>
  <c r="F246" i="23"/>
  <c r="F247" i="23"/>
  <c r="F248" i="23"/>
  <c r="F249" i="23"/>
  <c r="F250" i="23"/>
  <c r="F251" i="23"/>
  <c r="F252" i="23"/>
  <c r="F253" i="23"/>
  <c r="F254" i="23"/>
  <c r="F255" i="23"/>
  <c r="F256" i="23"/>
  <c r="F257" i="23"/>
  <c r="F258" i="23"/>
  <c r="F259" i="23"/>
  <c r="F260" i="23"/>
  <c r="F261" i="23"/>
  <c r="F262" i="23"/>
  <c r="F263" i="23"/>
  <c r="F264" i="23"/>
  <c r="F265" i="23"/>
  <c r="F266" i="23"/>
  <c r="F267" i="23"/>
  <c r="F268" i="23"/>
  <c r="F269" i="23"/>
  <c r="F270" i="23"/>
  <c r="F271" i="23"/>
  <c r="F272" i="23"/>
  <c r="F273" i="23"/>
  <c r="F274" i="23"/>
  <c r="F275" i="23"/>
  <c r="F276" i="23"/>
  <c r="F277" i="23"/>
  <c r="F278" i="23"/>
  <c r="F279" i="23"/>
  <c r="F280" i="23"/>
  <c r="F281" i="23"/>
  <c r="F282" i="23"/>
  <c r="F283" i="23"/>
  <c r="F284" i="23"/>
  <c r="F285" i="23"/>
  <c r="F286" i="23"/>
  <c r="F287" i="23"/>
  <c r="F288" i="23"/>
  <c r="F289" i="23"/>
  <c r="F290" i="23"/>
  <c r="F291" i="23"/>
  <c r="F292" i="23"/>
  <c r="F293" i="23"/>
  <c r="F294" i="23"/>
  <c r="F295" i="23"/>
  <c r="F296" i="23"/>
  <c r="F297" i="23"/>
  <c r="F298" i="23"/>
  <c r="F299" i="23"/>
  <c r="F300" i="23"/>
  <c r="F301" i="23"/>
  <c r="F302" i="23"/>
  <c r="F303" i="23"/>
  <c r="F304" i="23"/>
  <c r="F305" i="23"/>
  <c r="F306" i="23"/>
  <c r="F307" i="23"/>
  <c r="F308" i="23"/>
  <c r="F309" i="23"/>
  <c r="F310" i="23"/>
  <c r="F311" i="23"/>
  <c r="F312" i="23"/>
  <c r="F313" i="23"/>
  <c r="F314" i="23"/>
  <c r="F315" i="23"/>
  <c r="F316" i="23"/>
  <c r="F317" i="23"/>
  <c r="F318" i="23"/>
  <c r="F319" i="23"/>
  <c r="F320" i="23"/>
  <c r="F321" i="23"/>
  <c r="F322" i="23"/>
  <c r="F323" i="23"/>
  <c r="F324" i="23"/>
  <c r="F325" i="23"/>
  <c r="F326" i="23"/>
  <c r="F327" i="23"/>
  <c r="F328" i="23"/>
  <c r="F329" i="23"/>
  <c r="F330" i="23"/>
  <c r="F331" i="23"/>
  <c r="F332" i="23"/>
  <c r="F333" i="23"/>
  <c r="F334" i="23"/>
  <c r="F335" i="23"/>
  <c r="F336" i="23"/>
  <c r="F337" i="23"/>
  <c r="F338" i="23"/>
  <c r="F339" i="23"/>
  <c r="F340" i="23"/>
  <c r="F341" i="23"/>
  <c r="F342" i="23"/>
  <c r="F343" i="23"/>
  <c r="F344" i="23"/>
  <c r="F345" i="23"/>
  <c r="F346" i="23"/>
  <c r="F347" i="23"/>
  <c r="F348" i="23"/>
  <c r="F349" i="23"/>
  <c r="F350" i="23"/>
  <c r="F351" i="23"/>
  <c r="F352" i="23"/>
  <c r="F353" i="23"/>
  <c r="F354" i="23"/>
  <c r="F355" i="23"/>
  <c r="F356" i="23"/>
  <c r="F357" i="23"/>
  <c r="F358" i="23"/>
  <c r="F359" i="23"/>
  <c r="F360" i="23"/>
  <c r="F361" i="23"/>
  <c r="F362" i="23"/>
  <c r="F363" i="23"/>
  <c r="F364" i="23"/>
  <c r="F365" i="23"/>
  <c r="F366" i="23"/>
  <c r="F367" i="23"/>
  <c r="F368" i="23"/>
  <c r="F369" i="23"/>
  <c r="F370" i="23"/>
  <c r="F371" i="23"/>
  <c r="F372" i="23"/>
  <c r="F373" i="23"/>
  <c r="F374" i="23"/>
  <c r="F375" i="23"/>
  <c r="F376" i="23"/>
  <c r="F377" i="23"/>
  <c r="F378" i="23"/>
  <c r="F379" i="23"/>
  <c r="F380" i="23"/>
  <c r="F381" i="23"/>
  <c r="F382" i="23"/>
  <c r="F383" i="23"/>
  <c r="F384" i="23"/>
  <c r="F385" i="23"/>
  <c r="F386" i="23"/>
  <c r="F387" i="23"/>
  <c r="F388" i="23"/>
  <c r="F389" i="23"/>
  <c r="F390" i="23"/>
  <c r="F391" i="23"/>
  <c r="F392" i="23"/>
  <c r="F393" i="23"/>
  <c r="F394" i="23"/>
  <c r="F395" i="23"/>
  <c r="F396" i="23"/>
  <c r="F397" i="23"/>
  <c r="F398" i="23"/>
  <c r="F399" i="23"/>
  <c r="F400" i="23"/>
  <c r="F401" i="23"/>
  <c r="F402" i="23"/>
  <c r="F403" i="23"/>
  <c r="F404" i="23"/>
  <c r="F405" i="23"/>
  <c r="F406" i="23"/>
  <c r="F407" i="23"/>
  <c r="F408" i="23"/>
  <c r="F409" i="23"/>
  <c r="F410" i="23"/>
  <c r="F411" i="23"/>
  <c r="F412" i="23"/>
  <c r="F413" i="23"/>
  <c r="F414" i="23"/>
  <c r="F415" i="23"/>
  <c r="F416" i="23"/>
  <c r="F417" i="23"/>
  <c r="F418" i="23"/>
  <c r="F419" i="23"/>
  <c r="F420" i="23"/>
  <c r="F421" i="23"/>
  <c r="F422" i="23"/>
  <c r="F423" i="23"/>
  <c r="F424" i="23"/>
  <c r="F425" i="23"/>
  <c r="F426" i="23"/>
  <c r="F427" i="23"/>
  <c r="F428" i="23"/>
  <c r="F429" i="23"/>
  <c r="F430" i="23"/>
  <c r="F431" i="23"/>
  <c r="F432" i="23"/>
  <c r="F433" i="23"/>
  <c r="F434" i="23"/>
  <c r="F435" i="23"/>
  <c r="F436" i="23"/>
  <c r="F437" i="23"/>
  <c r="F438" i="23"/>
  <c r="F439" i="23"/>
  <c r="F440" i="23"/>
  <c r="F441" i="23"/>
  <c r="F442" i="23"/>
  <c r="F443" i="23"/>
  <c r="F444" i="23"/>
  <c r="F445" i="23"/>
  <c r="F446" i="23"/>
  <c r="F447" i="23"/>
  <c r="F448" i="23"/>
  <c r="F449" i="23"/>
  <c r="F450" i="23"/>
  <c r="F451" i="23"/>
  <c r="F452" i="23"/>
  <c r="F453" i="23"/>
  <c r="F454" i="23"/>
  <c r="F455" i="23"/>
  <c r="F456" i="23"/>
  <c r="F457" i="23"/>
  <c r="F458" i="23"/>
  <c r="F459" i="23"/>
  <c r="F460" i="23"/>
  <c r="F461" i="23"/>
  <c r="F462" i="23"/>
  <c r="F463" i="23"/>
  <c r="F464" i="23"/>
  <c r="F465" i="23"/>
  <c r="F466" i="23"/>
  <c r="F467" i="23"/>
  <c r="F468" i="23"/>
  <c r="F469" i="23"/>
  <c r="F470" i="23"/>
  <c r="F471" i="23"/>
  <c r="F472" i="23"/>
  <c r="F473" i="23"/>
  <c r="F474" i="23"/>
  <c r="F475" i="23"/>
  <c r="F476" i="23"/>
  <c r="F477" i="23"/>
  <c r="F478" i="23"/>
  <c r="F479" i="23"/>
  <c r="F480" i="23"/>
  <c r="F481" i="23"/>
  <c r="F482" i="23"/>
  <c r="F483" i="23"/>
  <c r="F484" i="23"/>
  <c r="F485" i="23"/>
  <c r="F486" i="23"/>
  <c r="F487" i="23"/>
  <c r="F488" i="23"/>
  <c r="F489" i="23"/>
  <c r="F490" i="23"/>
  <c r="F491" i="23"/>
  <c r="F492" i="23"/>
  <c r="F493" i="23"/>
  <c r="F494" i="23"/>
  <c r="F495" i="23"/>
  <c r="F496" i="23"/>
  <c r="F497" i="23"/>
  <c r="F498" i="23"/>
  <c r="F499" i="23"/>
  <c r="F500" i="23"/>
  <c r="F501" i="23"/>
  <c r="F502" i="23"/>
  <c r="F503" i="23"/>
  <c r="F504" i="23"/>
  <c r="F505" i="23"/>
  <c r="F506" i="23"/>
  <c r="F507" i="23"/>
  <c r="F508" i="23"/>
  <c r="F509" i="23"/>
  <c r="F510" i="23"/>
  <c r="F511" i="23"/>
  <c r="F512" i="23"/>
  <c r="F513" i="23"/>
  <c r="F514" i="23"/>
  <c r="F515" i="23"/>
  <c r="F516" i="23"/>
  <c r="F517" i="23"/>
  <c r="F518" i="23"/>
  <c r="F519" i="23"/>
  <c r="F520" i="23"/>
  <c r="F521" i="23"/>
  <c r="F522" i="23"/>
  <c r="F523" i="23"/>
  <c r="F524" i="23"/>
  <c r="F525" i="23"/>
  <c r="F526" i="23"/>
  <c r="F527" i="23"/>
  <c r="F528" i="23"/>
  <c r="F529" i="23"/>
  <c r="F530" i="23"/>
  <c r="F531" i="23"/>
  <c r="F532" i="23"/>
  <c r="F533" i="23"/>
  <c r="F534" i="23"/>
  <c r="F535" i="23"/>
  <c r="F536" i="23"/>
  <c r="F537" i="23"/>
  <c r="F538" i="23"/>
  <c r="F539" i="23"/>
  <c r="F540" i="23"/>
  <c r="F541" i="23"/>
  <c r="F542" i="23"/>
  <c r="F543" i="23"/>
  <c r="F544" i="23"/>
  <c r="F545" i="23"/>
  <c r="F546" i="23"/>
  <c r="F547" i="23"/>
  <c r="F548" i="23"/>
  <c r="F549" i="23"/>
  <c r="F550" i="23"/>
  <c r="F551" i="23"/>
  <c r="F552" i="23"/>
  <c r="F553" i="23"/>
  <c r="F554" i="23"/>
  <c r="F555" i="23"/>
  <c r="F556" i="23"/>
  <c r="F557" i="23"/>
  <c r="F558" i="23"/>
  <c r="F559" i="23"/>
  <c r="F560" i="23"/>
  <c r="F561" i="23"/>
  <c r="F562" i="23"/>
  <c r="F563" i="23"/>
  <c r="F564" i="23"/>
  <c r="F565" i="23"/>
  <c r="F566" i="23"/>
  <c r="F567" i="23"/>
  <c r="F568" i="23"/>
  <c r="F569" i="23"/>
  <c r="F570" i="23"/>
  <c r="F571" i="23"/>
  <c r="F572" i="23"/>
  <c r="F573" i="23"/>
  <c r="F574" i="23"/>
  <c r="F575" i="23"/>
  <c r="F576" i="23"/>
  <c r="F577" i="23"/>
  <c r="F578" i="23"/>
  <c r="F579" i="23"/>
  <c r="F580" i="23"/>
  <c r="F581" i="23"/>
  <c r="F582" i="23"/>
  <c r="F583" i="23"/>
  <c r="F584" i="23"/>
  <c r="F585" i="23"/>
  <c r="F586" i="23"/>
  <c r="F587" i="23"/>
  <c r="F588" i="23"/>
  <c r="F589" i="23"/>
  <c r="F590" i="23"/>
  <c r="F591" i="23"/>
  <c r="F592" i="23"/>
  <c r="F593" i="23"/>
  <c r="F594" i="23"/>
  <c r="F595" i="23"/>
  <c r="F596" i="23"/>
  <c r="F597" i="23"/>
  <c r="F598" i="23"/>
  <c r="F599" i="23"/>
  <c r="F600" i="23"/>
  <c r="F601" i="23"/>
  <c r="F602" i="23"/>
  <c r="F603" i="23"/>
  <c r="F604" i="23"/>
  <c r="F605" i="23"/>
  <c r="F606" i="23"/>
  <c r="F607" i="23"/>
  <c r="F608" i="23"/>
  <c r="F609" i="23"/>
  <c r="F610" i="23"/>
  <c r="F611" i="23"/>
  <c r="F612" i="23"/>
  <c r="F613" i="23"/>
  <c r="F614" i="23"/>
  <c r="F615" i="23"/>
  <c r="F616" i="23"/>
  <c r="F617" i="23"/>
  <c r="F618" i="23"/>
  <c r="F619" i="23"/>
  <c r="F620" i="23"/>
  <c r="F621" i="23"/>
  <c r="F622" i="23"/>
  <c r="F623" i="23"/>
  <c r="F624" i="23"/>
  <c r="F625" i="23"/>
  <c r="F626" i="23"/>
  <c r="F627" i="23"/>
  <c r="F628" i="23"/>
  <c r="F629" i="23"/>
  <c r="F630" i="23"/>
  <c r="F631" i="23"/>
  <c r="F632" i="23"/>
  <c r="F633" i="23"/>
  <c r="F634" i="23"/>
  <c r="F635" i="23"/>
  <c r="F636" i="23"/>
  <c r="F637" i="23"/>
  <c r="F638" i="23"/>
  <c r="F639" i="23"/>
  <c r="F640" i="23"/>
  <c r="F641" i="23"/>
  <c r="F642" i="23"/>
  <c r="F643" i="23"/>
  <c r="F644" i="23"/>
  <c r="F645" i="23"/>
  <c r="F646" i="23"/>
  <c r="F647" i="23"/>
  <c r="F648" i="23"/>
  <c r="F649" i="23"/>
  <c r="F650" i="23"/>
  <c r="F651" i="23"/>
  <c r="F652" i="23"/>
  <c r="F653" i="23"/>
  <c r="F654" i="23"/>
  <c r="F655" i="23"/>
  <c r="F656" i="23"/>
  <c r="F657" i="23"/>
  <c r="F658" i="23"/>
  <c r="F659" i="23"/>
  <c r="F660" i="23"/>
  <c r="F661" i="23"/>
  <c r="F662" i="23"/>
  <c r="F663" i="23"/>
  <c r="F664" i="23"/>
  <c r="F665" i="23"/>
  <c r="F666" i="23"/>
  <c r="F667" i="23"/>
  <c r="F668" i="23"/>
  <c r="F669" i="23"/>
  <c r="F670" i="23"/>
  <c r="F671" i="23"/>
  <c r="F672" i="23"/>
  <c r="F673" i="23"/>
  <c r="F674" i="23"/>
  <c r="F675" i="23"/>
  <c r="F676" i="23"/>
  <c r="F677" i="23"/>
  <c r="F678" i="23"/>
  <c r="F679" i="23"/>
  <c r="F680" i="23"/>
  <c r="F681" i="23"/>
  <c r="F682" i="23"/>
  <c r="F683" i="23"/>
  <c r="F684" i="23"/>
  <c r="F685" i="23"/>
  <c r="F686" i="23"/>
  <c r="F687" i="23"/>
  <c r="F688" i="23"/>
  <c r="F689" i="23"/>
  <c r="F690" i="23"/>
  <c r="F691" i="23"/>
  <c r="F692" i="23"/>
  <c r="F693" i="23"/>
  <c r="F694" i="23"/>
  <c r="F695" i="23"/>
  <c r="F696" i="23"/>
  <c r="F697" i="23"/>
  <c r="F698" i="23"/>
  <c r="F699" i="23"/>
  <c r="F700" i="23"/>
  <c r="F701" i="23"/>
  <c r="F702" i="23"/>
  <c r="F703" i="23"/>
  <c r="F704" i="23"/>
  <c r="F705" i="23"/>
  <c r="F706" i="23"/>
  <c r="F707" i="23"/>
  <c r="F708" i="23"/>
  <c r="F709" i="23"/>
  <c r="F710" i="23"/>
  <c r="F711" i="23"/>
  <c r="F712" i="23"/>
  <c r="F713" i="23"/>
  <c r="F714" i="23"/>
  <c r="F715" i="23"/>
  <c r="F716" i="23"/>
  <c r="F717" i="23"/>
  <c r="F718" i="23"/>
  <c r="F719" i="23"/>
  <c r="F720" i="23"/>
  <c r="F721" i="23"/>
  <c r="F722" i="23"/>
  <c r="F723" i="23"/>
  <c r="F724" i="23"/>
  <c r="F725" i="23"/>
  <c r="F726" i="23"/>
  <c r="F727" i="23"/>
  <c r="F728" i="23"/>
  <c r="F729" i="23"/>
  <c r="F730" i="23"/>
  <c r="F731" i="23"/>
  <c r="F732" i="23"/>
  <c r="F733" i="23"/>
  <c r="F734" i="23"/>
  <c r="F735" i="23"/>
  <c r="F736" i="23"/>
  <c r="F737" i="23"/>
  <c r="F738" i="23"/>
  <c r="F739" i="23"/>
  <c r="F740" i="23"/>
  <c r="F741" i="23"/>
  <c r="F742" i="23"/>
  <c r="F743" i="23"/>
  <c r="F744" i="23"/>
  <c r="F745" i="23"/>
  <c r="F746" i="23"/>
  <c r="F747" i="23"/>
  <c r="F748" i="23"/>
  <c r="F749" i="23"/>
  <c r="F750" i="23"/>
  <c r="F751" i="23"/>
  <c r="F752" i="23"/>
  <c r="F753" i="23"/>
  <c r="F754" i="23"/>
  <c r="F755" i="23"/>
  <c r="F756" i="23"/>
  <c r="F757" i="23"/>
  <c r="F758" i="23"/>
  <c r="F759" i="23"/>
  <c r="F760" i="23"/>
  <c r="F761" i="23"/>
  <c r="F762" i="23"/>
  <c r="F763" i="23"/>
  <c r="F764" i="23"/>
  <c r="F765" i="23"/>
  <c r="F766" i="23"/>
  <c r="F767" i="23"/>
  <c r="F768" i="23"/>
  <c r="F769" i="23"/>
  <c r="F770" i="23"/>
  <c r="F771" i="23"/>
  <c r="F772" i="23"/>
  <c r="F773" i="23"/>
  <c r="F774" i="23"/>
  <c r="F775" i="23"/>
  <c r="F776" i="23"/>
  <c r="F777" i="23"/>
  <c r="F778" i="23"/>
  <c r="F779" i="23"/>
  <c r="F780" i="23"/>
  <c r="F781" i="23"/>
  <c r="F782" i="23"/>
  <c r="F783" i="23"/>
  <c r="F784" i="23"/>
  <c r="F785" i="23"/>
  <c r="F786" i="23"/>
  <c r="F787" i="23"/>
  <c r="F788" i="23"/>
  <c r="F789" i="23"/>
  <c r="F790" i="23"/>
  <c r="F791" i="23"/>
  <c r="F792" i="23"/>
  <c r="F793" i="23"/>
  <c r="F794" i="23"/>
  <c r="F795" i="23"/>
  <c r="F796" i="23"/>
  <c r="F797" i="23"/>
  <c r="F798" i="23"/>
  <c r="F799" i="23"/>
  <c r="F800" i="23"/>
  <c r="F801" i="23"/>
  <c r="F802" i="23"/>
  <c r="F803" i="23"/>
  <c r="F804" i="23"/>
  <c r="F805" i="23"/>
  <c r="F806" i="23"/>
  <c r="F807" i="23"/>
  <c r="F808" i="23"/>
  <c r="F809" i="23"/>
  <c r="F810" i="23"/>
  <c r="F811" i="23"/>
  <c r="F812" i="23"/>
  <c r="F813" i="23"/>
  <c r="F814" i="23"/>
  <c r="F815" i="23"/>
  <c r="F816" i="23"/>
  <c r="F817" i="23"/>
  <c r="F818" i="23"/>
  <c r="F819" i="23"/>
  <c r="F820" i="23"/>
  <c r="F821" i="23"/>
  <c r="F822" i="23"/>
  <c r="F823" i="23"/>
  <c r="F824" i="23"/>
  <c r="F825" i="23"/>
  <c r="F826" i="23"/>
  <c r="F827" i="23"/>
  <c r="F828" i="23"/>
  <c r="F829" i="23"/>
  <c r="F830" i="23"/>
  <c r="F831" i="23"/>
  <c r="F832" i="23"/>
  <c r="F833" i="23"/>
  <c r="F834" i="23"/>
  <c r="F835" i="23"/>
  <c r="F836" i="23"/>
  <c r="F837" i="23"/>
  <c r="F838" i="23"/>
  <c r="F839" i="23"/>
  <c r="F840" i="23"/>
  <c r="F841" i="23"/>
  <c r="F842" i="23"/>
  <c r="F843" i="23"/>
  <c r="F844" i="23"/>
  <c r="F845" i="23"/>
  <c r="F846" i="23"/>
  <c r="F847" i="23"/>
  <c r="F848" i="23"/>
  <c r="F849" i="23"/>
  <c r="F850" i="23"/>
  <c r="F851" i="23"/>
  <c r="F852" i="23"/>
  <c r="F853" i="23"/>
  <c r="F854" i="23"/>
  <c r="F855" i="23"/>
  <c r="F856" i="23"/>
  <c r="F857" i="23"/>
  <c r="F858" i="23"/>
  <c r="F859" i="23"/>
  <c r="F860" i="23"/>
  <c r="F861" i="23"/>
  <c r="F862" i="23"/>
  <c r="F863" i="23"/>
  <c r="F864" i="23"/>
  <c r="F865" i="23"/>
  <c r="F866" i="23"/>
  <c r="F867" i="23"/>
  <c r="F868" i="23"/>
  <c r="F869" i="23"/>
  <c r="F870" i="23"/>
  <c r="F871" i="23"/>
  <c r="F872" i="23"/>
  <c r="F873" i="23"/>
  <c r="F874" i="23"/>
  <c r="F875" i="23"/>
  <c r="F876" i="23"/>
  <c r="F877" i="23"/>
  <c r="F878" i="23"/>
  <c r="F879" i="23"/>
  <c r="F880" i="23"/>
  <c r="F881" i="23"/>
  <c r="F882" i="23"/>
  <c r="F883" i="23"/>
  <c r="F884" i="23"/>
  <c r="F885" i="23"/>
  <c r="F886" i="23"/>
  <c r="F887" i="23"/>
  <c r="F888" i="23"/>
  <c r="F889" i="23"/>
  <c r="F890" i="23"/>
  <c r="F891" i="23"/>
  <c r="F892" i="23"/>
  <c r="F893" i="23"/>
  <c r="F894" i="23"/>
  <c r="F895" i="23"/>
  <c r="F896" i="23"/>
  <c r="F897" i="23"/>
  <c r="F898" i="23"/>
  <c r="F899" i="23"/>
  <c r="F900" i="23"/>
  <c r="F901" i="23"/>
  <c r="F902" i="23"/>
  <c r="F903" i="23"/>
  <c r="F904" i="23"/>
  <c r="F905" i="23"/>
  <c r="F906" i="23"/>
  <c r="F907" i="23"/>
  <c r="F908" i="23"/>
  <c r="F909" i="23"/>
  <c r="F910" i="23"/>
  <c r="F911" i="23"/>
  <c r="F912" i="23"/>
  <c r="F913" i="23"/>
  <c r="F914" i="23"/>
  <c r="F915" i="23"/>
  <c r="F916" i="23"/>
  <c r="F917" i="23"/>
  <c r="F918" i="23"/>
  <c r="F919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E903" i="23"/>
  <c r="E904" i="23"/>
  <c r="E905" i="23"/>
  <c r="E906" i="23"/>
  <c r="E907" i="23"/>
  <c r="E908" i="23"/>
  <c r="E909" i="23"/>
  <c r="E910" i="23"/>
  <c r="E911" i="23"/>
  <c r="E912" i="23"/>
  <c r="E913" i="23"/>
  <c r="E914" i="23"/>
  <c r="E915" i="23"/>
  <c r="E916" i="23"/>
  <c r="E917" i="23"/>
  <c r="E918" i="23"/>
  <c r="E919" i="23"/>
  <c r="K21" i="89"/>
  <c r="K20" i="89"/>
  <c r="K19" i="89"/>
  <c r="K18" i="89"/>
  <c r="K17" i="89"/>
  <c r="K16" i="89"/>
  <c r="K15" i="89"/>
  <c r="K14" i="89"/>
  <c r="K13" i="89"/>
  <c r="K12" i="89"/>
  <c r="K11" i="89"/>
  <c r="K10" i="89"/>
  <c r="K9" i="89"/>
  <c r="K8" i="89"/>
  <c r="K7" i="89"/>
  <c r="K6" i="89"/>
  <c r="M5" i="89"/>
  <c r="K5" i="89"/>
  <c r="B4" i="89"/>
  <c r="C3" i="89"/>
  <c r="E886" i="23"/>
  <c r="E887" i="23"/>
  <c r="E888" i="23"/>
  <c r="E889" i="23"/>
  <c r="E890" i="23"/>
  <c r="E891" i="23"/>
  <c r="E892" i="23"/>
  <c r="E893" i="23"/>
  <c r="E894" i="23"/>
  <c r="E895" i="23"/>
  <c r="E896" i="23"/>
  <c r="E897" i="23"/>
  <c r="E898" i="23"/>
  <c r="E899" i="23"/>
  <c r="E900" i="23"/>
  <c r="E901" i="23"/>
  <c r="E902" i="23"/>
  <c r="K21" i="88"/>
  <c r="K20" i="88"/>
  <c r="K19" i="88"/>
  <c r="K18" i="88"/>
  <c r="K17" i="88"/>
  <c r="K16" i="88"/>
  <c r="K15" i="88"/>
  <c r="K14" i="88"/>
  <c r="K13" i="88"/>
  <c r="K12" i="88"/>
  <c r="K11" i="88"/>
  <c r="K10" i="88"/>
  <c r="K9" i="88"/>
  <c r="K8" i="88"/>
  <c r="K7" i="88"/>
  <c r="K6" i="88"/>
  <c r="M5" i="88"/>
  <c r="K5" i="88"/>
  <c r="B4" i="88"/>
  <c r="C3" i="88"/>
  <c r="E869" i="23"/>
  <c r="E870" i="23"/>
  <c r="E871" i="23"/>
  <c r="E872" i="23"/>
  <c r="E873" i="23"/>
  <c r="E874" i="23"/>
  <c r="E875" i="23"/>
  <c r="E876" i="23"/>
  <c r="E877" i="23"/>
  <c r="E878" i="23"/>
  <c r="E879" i="23"/>
  <c r="E880" i="23"/>
  <c r="E881" i="23"/>
  <c r="E882" i="23"/>
  <c r="E883" i="23"/>
  <c r="E884" i="23"/>
  <c r="E885" i="23"/>
  <c r="K21" i="87"/>
  <c r="K20" i="87"/>
  <c r="K19" i="87"/>
  <c r="K18" i="87"/>
  <c r="K17" i="87"/>
  <c r="K16" i="87"/>
  <c r="K15" i="87"/>
  <c r="K14" i="87"/>
  <c r="K13" i="87"/>
  <c r="K12" i="87"/>
  <c r="K11" i="87"/>
  <c r="K10" i="87"/>
  <c r="K9" i="87"/>
  <c r="K8" i="87"/>
  <c r="K7" i="87"/>
  <c r="K6" i="87"/>
  <c r="M5" i="87"/>
  <c r="K5" i="87"/>
  <c r="B4" i="87"/>
  <c r="C3" i="87"/>
  <c r="C4" i="87" s="1"/>
  <c r="E852" i="23"/>
  <c r="E853" i="23"/>
  <c r="E854" i="23"/>
  <c r="E855" i="23"/>
  <c r="E856" i="23"/>
  <c r="E857" i="23"/>
  <c r="E858" i="23"/>
  <c r="E859" i="23"/>
  <c r="E860" i="23"/>
  <c r="E861" i="23"/>
  <c r="E862" i="23"/>
  <c r="E863" i="23"/>
  <c r="E864" i="23"/>
  <c r="E865" i="23"/>
  <c r="E866" i="23"/>
  <c r="E867" i="23"/>
  <c r="E868" i="23"/>
  <c r="K21" i="86"/>
  <c r="K20" i="86"/>
  <c r="K19" i="86"/>
  <c r="K18" i="86"/>
  <c r="K17" i="86"/>
  <c r="K16" i="86"/>
  <c r="K15" i="86"/>
  <c r="K14" i="86"/>
  <c r="K13" i="86"/>
  <c r="K12" i="86"/>
  <c r="K11" i="86"/>
  <c r="K10" i="86"/>
  <c r="K9" i="86"/>
  <c r="K8" i="86"/>
  <c r="K7" i="86"/>
  <c r="K6" i="86"/>
  <c r="M5" i="86"/>
  <c r="K5" i="86"/>
  <c r="B4" i="86"/>
  <c r="C3" i="86"/>
  <c r="C4" i="86" s="1"/>
  <c r="K21" i="85"/>
  <c r="K20" i="85"/>
  <c r="K19" i="85"/>
  <c r="K18" i="85"/>
  <c r="K17" i="85"/>
  <c r="K16" i="85"/>
  <c r="K15" i="85"/>
  <c r="K14" i="85"/>
  <c r="K13" i="85"/>
  <c r="K12" i="85"/>
  <c r="K11" i="85"/>
  <c r="K10" i="85"/>
  <c r="K9" i="85"/>
  <c r="K8" i="85"/>
  <c r="K7" i="85"/>
  <c r="K6" i="85"/>
  <c r="M5" i="85"/>
  <c r="K5" i="85"/>
  <c r="B4" i="85"/>
  <c r="C3" i="85"/>
  <c r="D3" i="85" s="1"/>
  <c r="E835" i="23"/>
  <c r="E836" i="23"/>
  <c r="E837" i="23"/>
  <c r="E838" i="23"/>
  <c r="E839" i="23"/>
  <c r="E840" i="23"/>
  <c r="E841" i="23"/>
  <c r="E842" i="23"/>
  <c r="E843" i="23"/>
  <c r="E844" i="23"/>
  <c r="E845" i="23"/>
  <c r="E846" i="23"/>
  <c r="E847" i="23"/>
  <c r="E848" i="23"/>
  <c r="E849" i="23"/>
  <c r="E850" i="23"/>
  <c r="E851" i="23"/>
  <c r="K23" i="94" l="1"/>
  <c r="L14" i="94" s="1"/>
  <c r="C4" i="94"/>
  <c r="E3" i="94"/>
  <c r="D4" i="94"/>
  <c r="K23" i="93"/>
  <c r="L23" i="93" s="1"/>
  <c r="E3" i="93"/>
  <c r="D4" i="93"/>
  <c r="C4" i="93"/>
  <c r="C4" i="91"/>
  <c r="C4" i="92"/>
  <c r="K23" i="92"/>
  <c r="L23" i="92" s="1"/>
  <c r="E3" i="92"/>
  <c r="D4" i="92"/>
  <c r="K23" i="91"/>
  <c r="L9" i="91" s="1"/>
  <c r="E3" i="91"/>
  <c r="D4" i="91"/>
  <c r="K23" i="90"/>
  <c r="L23" i="90" s="1"/>
  <c r="D3" i="90"/>
  <c r="C4" i="89"/>
  <c r="D3" i="89"/>
  <c r="K22" i="89"/>
  <c r="L5" i="89" s="1"/>
  <c r="C4" i="88"/>
  <c r="D3" i="88"/>
  <c r="K22" i="88"/>
  <c r="L5" i="88"/>
  <c r="K22" i="87"/>
  <c r="L17" i="87" s="1"/>
  <c r="D3" i="87"/>
  <c r="K22" i="85"/>
  <c r="L6" i="85" s="1"/>
  <c r="K22" i="86"/>
  <c r="L5" i="86" s="1"/>
  <c r="D3" i="86"/>
  <c r="C4" i="85"/>
  <c r="E3" i="85"/>
  <c r="D4" i="85"/>
  <c r="L15" i="94" l="1"/>
  <c r="L9" i="94"/>
  <c r="L19" i="94"/>
  <c r="L7" i="94"/>
  <c r="L13" i="94"/>
  <c r="L11" i="94"/>
  <c r="L5" i="94"/>
  <c r="L8" i="94"/>
  <c r="L10" i="94"/>
  <c r="L16" i="94"/>
  <c r="L20" i="94"/>
  <c r="L18" i="94"/>
  <c r="L12" i="94"/>
  <c r="L23" i="94"/>
  <c r="L22" i="94"/>
  <c r="L6" i="94"/>
  <c r="L17" i="94"/>
  <c r="L21" i="94"/>
  <c r="F3" i="94"/>
  <c r="E4" i="94"/>
  <c r="L13" i="93"/>
  <c r="L17" i="93"/>
  <c r="L12" i="93"/>
  <c r="L9" i="93"/>
  <c r="L20" i="93"/>
  <c r="L5" i="93"/>
  <c r="L19" i="93"/>
  <c r="L16" i="93"/>
  <c r="L22" i="93"/>
  <c r="L11" i="93"/>
  <c r="L8" i="93"/>
  <c r="L18" i="93"/>
  <c r="L6" i="93"/>
  <c r="L10" i="93"/>
  <c r="L15" i="93"/>
  <c r="L14" i="93"/>
  <c r="L21" i="93"/>
  <c r="L7" i="93"/>
  <c r="F3" i="93"/>
  <c r="E4" i="93"/>
  <c r="L15" i="92"/>
  <c r="L20" i="92"/>
  <c r="L7" i="92"/>
  <c r="L21" i="92"/>
  <c r="L12" i="92"/>
  <c r="L5" i="92"/>
  <c r="L10" i="92"/>
  <c r="L11" i="92"/>
  <c r="L6" i="92"/>
  <c r="L13" i="92"/>
  <c r="L18" i="92"/>
  <c r="L19" i="92"/>
  <c r="L22" i="92"/>
  <c r="L17" i="92"/>
  <c r="L16" i="92"/>
  <c r="L14" i="92"/>
  <c r="L9" i="92"/>
  <c r="L8" i="92"/>
  <c r="F3" i="92"/>
  <c r="E4" i="92"/>
  <c r="L5" i="91"/>
  <c r="L8" i="91"/>
  <c r="L20" i="91"/>
  <c r="L16" i="91"/>
  <c r="L12" i="91"/>
  <c r="L22" i="91"/>
  <c r="L11" i="91"/>
  <c r="L14" i="91"/>
  <c r="L7" i="91"/>
  <c r="L17" i="91"/>
  <c r="L15" i="91"/>
  <c r="L10" i="91"/>
  <c r="L6" i="91"/>
  <c r="L19" i="91"/>
  <c r="L18" i="91"/>
  <c r="L21" i="91"/>
  <c r="L23" i="91"/>
  <c r="L13" i="91"/>
  <c r="F3" i="91"/>
  <c r="E4" i="91"/>
  <c r="L14" i="90"/>
  <c r="L21" i="90"/>
  <c r="L20" i="90"/>
  <c r="L22" i="90"/>
  <c r="L16" i="90"/>
  <c r="L13" i="90"/>
  <c r="L7" i="90"/>
  <c r="L17" i="90"/>
  <c r="L11" i="90"/>
  <c r="L18" i="90"/>
  <c r="L6" i="90"/>
  <c r="L9" i="90"/>
  <c r="L15" i="90"/>
  <c r="L10" i="90"/>
  <c r="L8" i="90"/>
  <c r="L19" i="90"/>
  <c r="L5" i="90"/>
  <c r="L12" i="90"/>
  <c r="D4" i="90"/>
  <c r="E3" i="90"/>
  <c r="L13" i="89"/>
  <c r="L21" i="89"/>
  <c r="L15" i="89"/>
  <c r="L14" i="89"/>
  <c r="L12" i="89"/>
  <c r="L7" i="89"/>
  <c r="L20" i="89"/>
  <c r="L19" i="89"/>
  <c r="L11" i="89"/>
  <c r="L18" i="89"/>
  <c r="L10" i="89"/>
  <c r="L17" i="89"/>
  <c r="L9" i="89"/>
  <c r="L16" i="89"/>
  <c r="L8" i="89"/>
  <c r="L6" i="89"/>
  <c r="D4" i="89"/>
  <c r="E3" i="89"/>
  <c r="L6" i="88"/>
  <c r="L7" i="88"/>
  <c r="L8" i="88"/>
  <c r="L9" i="88"/>
  <c r="L10" i="88"/>
  <c r="L11" i="88"/>
  <c r="L12" i="88"/>
  <c r="L13" i="88"/>
  <c r="L14" i="88"/>
  <c r="L15" i="88"/>
  <c r="L16" i="88"/>
  <c r="L17" i="88"/>
  <c r="L18" i="88"/>
  <c r="L19" i="88"/>
  <c r="L20" i="88"/>
  <c r="L21" i="88"/>
  <c r="D4" i="88"/>
  <c r="E3" i="88"/>
  <c r="L16" i="87"/>
  <c r="L19" i="87"/>
  <c r="L18" i="87"/>
  <c r="L7" i="87"/>
  <c r="L10" i="87"/>
  <c r="L14" i="87"/>
  <c r="L5" i="87"/>
  <c r="L21" i="87"/>
  <c r="L8" i="87"/>
  <c r="L20" i="87"/>
  <c r="L12" i="87"/>
  <c r="L11" i="87"/>
  <c r="L9" i="87"/>
  <c r="L15" i="87"/>
  <c r="L13" i="87"/>
  <c r="L6" i="87"/>
  <c r="D4" i="87"/>
  <c r="E3" i="87"/>
  <c r="L21" i="86"/>
  <c r="L17" i="86"/>
  <c r="L19" i="86"/>
  <c r="L6" i="86"/>
  <c r="L14" i="86"/>
  <c r="L13" i="86"/>
  <c r="L11" i="86"/>
  <c r="L7" i="86"/>
  <c r="L20" i="86"/>
  <c r="L16" i="86"/>
  <c r="L12" i="86"/>
  <c r="L9" i="86"/>
  <c r="L18" i="86"/>
  <c r="L8" i="86"/>
  <c r="L10" i="86"/>
  <c r="L15" i="86"/>
  <c r="D4" i="86"/>
  <c r="E3" i="86"/>
  <c r="L5" i="85"/>
  <c r="L17" i="85"/>
  <c r="L15" i="85"/>
  <c r="L7" i="85"/>
  <c r="L8" i="85"/>
  <c r="L12" i="85"/>
  <c r="L10" i="85"/>
  <c r="L21" i="85"/>
  <c r="L19" i="85"/>
  <c r="L9" i="85"/>
  <c r="L16" i="85"/>
  <c r="L14" i="85"/>
  <c r="L13" i="85"/>
  <c r="L20" i="85"/>
  <c r="L18" i="85"/>
  <c r="L11" i="85"/>
  <c r="F3" i="85"/>
  <c r="E4" i="85"/>
  <c r="F4" i="94" l="1"/>
  <c r="G3" i="94"/>
  <c r="F4" i="93"/>
  <c r="G3" i="93"/>
  <c r="F4" i="92"/>
  <c r="G3" i="92"/>
  <c r="F4" i="91"/>
  <c r="G3" i="91"/>
  <c r="F3" i="90"/>
  <c r="E4" i="90"/>
  <c r="E4" i="89"/>
  <c r="F3" i="89"/>
  <c r="E4" i="88"/>
  <c r="F3" i="88"/>
  <c r="E4" i="87"/>
  <c r="F3" i="87"/>
  <c r="F3" i="86"/>
  <c r="E4" i="86"/>
  <c r="G3" i="85"/>
  <c r="F4" i="85"/>
  <c r="G4" i="94" l="1"/>
  <c r="H3" i="94"/>
  <c r="H4" i="94" s="1"/>
  <c r="G4" i="93"/>
  <c r="H3" i="93"/>
  <c r="H4" i="93" s="1"/>
  <c r="G4" i="92"/>
  <c r="H3" i="92"/>
  <c r="H4" i="92" s="1"/>
  <c r="G4" i="91"/>
  <c r="H3" i="91"/>
  <c r="H4" i="91" s="1"/>
  <c r="G3" i="90"/>
  <c r="F4" i="90"/>
  <c r="F4" i="89"/>
  <c r="G3" i="89"/>
  <c r="F4" i="88"/>
  <c r="G3" i="88"/>
  <c r="F4" i="87"/>
  <c r="G3" i="87"/>
  <c r="F4" i="86"/>
  <c r="G3" i="86"/>
  <c r="H3" i="85"/>
  <c r="H4" i="85" s="1"/>
  <c r="G4" i="85"/>
  <c r="G4" i="90" l="1"/>
  <c r="H3" i="90"/>
  <c r="H4" i="90" s="1"/>
  <c r="G4" i="89"/>
  <c r="H3" i="89"/>
  <c r="H4" i="89" s="1"/>
  <c r="G4" i="88"/>
  <c r="H3" i="88"/>
  <c r="H4" i="88" s="1"/>
  <c r="H3" i="87"/>
  <c r="H4" i="87" s="1"/>
  <c r="G4" i="87"/>
  <c r="H3" i="86"/>
  <c r="H4" i="86" s="1"/>
  <c r="G4" i="86"/>
  <c r="E818" i="23"/>
  <c r="E819" i="23"/>
  <c r="E820" i="23"/>
  <c r="E821" i="23"/>
  <c r="E822" i="23"/>
  <c r="E823" i="23"/>
  <c r="E824" i="23"/>
  <c r="E825" i="23"/>
  <c r="E826" i="23"/>
  <c r="E827" i="23"/>
  <c r="E828" i="23"/>
  <c r="E829" i="23"/>
  <c r="E830" i="23"/>
  <c r="E831" i="23"/>
  <c r="E832" i="23"/>
  <c r="E833" i="23"/>
  <c r="E834" i="23"/>
  <c r="K21" i="84"/>
  <c r="K20" i="84"/>
  <c r="K19" i="84"/>
  <c r="K18" i="84"/>
  <c r="K17" i="84"/>
  <c r="K16" i="84"/>
  <c r="K15" i="84"/>
  <c r="K14" i="84"/>
  <c r="K13" i="84"/>
  <c r="K12" i="84"/>
  <c r="K11" i="84"/>
  <c r="K10" i="84"/>
  <c r="K9" i="84"/>
  <c r="K8" i="84"/>
  <c r="K7" i="84"/>
  <c r="K6" i="84"/>
  <c r="M5" i="84"/>
  <c r="K5" i="84"/>
  <c r="B4" i="84"/>
  <c r="C3" i="84"/>
  <c r="E801" i="23"/>
  <c r="E802" i="23"/>
  <c r="E803" i="23"/>
  <c r="E804" i="23"/>
  <c r="E805" i="23"/>
  <c r="E806" i="23"/>
  <c r="E807" i="23"/>
  <c r="E808" i="23"/>
  <c r="E809" i="23"/>
  <c r="E810" i="23"/>
  <c r="E811" i="23"/>
  <c r="E812" i="23"/>
  <c r="E813" i="23"/>
  <c r="E814" i="23"/>
  <c r="E815" i="23"/>
  <c r="E816" i="23"/>
  <c r="E817" i="23"/>
  <c r="K21" i="83"/>
  <c r="K20" i="83"/>
  <c r="K19" i="83"/>
  <c r="K18" i="83"/>
  <c r="K17" i="83"/>
  <c r="K16" i="83"/>
  <c r="K15" i="83"/>
  <c r="K14" i="83"/>
  <c r="K13" i="83"/>
  <c r="K12" i="83"/>
  <c r="K11" i="83"/>
  <c r="K10" i="83"/>
  <c r="K9" i="83"/>
  <c r="K8" i="83"/>
  <c r="K7" i="83"/>
  <c r="K6" i="83"/>
  <c r="M5" i="83"/>
  <c r="K5" i="83"/>
  <c r="B4" i="83"/>
  <c r="C3" i="83"/>
  <c r="C4" i="83" s="1"/>
  <c r="E767" i="23"/>
  <c r="E768" i="23"/>
  <c r="E769" i="23"/>
  <c r="E770" i="23"/>
  <c r="E771" i="23"/>
  <c r="E772" i="23"/>
  <c r="E773" i="23"/>
  <c r="E774" i="23"/>
  <c r="E775" i="23"/>
  <c r="E776" i="23"/>
  <c r="E777" i="23"/>
  <c r="E778" i="23"/>
  <c r="E779" i="23"/>
  <c r="E780" i="23"/>
  <c r="E781" i="23"/>
  <c r="E782" i="23"/>
  <c r="E783" i="23"/>
  <c r="E784" i="23"/>
  <c r="E785" i="23"/>
  <c r="E786" i="23"/>
  <c r="E787" i="23"/>
  <c r="E788" i="23"/>
  <c r="E789" i="23"/>
  <c r="E790" i="23"/>
  <c r="E791" i="23"/>
  <c r="E792" i="23"/>
  <c r="E793" i="23"/>
  <c r="E794" i="23"/>
  <c r="E795" i="23"/>
  <c r="E796" i="23"/>
  <c r="E797" i="23"/>
  <c r="E798" i="23"/>
  <c r="E799" i="23"/>
  <c r="E800" i="23"/>
  <c r="C3" i="80"/>
  <c r="C4" i="80" s="1"/>
  <c r="K21" i="81"/>
  <c r="K20" i="81"/>
  <c r="K19" i="81"/>
  <c r="K18" i="81"/>
  <c r="K17" i="81"/>
  <c r="K16" i="81"/>
  <c r="K15" i="81"/>
  <c r="K14" i="81"/>
  <c r="K13" i="81"/>
  <c r="K12" i="81"/>
  <c r="K11" i="81"/>
  <c r="K10" i="81"/>
  <c r="K9" i="81"/>
  <c r="K8" i="81"/>
  <c r="K7" i="81"/>
  <c r="K6" i="81"/>
  <c r="M5" i="81"/>
  <c r="K5" i="81"/>
  <c r="B4" i="81"/>
  <c r="C3" i="81"/>
  <c r="C4" i="81" s="1"/>
  <c r="K21" i="80"/>
  <c r="K20" i="80"/>
  <c r="K19" i="80"/>
  <c r="K18" i="80"/>
  <c r="K17" i="80"/>
  <c r="K16" i="80"/>
  <c r="K15" i="80"/>
  <c r="K14" i="80"/>
  <c r="K13" i="80"/>
  <c r="K12" i="80"/>
  <c r="K11" i="80"/>
  <c r="K10" i="80"/>
  <c r="K9" i="80"/>
  <c r="K8" i="80"/>
  <c r="K7" i="80"/>
  <c r="K6" i="80"/>
  <c r="M5" i="80"/>
  <c r="K5" i="80"/>
  <c r="B4" i="80"/>
  <c r="E750" i="23"/>
  <c r="E751" i="23"/>
  <c r="E752" i="23"/>
  <c r="E753" i="23"/>
  <c r="E754" i="23"/>
  <c r="E755" i="23"/>
  <c r="E756" i="23"/>
  <c r="E757" i="23"/>
  <c r="E758" i="23"/>
  <c r="E759" i="23"/>
  <c r="E760" i="23"/>
  <c r="E761" i="23"/>
  <c r="E762" i="23"/>
  <c r="E763" i="23"/>
  <c r="E764" i="23"/>
  <c r="E765" i="23"/>
  <c r="E766" i="23"/>
  <c r="K21" i="79"/>
  <c r="K20" i="79"/>
  <c r="K19" i="79"/>
  <c r="K18" i="79"/>
  <c r="K17" i="79"/>
  <c r="K16" i="79"/>
  <c r="K15" i="79"/>
  <c r="K14" i="79"/>
  <c r="K13" i="79"/>
  <c r="K12" i="79"/>
  <c r="K11" i="79"/>
  <c r="K10" i="79"/>
  <c r="K9" i="79"/>
  <c r="K8" i="79"/>
  <c r="K7" i="79"/>
  <c r="K6" i="79"/>
  <c r="M5" i="79"/>
  <c r="K5" i="79"/>
  <c r="B4" i="79"/>
  <c r="C3" i="79"/>
  <c r="D3" i="79" s="1"/>
  <c r="E733" i="23"/>
  <c r="E734" i="23"/>
  <c r="E735" i="23"/>
  <c r="E736" i="23"/>
  <c r="E737" i="23"/>
  <c r="E738" i="23"/>
  <c r="E739" i="23"/>
  <c r="E740" i="23"/>
  <c r="E741" i="23"/>
  <c r="E742" i="23"/>
  <c r="E743" i="23"/>
  <c r="E744" i="23"/>
  <c r="E745" i="23"/>
  <c r="E746" i="23"/>
  <c r="E747" i="23"/>
  <c r="E748" i="23"/>
  <c r="E749" i="23"/>
  <c r="K21" i="78"/>
  <c r="K20" i="78"/>
  <c r="K19" i="78"/>
  <c r="K18" i="78"/>
  <c r="K17" i="78"/>
  <c r="K16" i="78"/>
  <c r="K15" i="78"/>
  <c r="K14" i="78"/>
  <c r="K13" i="78"/>
  <c r="K12" i="78"/>
  <c r="K11" i="78"/>
  <c r="K10" i="78"/>
  <c r="K9" i="78"/>
  <c r="K8" i="78"/>
  <c r="K7" i="78"/>
  <c r="K6" i="78"/>
  <c r="M5" i="78"/>
  <c r="K5" i="78"/>
  <c r="B4" i="78"/>
  <c r="C3" i="78"/>
  <c r="C4" i="78" s="1"/>
  <c r="E716" i="23"/>
  <c r="E717" i="23"/>
  <c r="E718" i="23"/>
  <c r="E719" i="23"/>
  <c r="E720" i="23"/>
  <c r="E721" i="23"/>
  <c r="E722" i="23"/>
  <c r="E723" i="23"/>
  <c r="E724" i="23"/>
  <c r="E725" i="23"/>
  <c r="E726" i="23"/>
  <c r="E727" i="23"/>
  <c r="E728" i="23"/>
  <c r="E729" i="23"/>
  <c r="E730" i="23"/>
  <c r="E731" i="23"/>
  <c r="E732" i="23"/>
  <c r="D3" i="84" l="1"/>
  <c r="C4" i="84"/>
  <c r="K22" i="84"/>
  <c r="L11" i="84" s="1"/>
  <c r="E3" i="84"/>
  <c r="D4" i="84"/>
  <c r="K22" i="83"/>
  <c r="L6" i="83" s="1"/>
  <c r="D3" i="83"/>
  <c r="K22" i="81"/>
  <c r="L10" i="81" s="1"/>
  <c r="K22" i="80"/>
  <c r="L5" i="80" s="1"/>
  <c r="D3" i="81"/>
  <c r="D3" i="80"/>
  <c r="C4" i="79"/>
  <c r="K22" i="79"/>
  <c r="L6" i="79" s="1"/>
  <c r="E3" i="79"/>
  <c r="D4" i="79"/>
  <c r="K22" i="78"/>
  <c r="L17" i="78" s="1"/>
  <c r="D3" i="78"/>
  <c r="K21" i="77"/>
  <c r="K20" i="77"/>
  <c r="K19" i="77"/>
  <c r="K18" i="77"/>
  <c r="K17" i="77"/>
  <c r="K16" i="77"/>
  <c r="K15" i="77"/>
  <c r="K14" i="77"/>
  <c r="K13" i="77"/>
  <c r="K12" i="77"/>
  <c r="K11" i="77"/>
  <c r="K10" i="77"/>
  <c r="K9" i="77"/>
  <c r="K8" i="77"/>
  <c r="K7" i="77"/>
  <c r="K6" i="77"/>
  <c r="M5" i="77"/>
  <c r="K5" i="77"/>
  <c r="B4" i="77"/>
  <c r="C3" i="77"/>
  <c r="C4" i="77" s="1"/>
  <c r="E699" i="23"/>
  <c r="E700" i="23"/>
  <c r="E701" i="23"/>
  <c r="E702" i="23"/>
  <c r="E703" i="23"/>
  <c r="E704" i="23"/>
  <c r="E705" i="23"/>
  <c r="E706" i="23"/>
  <c r="E707" i="23"/>
  <c r="E708" i="23"/>
  <c r="E709" i="23"/>
  <c r="E710" i="23"/>
  <c r="E711" i="23"/>
  <c r="E712" i="23"/>
  <c r="E713" i="23"/>
  <c r="E714" i="23"/>
  <c r="E715" i="23"/>
  <c r="K21" i="76"/>
  <c r="K20" i="76"/>
  <c r="K19" i="76"/>
  <c r="K18" i="76"/>
  <c r="K17" i="76"/>
  <c r="K16" i="76"/>
  <c r="K15" i="76"/>
  <c r="K14" i="76"/>
  <c r="K13" i="76"/>
  <c r="K12" i="76"/>
  <c r="K11" i="76"/>
  <c r="K10" i="76"/>
  <c r="K9" i="76"/>
  <c r="K8" i="76"/>
  <c r="K7" i="76"/>
  <c r="K6" i="76"/>
  <c r="M5" i="76"/>
  <c r="K5" i="76"/>
  <c r="B4" i="76"/>
  <c r="C3" i="76"/>
  <c r="C4" i="76" s="1"/>
  <c r="E682" i="23"/>
  <c r="E683" i="23"/>
  <c r="E684" i="23"/>
  <c r="E685" i="23"/>
  <c r="E686" i="23"/>
  <c r="E687" i="23"/>
  <c r="E688" i="23"/>
  <c r="E689" i="23"/>
  <c r="E690" i="23"/>
  <c r="E691" i="23"/>
  <c r="E692" i="23"/>
  <c r="E693" i="23"/>
  <c r="E694" i="23"/>
  <c r="E695" i="23"/>
  <c r="E696" i="23"/>
  <c r="E697" i="23"/>
  <c r="E698" i="23"/>
  <c r="K21" i="75"/>
  <c r="K20" i="75"/>
  <c r="K19" i="75"/>
  <c r="K18" i="75"/>
  <c r="K17" i="75"/>
  <c r="K16" i="75"/>
  <c r="K15" i="75"/>
  <c r="K14" i="75"/>
  <c r="K13" i="75"/>
  <c r="K12" i="75"/>
  <c r="K11" i="75"/>
  <c r="K10" i="75"/>
  <c r="K9" i="75"/>
  <c r="K8" i="75"/>
  <c r="K7" i="75"/>
  <c r="K6" i="75"/>
  <c r="M5" i="75"/>
  <c r="K5" i="75"/>
  <c r="B4" i="75"/>
  <c r="C3" i="75"/>
  <c r="C4" i="75" s="1"/>
  <c r="K21" i="74"/>
  <c r="K20" i="74"/>
  <c r="K19" i="74"/>
  <c r="K18" i="74"/>
  <c r="K17" i="74"/>
  <c r="K16" i="74"/>
  <c r="K15" i="74"/>
  <c r="K14" i="74"/>
  <c r="K13" i="74"/>
  <c r="K12" i="74"/>
  <c r="K11" i="74"/>
  <c r="K10" i="74"/>
  <c r="K9" i="74"/>
  <c r="K8" i="74"/>
  <c r="K7" i="74"/>
  <c r="K6" i="74"/>
  <c r="M5" i="74"/>
  <c r="K5" i="74"/>
  <c r="B4" i="74"/>
  <c r="C3" i="74"/>
  <c r="C4" i="74" s="1"/>
  <c r="K21" i="73"/>
  <c r="K20" i="73"/>
  <c r="K19" i="73"/>
  <c r="K18" i="73"/>
  <c r="K17" i="73"/>
  <c r="K16" i="73"/>
  <c r="K15" i="73"/>
  <c r="K14" i="73"/>
  <c r="K13" i="73"/>
  <c r="K12" i="73"/>
  <c r="K11" i="73"/>
  <c r="K10" i="73"/>
  <c r="K9" i="73"/>
  <c r="K8" i="73"/>
  <c r="K7" i="73"/>
  <c r="K6" i="73"/>
  <c r="M5" i="73"/>
  <c r="K5" i="73"/>
  <c r="B4" i="73"/>
  <c r="C3" i="73"/>
  <c r="C4" i="73" s="1"/>
  <c r="E665" i="23"/>
  <c r="E666" i="23"/>
  <c r="E667" i="23"/>
  <c r="E668" i="23"/>
  <c r="E669" i="23"/>
  <c r="E670" i="23"/>
  <c r="E671" i="23"/>
  <c r="E672" i="23"/>
  <c r="E673" i="23"/>
  <c r="E674" i="23"/>
  <c r="E675" i="23"/>
  <c r="E676" i="23"/>
  <c r="E677" i="23"/>
  <c r="E678" i="23"/>
  <c r="E679" i="23"/>
  <c r="E680" i="23"/>
  <c r="E681" i="23"/>
  <c r="K21" i="72"/>
  <c r="K20" i="72"/>
  <c r="K19" i="72"/>
  <c r="K18" i="72"/>
  <c r="K17" i="72"/>
  <c r="K16" i="72"/>
  <c r="K15" i="72"/>
  <c r="K14" i="72"/>
  <c r="K13" i="72"/>
  <c r="K12" i="72"/>
  <c r="K11" i="72"/>
  <c r="K10" i="72"/>
  <c r="K9" i="72"/>
  <c r="K8" i="72"/>
  <c r="K7" i="72"/>
  <c r="K6" i="72"/>
  <c r="M5" i="72"/>
  <c r="K5" i="72"/>
  <c r="B4" i="72"/>
  <c r="C3" i="72"/>
  <c r="C4" i="72" s="1"/>
  <c r="E648" i="23"/>
  <c r="E649" i="23"/>
  <c r="E650" i="23"/>
  <c r="E651" i="23"/>
  <c r="E652" i="23"/>
  <c r="E653" i="23"/>
  <c r="E654" i="23"/>
  <c r="E655" i="23"/>
  <c r="E656" i="23"/>
  <c r="E657" i="23"/>
  <c r="E658" i="23"/>
  <c r="E659" i="23"/>
  <c r="E660" i="23"/>
  <c r="E661" i="23"/>
  <c r="E662" i="23"/>
  <c r="E663" i="23"/>
  <c r="E664" i="23"/>
  <c r="K21" i="71"/>
  <c r="K20" i="71"/>
  <c r="K19" i="71"/>
  <c r="K18" i="71"/>
  <c r="K17" i="71"/>
  <c r="K16" i="71"/>
  <c r="K15" i="71"/>
  <c r="K14" i="71"/>
  <c r="K13" i="71"/>
  <c r="K12" i="71"/>
  <c r="K11" i="71"/>
  <c r="K10" i="71"/>
  <c r="K9" i="71"/>
  <c r="K8" i="71"/>
  <c r="K7" i="71"/>
  <c r="K6" i="71"/>
  <c r="M5" i="71"/>
  <c r="K5" i="71"/>
  <c r="B4" i="71"/>
  <c r="C3" i="71"/>
  <c r="C4" i="71" s="1"/>
  <c r="E631" i="23"/>
  <c r="E632" i="23"/>
  <c r="E633" i="23"/>
  <c r="E634" i="23"/>
  <c r="E635" i="23"/>
  <c r="E636" i="23"/>
  <c r="E637" i="23"/>
  <c r="E638" i="23"/>
  <c r="E639" i="23"/>
  <c r="E640" i="23"/>
  <c r="E641" i="23"/>
  <c r="E642" i="23"/>
  <c r="E643" i="23"/>
  <c r="E644" i="23"/>
  <c r="E645" i="23"/>
  <c r="E646" i="23"/>
  <c r="E647" i="23"/>
  <c r="K21" i="70"/>
  <c r="K20" i="70"/>
  <c r="K19" i="70"/>
  <c r="K18" i="70"/>
  <c r="K17" i="70"/>
  <c r="K16" i="70"/>
  <c r="K15" i="70"/>
  <c r="K14" i="70"/>
  <c r="K13" i="70"/>
  <c r="K12" i="70"/>
  <c r="K11" i="70"/>
  <c r="K10" i="70"/>
  <c r="K9" i="70"/>
  <c r="K8" i="70"/>
  <c r="K7" i="70"/>
  <c r="K6" i="70"/>
  <c r="M5" i="70"/>
  <c r="K5" i="70"/>
  <c r="B4" i="70"/>
  <c r="C3" i="70"/>
  <c r="C4" i="70" s="1"/>
  <c r="E614" i="23"/>
  <c r="E615" i="23"/>
  <c r="E616" i="23"/>
  <c r="E617" i="23"/>
  <c r="E618" i="23"/>
  <c r="E619" i="23"/>
  <c r="E620" i="23"/>
  <c r="E621" i="23"/>
  <c r="E622" i="23"/>
  <c r="E623" i="23"/>
  <c r="E624" i="23"/>
  <c r="E625" i="23"/>
  <c r="E626" i="23"/>
  <c r="E627" i="23"/>
  <c r="E628" i="23"/>
  <c r="E629" i="23"/>
  <c r="E630" i="23"/>
  <c r="K21" i="69"/>
  <c r="K20" i="69"/>
  <c r="K19" i="69"/>
  <c r="K18" i="69"/>
  <c r="K17" i="69"/>
  <c r="K16" i="69"/>
  <c r="K15" i="69"/>
  <c r="K14" i="69"/>
  <c r="K13" i="69"/>
  <c r="K12" i="69"/>
  <c r="K11" i="69"/>
  <c r="K10" i="69"/>
  <c r="K9" i="69"/>
  <c r="K8" i="69"/>
  <c r="K7" i="69"/>
  <c r="K6" i="69"/>
  <c r="M5" i="69"/>
  <c r="K5" i="69"/>
  <c r="B4" i="69"/>
  <c r="C3" i="69"/>
  <c r="C4" i="69" s="1"/>
  <c r="E597" i="23"/>
  <c r="E598" i="23"/>
  <c r="E599" i="23"/>
  <c r="E600" i="23"/>
  <c r="E601" i="23"/>
  <c r="E602" i="23"/>
  <c r="E603" i="23"/>
  <c r="E604" i="23"/>
  <c r="E605" i="23"/>
  <c r="E606" i="23"/>
  <c r="E607" i="23"/>
  <c r="E608" i="23"/>
  <c r="E609" i="23"/>
  <c r="E610" i="23"/>
  <c r="E611" i="23"/>
  <c r="E612" i="23"/>
  <c r="E613" i="23"/>
  <c r="E580" i="23"/>
  <c r="E581" i="23"/>
  <c r="E582" i="23"/>
  <c r="E583" i="23"/>
  <c r="E584" i="23"/>
  <c r="E585" i="23"/>
  <c r="E586" i="23"/>
  <c r="E587" i="23"/>
  <c r="E588" i="23"/>
  <c r="E589" i="23"/>
  <c r="E590" i="23"/>
  <c r="E591" i="23"/>
  <c r="E592" i="23"/>
  <c r="E593" i="23"/>
  <c r="E594" i="23"/>
  <c r="E595" i="23"/>
  <c r="E596" i="23"/>
  <c r="K21" i="68"/>
  <c r="K20" i="68"/>
  <c r="K19" i="68"/>
  <c r="K18" i="68"/>
  <c r="K17" i="68"/>
  <c r="K16" i="68"/>
  <c r="K15" i="68"/>
  <c r="K14" i="68"/>
  <c r="K13" i="68"/>
  <c r="K12" i="68"/>
  <c r="K11" i="68"/>
  <c r="K10" i="68"/>
  <c r="K9" i="68"/>
  <c r="K8" i="68"/>
  <c r="K7" i="68"/>
  <c r="K6" i="68"/>
  <c r="M5" i="68"/>
  <c r="K5" i="68"/>
  <c r="B4" i="68"/>
  <c r="C3" i="68"/>
  <c r="C4" i="68" s="1"/>
  <c r="E563" i="23"/>
  <c r="E564" i="23"/>
  <c r="E565" i="23"/>
  <c r="E566" i="23"/>
  <c r="E567" i="23"/>
  <c r="E568" i="23"/>
  <c r="E569" i="23"/>
  <c r="E570" i="23"/>
  <c r="E571" i="23"/>
  <c r="E572" i="23"/>
  <c r="E573" i="23"/>
  <c r="E574" i="23"/>
  <c r="E575" i="23"/>
  <c r="E576" i="23"/>
  <c r="E577" i="23"/>
  <c r="E578" i="23"/>
  <c r="E579" i="23"/>
  <c r="K21" i="67"/>
  <c r="K20" i="67"/>
  <c r="K19" i="67"/>
  <c r="K18" i="67"/>
  <c r="K17" i="67"/>
  <c r="K16" i="67"/>
  <c r="K15" i="67"/>
  <c r="K14" i="67"/>
  <c r="K13" i="67"/>
  <c r="K12" i="67"/>
  <c r="K11" i="67"/>
  <c r="K10" i="67"/>
  <c r="K9" i="67"/>
  <c r="K8" i="67"/>
  <c r="K7" i="67"/>
  <c r="K6" i="67"/>
  <c r="M5" i="67"/>
  <c r="K5" i="67"/>
  <c r="B4" i="67"/>
  <c r="C3" i="67"/>
  <c r="C4" i="67" s="1"/>
  <c r="E546" i="23"/>
  <c r="E547" i="23"/>
  <c r="E548" i="23"/>
  <c r="E549" i="23"/>
  <c r="E550" i="23"/>
  <c r="E551" i="23"/>
  <c r="E552" i="23"/>
  <c r="E553" i="23"/>
  <c r="E554" i="23"/>
  <c r="E555" i="23"/>
  <c r="E556" i="23"/>
  <c r="E557" i="23"/>
  <c r="E558" i="23"/>
  <c r="E559" i="23"/>
  <c r="E560" i="23"/>
  <c r="E561" i="23"/>
  <c r="E562" i="23"/>
  <c r="K21" i="66"/>
  <c r="K20" i="66"/>
  <c r="K19" i="66"/>
  <c r="K18" i="66"/>
  <c r="K17" i="66"/>
  <c r="K16" i="66"/>
  <c r="K15" i="66"/>
  <c r="K14" i="66"/>
  <c r="K13" i="66"/>
  <c r="K12" i="66"/>
  <c r="K11" i="66"/>
  <c r="K10" i="66"/>
  <c r="K9" i="66"/>
  <c r="K8" i="66"/>
  <c r="K7" i="66"/>
  <c r="K6" i="66"/>
  <c r="M5" i="66"/>
  <c r="K5" i="66"/>
  <c r="B4" i="66"/>
  <c r="C3" i="66"/>
  <c r="C4" i="66" s="1"/>
  <c r="E529" i="23"/>
  <c r="E530" i="23"/>
  <c r="E531" i="23"/>
  <c r="E532" i="23"/>
  <c r="E533" i="23"/>
  <c r="E534" i="23"/>
  <c r="E535" i="23"/>
  <c r="E536" i="23"/>
  <c r="E537" i="23"/>
  <c r="E538" i="23"/>
  <c r="E539" i="23"/>
  <c r="E540" i="23"/>
  <c r="E541" i="23"/>
  <c r="E542" i="23"/>
  <c r="E543" i="23"/>
  <c r="E544" i="23"/>
  <c r="E545" i="23"/>
  <c r="E512" i="23"/>
  <c r="E513" i="23"/>
  <c r="E514" i="23"/>
  <c r="E515" i="23"/>
  <c r="E516" i="23"/>
  <c r="E517" i="23"/>
  <c r="E518" i="23"/>
  <c r="E519" i="23"/>
  <c r="E520" i="23"/>
  <c r="E521" i="23"/>
  <c r="E522" i="23"/>
  <c r="E523" i="23"/>
  <c r="E524" i="23"/>
  <c r="E525" i="23"/>
  <c r="E526" i="23"/>
  <c r="E527" i="23"/>
  <c r="E528" i="23"/>
  <c r="K21" i="65"/>
  <c r="K20" i="65"/>
  <c r="K19" i="65"/>
  <c r="K18" i="65"/>
  <c r="K17" i="65"/>
  <c r="K16" i="65"/>
  <c r="K15" i="65"/>
  <c r="K14" i="65"/>
  <c r="K13" i="65"/>
  <c r="K12" i="65"/>
  <c r="K11" i="65"/>
  <c r="K10" i="65"/>
  <c r="K9" i="65"/>
  <c r="K8" i="65"/>
  <c r="K7" i="65"/>
  <c r="K6" i="65"/>
  <c r="M5" i="65"/>
  <c r="K5" i="65"/>
  <c r="B4" i="65"/>
  <c r="C3" i="65"/>
  <c r="E495" i="23"/>
  <c r="E496" i="23"/>
  <c r="E497" i="23"/>
  <c r="E498" i="23"/>
  <c r="E499" i="23"/>
  <c r="E500" i="23"/>
  <c r="E501" i="23"/>
  <c r="E502" i="23"/>
  <c r="E503" i="23"/>
  <c r="E504" i="23"/>
  <c r="E505" i="23"/>
  <c r="E506" i="23"/>
  <c r="E507" i="23"/>
  <c r="E508" i="23"/>
  <c r="E509" i="23"/>
  <c r="E510" i="23"/>
  <c r="E511" i="23"/>
  <c r="K21" i="64"/>
  <c r="K20" i="64"/>
  <c r="K19" i="64"/>
  <c r="K18" i="64"/>
  <c r="K17" i="64"/>
  <c r="K16" i="64"/>
  <c r="K15" i="64"/>
  <c r="K14" i="64"/>
  <c r="K13" i="64"/>
  <c r="K12" i="64"/>
  <c r="K11" i="64"/>
  <c r="K10" i="64"/>
  <c r="K9" i="64"/>
  <c r="K8" i="64"/>
  <c r="K7" i="64"/>
  <c r="K6" i="64"/>
  <c r="M5" i="64"/>
  <c r="K5" i="64"/>
  <c r="B4" i="64"/>
  <c r="C3" i="64"/>
  <c r="C4" i="64" s="1"/>
  <c r="E478" i="23"/>
  <c r="E479" i="23"/>
  <c r="E480" i="23"/>
  <c r="E481" i="23"/>
  <c r="E482" i="23"/>
  <c r="E483" i="23"/>
  <c r="E484" i="23"/>
  <c r="E485" i="23"/>
  <c r="E486" i="23"/>
  <c r="E487" i="23"/>
  <c r="E488" i="23"/>
  <c r="E489" i="23"/>
  <c r="E490" i="23"/>
  <c r="E491" i="23"/>
  <c r="E492" i="23"/>
  <c r="E493" i="23"/>
  <c r="E494" i="23"/>
  <c r="K21" i="63"/>
  <c r="K20" i="63"/>
  <c r="K19" i="63"/>
  <c r="K18" i="63"/>
  <c r="K17" i="63"/>
  <c r="K16" i="63"/>
  <c r="K15" i="63"/>
  <c r="K14" i="63"/>
  <c r="K13" i="63"/>
  <c r="K12" i="63"/>
  <c r="K11" i="63"/>
  <c r="K10" i="63"/>
  <c r="K9" i="63"/>
  <c r="K8" i="63"/>
  <c r="K7" i="63"/>
  <c r="K6" i="63"/>
  <c r="M5" i="63"/>
  <c r="K5" i="63"/>
  <c r="B4" i="63"/>
  <c r="C3" i="63"/>
  <c r="C4" i="63" s="1"/>
  <c r="E461" i="23"/>
  <c r="E462" i="23"/>
  <c r="E463" i="23"/>
  <c r="E464" i="23"/>
  <c r="E465" i="23"/>
  <c r="E466" i="23"/>
  <c r="E467" i="23"/>
  <c r="E468" i="23"/>
  <c r="E469" i="23"/>
  <c r="E470" i="23"/>
  <c r="E471" i="23"/>
  <c r="E472" i="23"/>
  <c r="E473" i="23"/>
  <c r="E474" i="23"/>
  <c r="E475" i="23"/>
  <c r="E476" i="23"/>
  <c r="E477" i="23"/>
  <c r="K21" i="62"/>
  <c r="K20" i="62"/>
  <c r="K19" i="62"/>
  <c r="K18" i="62"/>
  <c r="K17" i="62"/>
  <c r="K16" i="62"/>
  <c r="K15" i="62"/>
  <c r="K14" i="62"/>
  <c r="K13" i="62"/>
  <c r="K12" i="62"/>
  <c r="K11" i="62"/>
  <c r="K10" i="62"/>
  <c r="K9" i="62"/>
  <c r="K8" i="62"/>
  <c r="K7" i="62"/>
  <c r="K6" i="62"/>
  <c r="M5" i="62"/>
  <c r="K5" i="62"/>
  <c r="B4" i="62"/>
  <c r="C3" i="62"/>
  <c r="C4" i="62" s="1"/>
  <c r="E444" i="23"/>
  <c r="E445" i="23"/>
  <c r="E446" i="23"/>
  <c r="E447" i="23"/>
  <c r="E448" i="23"/>
  <c r="E449" i="23"/>
  <c r="E450" i="23"/>
  <c r="E451" i="23"/>
  <c r="E452" i="23"/>
  <c r="E453" i="23"/>
  <c r="E454" i="23"/>
  <c r="E455" i="23"/>
  <c r="E456" i="23"/>
  <c r="E457" i="23"/>
  <c r="E458" i="23"/>
  <c r="E459" i="23"/>
  <c r="E460" i="23"/>
  <c r="K21" i="61"/>
  <c r="K20" i="61"/>
  <c r="K19" i="61"/>
  <c r="K18" i="61"/>
  <c r="K17" i="61"/>
  <c r="K16" i="61"/>
  <c r="K15" i="61"/>
  <c r="K14" i="61"/>
  <c r="K13" i="61"/>
  <c r="K12" i="61"/>
  <c r="K11" i="61"/>
  <c r="K10" i="61"/>
  <c r="K9" i="61"/>
  <c r="K8" i="61"/>
  <c r="K7" i="61"/>
  <c r="K6" i="61"/>
  <c r="M5" i="61"/>
  <c r="K5" i="61"/>
  <c r="B4" i="61"/>
  <c r="C3" i="61"/>
  <c r="C4" i="61" s="1"/>
  <c r="E427" i="23"/>
  <c r="E428" i="23"/>
  <c r="E429" i="23"/>
  <c r="E430" i="23"/>
  <c r="E431" i="23"/>
  <c r="E432" i="23"/>
  <c r="E433" i="23"/>
  <c r="E434" i="23"/>
  <c r="E435" i="23"/>
  <c r="E436" i="23"/>
  <c r="E437" i="23"/>
  <c r="E438" i="23"/>
  <c r="E439" i="23"/>
  <c r="E440" i="23"/>
  <c r="E441" i="23"/>
  <c r="E442" i="23"/>
  <c r="E443" i="23"/>
  <c r="K21" i="60"/>
  <c r="K20" i="60"/>
  <c r="K19" i="60"/>
  <c r="K18" i="60"/>
  <c r="K17" i="60"/>
  <c r="K16" i="60"/>
  <c r="K15" i="60"/>
  <c r="K14" i="60"/>
  <c r="K13" i="60"/>
  <c r="K12" i="60"/>
  <c r="K11" i="60"/>
  <c r="K10" i="60"/>
  <c r="K9" i="60"/>
  <c r="K8" i="60"/>
  <c r="K7" i="60"/>
  <c r="K6" i="60"/>
  <c r="M5" i="60"/>
  <c r="K5" i="60"/>
  <c r="B4" i="60"/>
  <c r="C3" i="60"/>
  <c r="C4" i="60" s="1"/>
  <c r="E410" i="23"/>
  <c r="E411" i="23"/>
  <c r="E412" i="23"/>
  <c r="E413" i="23"/>
  <c r="E414" i="23"/>
  <c r="E415" i="23"/>
  <c r="E416" i="23"/>
  <c r="E417" i="23"/>
  <c r="E418" i="23"/>
  <c r="E419" i="23"/>
  <c r="E420" i="23"/>
  <c r="E421" i="23"/>
  <c r="E422" i="23"/>
  <c r="E423" i="23"/>
  <c r="E424" i="23"/>
  <c r="E425" i="23"/>
  <c r="E426" i="23"/>
  <c r="K21" i="59"/>
  <c r="K20" i="59"/>
  <c r="K19" i="59"/>
  <c r="K18" i="59"/>
  <c r="K17" i="59"/>
  <c r="K16" i="59"/>
  <c r="K15" i="59"/>
  <c r="K14" i="59"/>
  <c r="K13" i="59"/>
  <c r="K12" i="59"/>
  <c r="K11" i="59"/>
  <c r="K10" i="59"/>
  <c r="K9" i="59"/>
  <c r="K8" i="59"/>
  <c r="K7" i="59"/>
  <c r="K6" i="59"/>
  <c r="M5" i="59"/>
  <c r="K5" i="59"/>
  <c r="B4" i="59"/>
  <c r="C3" i="59"/>
  <c r="C4" i="59" s="1"/>
  <c r="E2" i="23"/>
  <c r="F2" i="23"/>
  <c r="G2" i="23"/>
  <c r="E393" i="23"/>
  <c r="E394" i="23"/>
  <c r="E395" i="23"/>
  <c r="E396" i="23"/>
  <c r="E397" i="23"/>
  <c r="E398" i="23"/>
  <c r="E399" i="23"/>
  <c r="E400" i="23"/>
  <c r="E401" i="23"/>
  <c r="E402" i="23"/>
  <c r="E403" i="23"/>
  <c r="E404" i="23"/>
  <c r="E405" i="23"/>
  <c r="E406" i="23"/>
  <c r="E407" i="23"/>
  <c r="E408" i="23"/>
  <c r="E409" i="23"/>
  <c r="K21" i="58"/>
  <c r="K20" i="58"/>
  <c r="K19" i="58"/>
  <c r="K18" i="58"/>
  <c r="K17" i="58"/>
  <c r="K16" i="58"/>
  <c r="K15" i="58"/>
  <c r="K14" i="58"/>
  <c r="K13" i="58"/>
  <c r="K12" i="58"/>
  <c r="K11" i="58"/>
  <c r="K10" i="58"/>
  <c r="K9" i="58"/>
  <c r="K8" i="58"/>
  <c r="K7" i="58"/>
  <c r="K6" i="58"/>
  <c r="M5" i="58"/>
  <c r="K5" i="58"/>
  <c r="B4" i="58"/>
  <c r="C3" i="58"/>
  <c r="C4" i="58" s="1"/>
  <c r="E376" i="23"/>
  <c r="E377" i="23"/>
  <c r="E378" i="23"/>
  <c r="E379" i="23"/>
  <c r="E380" i="23"/>
  <c r="E381" i="23"/>
  <c r="E382" i="23"/>
  <c r="E383" i="23"/>
  <c r="E384" i="23"/>
  <c r="E385" i="23"/>
  <c r="E386" i="23"/>
  <c r="E387" i="23"/>
  <c r="E388" i="23"/>
  <c r="E389" i="23"/>
  <c r="E390" i="23"/>
  <c r="E391" i="23"/>
  <c r="E392" i="23"/>
  <c r="K21" i="57"/>
  <c r="K20" i="57"/>
  <c r="K19" i="57"/>
  <c r="K18" i="57"/>
  <c r="K17" i="57"/>
  <c r="K16" i="57"/>
  <c r="K15" i="57"/>
  <c r="K14" i="57"/>
  <c r="K13" i="57"/>
  <c r="K12" i="57"/>
  <c r="K11" i="57"/>
  <c r="K10" i="57"/>
  <c r="K9" i="57"/>
  <c r="K8" i="57"/>
  <c r="K7" i="57"/>
  <c r="K6" i="57"/>
  <c r="M5" i="57"/>
  <c r="K5" i="57"/>
  <c r="B4" i="57"/>
  <c r="C3" i="57"/>
  <c r="C4" i="57" s="1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27" i="23"/>
  <c r="E228" i="23"/>
  <c r="E229" i="23"/>
  <c r="E230" i="23"/>
  <c r="E231" i="23"/>
  <c r="E232" i="23"/>
  <c r="E233" i="23"/>
  <c r="E234" i="23"/>
  <c r="E235" i="23"/>
  <c r="E236" i="23"/>
  <c r="E237" i="23"/>
  <c r="E238" i="23"/>
  <c r="E239" i="23"/>
  <c r="E240" i="23"/>
  <c r="E241" i="23"/>
  <c r="E242" i="23"/>
  <c r="E243" i="23"/>
  <c r="E244" i="23"/>
  <c r="E245" i="23"/>
  <c r="E246" i="23"/>
  <c r="E247" i="23"/>
  <c r="E248" i="23"/>
  <c r="E249" i="23"/>
  <c r="E250" i="23"/>
  <c r="E251" i="23"/>
  <c r="E252" i="23"/>
  <c r="E253" i="23"/>
  <c r="E254" i="23"/>
  <c r="E255" i="23"/>
  <c r="E256" i="23"/>
  <c r="E257" i="23"/>
  <c r="E258" i="23"/>
  <c r="E259" i="23"/>
  <c r="E260" i="23"/>
  <c r="E261" i="23"/>
  <c r="E262" i="23"/>
  <c r="E263" i="23"/>
  <c r="E264" i="23"/>
  <c r="E265" i="23"/>
  <c r="E266" i="23"/>
  <c r="E267" i="23"/>
  <c r="E268" i="23"/>
  <c r="E269" i="23"/>
  <c r="E270" i="23"/>
  <c r="E271" i="23"/>
  <c r="E272" i="23"/>
  <c r="E273" i="23"/>
  <c r="E274" i="23"/>
  <c r="E275" i="23"/>
  <c r="E276" i="23"/>
  <c r="E277" i="23"/>
  <c r="E278" i="23"/>
  <c r="E279" i="23"/>
  <c r="E280" i="23"/>
  <c r="E281" i="23"/>
  <c r="E282" i="23"/>
  <c r="E283" i="23"/>
  <c r="E284" i="23"/>
  <c r="E285" i="23"/>
  <c r="E286" i="23"/>
  <c r="E287" i="23"/>
  <c r="E288" i="23"/>
  <c r="E289" i="23"/>
  <c r="E290" i="23"/>
  <c r="E291" i="23"/>
  <c r="E292" i="23"/>
  <c r="E293" i="23"/>
  <c r="E294" i="23"/>
  <c r="E295" i="23"/>
  <c r="E296" i="23"/>
  <c r="E297" i="23"/>
  <c r="E298" i="23"/>
  <c r="E299" i="23"/>
  <c r="E300" i="23"/>
  <c r="E301" i="23"/>
  <c r="E302" i="23"/>
  <c r="E303" i="23"/>
  <c r="E304" i="23"/>
  <c r="E305" i="23"/>
  <c r="E306" i="23"/>
  <c r="E307" i="23"/>
  <c r="E308" i="23"/>
  <c r="E309" i="23"/>
  <c r="E310" i="23"/>
  <c r="E311" i="23"/>
  <c r="E312" i="23"/>
  <c r="E313" i="23"/>
  <c r="E314" i="23"/>
  <c r="E315" i="23"/>
  <c r="E316" i="23"/>
  <c r="E317" i="23"/>
  <c r="E318" i="23"/>
  <c r="E319" i="23"/>
  <c r="E320" i="23"/>
  <c r="E321" i="23"/>
  <c r="E322" i="23"/>
  <c r="E323" i="23"/>
  <c r="E324" i="23"/>
  <c r="E325" i="23"/>
  <c r="E326" i="23"/>
  <c r="E327" i="23"/>
  <c r="E328" i="23"/>
  <c r="E329" i="23"/>
  <c r="E330" i="23"/>
  <c r="E331" i="23"/>
  <c r="E332" i="23"/>
  <c r="E333" i="23"/>
  <c r="E334" i="23"/>
  <c r="E335" i="23"/>
  <c r="E336" i="23"/>
  <c r="E337" i="23"/>
  <c r="E338" i="23"/>
  <c r="E339" i="23"/>
  <c r="E340" i="23"/>
  <c r="E341" i="23"/>
  <c r="E342" i="23"/>
  <c r="E343" i="23"/>
  <c r="E344" i="23"/>
  <c r="E345" i="23"/>
  <c r="E346" i="23"/>
  <c r="E347" i="23"/>
  <c r="E348" i="23"/>
  <c r="E349" i="23"/>
  <c r="E350" i="23"/>
  <c r="E351" i="23"/>
  <c r="E352" i="23"/>
  <c r="E353" i="23"/>
  <c r="E354" i="23"/>
  <c r="E355" i="23"/>
  <c r="E356" i="23"/>
  <c r="E357" i="23"/>
  <c r="E358" i="23"/>
  <c r="E359" i="23"/>
  <c r="E360" i="23"/>
  <c r="E361" i="23"/>
  <c r="E362" i="23"/>
  <c r="E363" i="23"/>
  <c r="E364" i="23"/>
  <c r="E365" i="23"/>
  <c r="E366" i="23"/>
  <c r="E367" i="23"/>
  <c r="E368" i="23"/>
  <c r="E369" i="23"/>
  <c r="E370" i="23"/>
  <c r="E371" i="23"/>
  <c r="E372" i="23"/>
  <c r="E373" i="23"/>
  <c r="E374" i="23"/>
  <c r="E375" i="23"/>
  <c r="K21" i="56"/>
  <c r="K20" i="56"/>
  <c r="K19" i="56"/>
  <c r="K18" i="56"/>
  <c r="K17" i="56"/>
  <c r="K16" i="56"/>
  <c r="K15" i="56"/>
  <c r="K14" i="56"/>
  <c r="K13" i="56"/>
  <c r="K12" i="56"/>
  <c r="K11" i="56"/>
  <c r="K10" i="56"/>
  <c r="K9" i="56"/>
  <c r="K8" i="56"/>
  <c r="K7" i="56"/>
  <c r="K6" i="56"/>
  <c r="M5" i="56"/>
  <c r="K5" i="56"/>
  <c r="B4" i="56"/>
  <c r="C3" i="56"/>
  <c r="D3" i="56" s="1"/>
  <c r="K20" i="55"/>
  <c r="K19" i="55"/>
  <c r="K18" i="55"/>
  <c r="K17" i="55"/>
  <c r="K16" i="55"/>
  <c r="K15" i="55"/>
  <c r="K14" i="55"/>
  <c r="K13" i="55"/>
  <c r="K12" i="55"/>
  <c r="K11" i="55"/>
  <c r="K10" i="55"/>
  <c r="K9" i="55"/>
  <c r="K8" i="55"/>
  <c r="K7" i="55"/>
  <c r="K6" i="55"/>
  <c r="M5" i="55"/>
  <c r="K5" i="55"/>
  <c r="B4" i="55"/>
  <c r="C3" i="55"/>
  <c r="K20" i="54"/>
  <c r="K19" i="54"/>
  <c r="K18" i="54"/>
  <c r="K17" i="54"/>
  <c r="K16" i="54"/>
  <c r="K15" i="54"/>
  <c r="K14" i="54"/>
  <c r="K13" i="54"/>
  <c r="K12" i="54"/>
  <c r="K11" i="54"/>
  <c r="K10" i="54"/>
  <c r="K9" i="54"/>
  <c r="K8" i="54"/>
  <c r="K7" i="54"/>
  <c r="K6" i="54"/>
  <c r="M5" i="54"/>
  <c r="K5" i="54"/>
  <c r="B4" i="54"/>
  <c r="C3" i="54"/>
  <c r="D3" i="54" s="1"/>
  <c r="K19" i="53"/>
  <c r="K18" i="53"/>
  <c r="K17" i="53"/>
  <c r="K16" i="53"/>
  <c r="K15" i="53"/>
  <c r="K14" i="53"/>
  <c r="K13" i="53"/>
  <c r="K12" i="53"/>
  <c r="K11" i="53"/>
  <c r="K10" i="53"/>
  <c r="K9" i="53"/>
  <c r="K8" i="53"/>
  <c r="K7" i="53"/>
  <c r="K6" i="53"/>
  <c r="M5" i="53"/>
  <c r="K5" i="53"/>
  <c r="B4" i="53"/>
  <c r="C3" i="53"/>
  <c r="D3" i="53" s="1"/>
  <c r="L5" i="84" l="1"/>
  <c r="L18" i="84"/>
  <c r="L10" i="84"/>
  <c r="L17" i="84"/>
  <c r="L9" i="84"/>
  <c r="L15" i="84"/>
  <c r="L7" i="84"/>
  <c r="L21" i="84"/>
  <c r="L14" i="84"/>
  <c r="L6" i="84"/>
  <c r="L19" i="84"/>
  <c r="L13" i="84"/>
  <c r="L8" i="84"/>
  <c r="L12" i="84"/>
  <c r="L16" i="84"/>
  <c r="L20" i="84"/>
  <c r="F3" i="84"/>
  <c r="E4" i="84"/>
  <c r="L20" i="83"/>
  <c r="L9" i="83"/>
  <c r="L13" i="83"/>
  <c r="L12" i="83"/>
  <c r="L10" i="83"/>
  <c r="L17" i="83"/>
  <c r="L14" i="83"/>
  <c r="L16" i="83"/>
  <c r="L18" i="83"/>
  <c r="L8" i="83"/>
  <c r="L5" i="83"/>
  <c r="L15" i="83"/>
  <c r="L19" i="83"/>
  <c r="L7" i="83"/>
  <c r="L21" i="83"/>
  <c r="L11" i="83"/>
  <c r="L5" i="81"/>
  <c r="E3" i="83"/>
  <c r="D4" i="83"/>
  <c r="L8" i="81"/>
  <c r="L7" i="81"/>
  <c r="L12" i="81"/>
  <c r="L13" i="81"/>
  <c r="L14" i="81"/>
  <c r="L21" i="81"/>
  <c r="L18" i="81"/>
  <c r="L19" i="81"/>
  <c r="L11" i="81"/>
  <c r="L16" i="81"/>
  <c r="L17" i="81"/>
  <c r="L9" i="81"/>
  <c r="L6" i="81"/>
  <c r="L20" i="81"/>
  <c r="L15" i="81"/>
  <c r="L18" i="80"/>
  <c r="L19" i="80"/>
  <c r="L9" i="80"/>
  <c r="L10" i="80"/>
  <c r="L7" i="80"/>
  <c r="L11" i="80"/>
  <c r="L21" i="80"/>
  <c r="L16" i="80"/>
  <c r="L13" i="80"/>
  <c r="L8" i="80"/>
  <c r="L20" i="80"/>
  <c r="L15" i="80"/>
  <c r="L12" i="80"/>
  <c r="L14" i="80"/>
  <c r="L17" i="80"/>
  <c r="L6" i="80"/>
  <c r="E3" i="81"/>
  <c r="D4" i="81"/>
  <c r="D4" i="80"/>
  <c r="E3" i="80"/>
  <c r="D3" i="55"/>
  <c r="C4" i="55"/>
  <c r="C4" i="65"/>
  <c r="D3" i="65"/>
  <c r="D4" i="65" s="1"/>
  <c r="L9" i="79"/>
  <c r="L13" i="79"/>
  <c r="L8" i="79"/>
  <c r="L17" i="79"/>
  <c r="L21" i="79"/>
  <c r="L16" i="79"/>
  <c r="L7" i="79"/>
  <c r="L18" i="79"/>
  <c r="L10" i="79"/>
  <c r="L15" i="79"/>
  <c r="L19" i="79"/>
  <c r="L5" i="79"/>
  <c r="L12" i="79"/>
  <c r="L14" i="79"/>
  <c r="L20" i="79"/>
  <c r="L11" i="79"/>
  <c r="F3" i="79"/>
  <c r="E4" i="79"/>
  <c r="L21" i="78"/>
  <c r="L20" i="78"/>
  <c r="L5" i="78"/>
  <c r="L11" i="78"/>
  <c r="L8" i="78"/>
  <c r="L19" i="78"/>
  <c r="L12" i="78"/>
  <c r="L10" i="78"/>
  <c r="L16" i="78"/>
  <c r="L14" i="78"/>
  <c r="L9" i="78"/>
  <c r="L6" i="78"/>
  <c r="L18" i="78"/>
  <c r="L15" i="78"/>
  <c r="L13" i="78"/>
  <c r="L7" i="78"/>
  <c r="D4" i="78"/>
  <c r="E3" i="78"/>
  <c r="K22" i="77"/>
  <c r="L5" i="77" s="1"/>
  <c r="D3" i="77"/>
  <c r="K22" i="76"/>
  <c r="L5" i="76" s="1"/>
  <c r="D3" i="76"/>
  <c r="K22" i="75"/>
  <c r="L17" i="75" s="1"/>
  <c r="D3" i="75"/>
  <c r="K22" i="74"/>
  <c r="L10" i="74"/>
  <c r="L6" i="74"/>
  <c r="L12" i="74"/>
  <c r="D3" i="74"/>
  <c r="K22" i="73"/>
  <c r="L5" i="73" s="1"/>
  <c r="D3" i="73"/>
  <c r="K22" i="72"/>
  <c r="L8" i="72" s="1"/>
  <c r="D3" i="72"/>
  <c r="K22" i="71"/>
  <c r="L10" i="71" s="1"/>
  <c r="D3" i="71"/>
  <c r="K22" i="70"/>
  <c r="L6" i="70" s="1"/>
  <c r="D3" i="70"/>
  <c r="K22" i="69"/>
  <c r="L5" i="69" s="1"/>
  <c r="D3" i="69"/>
  <c r="K22" i="68"/>
  <c r="L5" i="68" s="1"/>
  <c r="D3" i="68"/>
  <c r="K22" i="67"/>
  <c r="L5" i="67" s="1"/>
  <c r="D3" i="67"/>
  <c r="K22" i="66"/>
  <c r="L5" i="66" s="1"/>
  <c r="D3" i="66"/>
  <c r="K22" i="65"/>
  <c r="L8" i="65" s="1"/>
  <c r="E3" i="65"/>
  <c r="K22" i="64"/>
  <c r="L15" i="64" s="1"/>
  <c r="D3" i="64"/>
  <c r="K22" i="63"/>
  <c r="L5" i="63" s="1"/>
  <c r="D3" i="63"/>
  <c r="K22" i="62"/>
  <c r="L19" i="62" s="1"/>
  <c r="D3" i="62"/>
  <c r="D4" i="62" s="1"/>
  <c r="E3" i="62"/>
  <c r="K22" i="61"/>
  <c r="L15" i="61" s="1"/>
  <c r="D3" i="61"/>
  <c r="K22" i="60"/>
  <c r="L6" i="60" s="1"/>
  <c r="D3" i="60"/>
  <c r="K22" i="59"/>
  <c r="L8" i="59" s="1"/>
  <c r="D3" i="59"/>
  <c r="K22" i="58"/>
  <c r="L7" i="58" s="1"/>
  <c r="D3" i="58"/>
  <c r="K22" i="57"/>
  <c r="L5" i="57" s="1"/>
  <c r="D3" i="57"/>
  <c r="K22" i="56"/>
  <c r="L14" i="56" s="1"/>
  <c r="C4" i="56"/>
  <c r="E3" i="56"/>
  <c r="D4" i="56"/>
  <c r="K21" i="55"/>
  <c r="L14" i="55" s="1"/>
  <c r="D4" i="55"/>
  <c r="E3" i="55"/>
  <c r="K21" i="54"/>
  <c r="L20" i="54" s="1"/>
  <c r="E3" i="54"/>
  <c r="D4" i="54"/>
  <c r="C4" i="54"/>
  <c r="K20" i="53"/>
  <c r="L5" i="53" s="1"/>
  <c r="E3" i="53"/>
  <c r="D4" i="53"/>
  <c r="C4" i="53"/>
  <c r="K19" i="52"/>
  <c r="K18" i="52"/>
  <c r="K17" i="52"/>
  <c r="K16" i="52"/>
  <c r="K15" i="52"/>
  <c r="K14" i="52"/>
  <c r="K13" i="52"/>
  <c r="K12" i="52"/>
  <c r="K11" i="52"/>
  <c r="K10" i="52"/>
  <c r="K9" i="52"/>
  <c r="K8" i="52"/>
  <c r="K7" i="52"/>
  <c r="K6" i="52"/>
  <c r="M5" i="52"/>
  <c r="K5" i="52"/>
  <c r="B4" i="52"/>
  <c r="C3" i="52"/>
  <c r="D3" i="52" s="1"/>
  <c r="G3" i="84" l="1"/>
  <c r="F4" i="84"/>
  <c r="E4" i="83"/>
  <c r="F3" i="83"/>
  <c r="F3" i="81"/>
  <c r="E4" i="81"/>
  <c r="F3" i="80"/>
  <c r="E4" i="80"/>
  <c r="L9" i="74"/>
  <c r="L8" i="74"/>
  <c r="L16" i="74"/>
  <c r="G3" i="79"/>
  <c r="F4" i="79"/>
  <c r="F3" i="78"/>
  <c r="E4" i="78"/>
  <c r="L20" i="77"/>
  <c r="L13" i="77"/>
  <c r="L8" i="77"/>
  <c r="L12" i="77"/>
  <c r="L18" i="77"/>
  <c r="L19" i="77"/>
  <c r="L10" i="77"/>
  <c r="L11" i="77"/>
  <c r="L15" i="77"/>
  <c r="L17" i="77"/>
  <c r="L7" i="77"/>
  <c r="L9" i="77"/>
  <c r="L14" i="77"/>
  <c r="L21" i="77"/>
  <c r="L16" i="77"/>
  <c r="L6" i="77"/>
  <c r="E3" i="77"/>
  <c r="D4" i="77"/>
  <c r="L8" i="76"/>
  <c r="L9" i="76"/>
  <c r="L16" i="76"/>
  <c r="L19" i="76"/>
  <c r="L11" i="76"/>
  <c r="L14" i="76"/>
  <c r="L10" i="76"/>
  <c r="L7" i="76"/>
  <c r="L13" i="76"/>
  <c r="L20" i="76"/>
  <c r="L12" i="76"/>
  <c r="L15" i="76"/>
  <c r="L18" i="76"/>
  <c r="L21" i="76"/>
  <c r="L17" i="76"/>
  <c r="L6" i="76"/>
  <c r="E3" i="76"/>
  <c r="D4" i="76"/>
  <c r="L8" i="75"/>
  <c r="L16" i="75"/>
  <c r="L5" i="75"/>
  <c r="L13" i="75"/>
  <c r="L20" i="75"/>
  <c r="L15" i="75"/>
  <c r="L12" i="75"/>
  <c r="L19" i="75"/>
  <c r="L18" i="75"/>
  <c r="L10" i="75"/>
  <c r="L7" i="75"/>
  <c r="L6" i="75"/>
  <c r="L14" i="75"/>
  <c r="L9" i="75"/>
  <c r="L21" i="75"/>
  <c r="L11" i="75"/>
  <c r="E3" i="75"/>
  <c r="D4" i="75"/>
  <c r="L21" i="74"/>
  <c r="L5" i="74"/>
  <c r="L15" i="74"/>
  <c r="L13" i="74"/>
  <c r="L19" i="74"/>
  <c r="L7" i="74"/>
  <c r="L20" i="74"/>
  <c r="L11" i="74"/>
  <c r="L18" i="74"/>
  <c r="L17" i="74"/>
  <c r="L14" i="74"/>
  <c r="D4" i="74"/>
  <c r="E3" i="74"/>
  <c r="L10" i="73"/>
  <c r="L6" i="73"/>
  <c r="L13" i="73"/>
  <c r="L17" i="73"/>
  <c r="L20" i="73"/>
  <c r="L8" i="73"/>
  <c r="L9" i="73"/>
  <c r="L16" i="73"/>
  <c r="L19" i="73"/>
  <c r="L11" i="73"/>
  <c r="L7" i="73"/>
  <c r="L21" i="73"/>
  <c r="L12" i="73"/>
  <c r="L15" i="73"/>
  <c r="L18" i="73"/>
  <c r="L14" i="73"/>
  <c r="E3" i="73"/>
  <c r="D4" i="73"/>
  <c r="L7" i="72"/>
  <c r="L5" i="72"/>
  <c r="L21" i="72"/>
  <c r="L6" i="72"/>
  <c r="L11" i="72"/>
  <c r="L20" i="72"/>
  <c r="L17" i="72"/>
  <c r="L12" i="72"/>
  <c r="L9" i="72"/>
  <c r="L18" i="72"/>
  <c r="L14" i="72"/>
  <c r="L13" i="72"/>
  <c r="L10" i="72"/>
  <c r="L15" i="72"/>
  <c r="L16" i="72"/>
  <c r="L19" i="72"/>
  <c r="D4" i="72"/>
  <c r="E3" i="72"/>
  <c r="L5" i="71"/>
  <c r="L14" i="71"/>
  <c r="L6" i="71"/>
  <c r="L20" i="71"/>
  <c r="L13" i="71"/>
  <c r="L7" i="71"/>
  <c r="L17" i="71"/>
  <c r="L12" i="71"/>
  <c r="L9" i="71"/>
  <c r="L15" i="71"/>
  <c r="L11" i="71"/>
  <c r="L18" i="71"/>
  <c r="L16" i="71"/>
  <c r="L21" i="71"/>
  <c r="L19" i="71"/>
  <c r="L8" i="71"/>
  <c r="D4" i="71"/>
  <c r="E3" i="71"/>
  <c r="L17" i="70"/>
  <c r="E3" i="70"/>
  <c r="D4" i="70"/>
  <c r="L9" i="70"/>
  <c r="L14" i="70"/>
  <c r="L21" i="70"/>
  <c r="L13" i="70"/>
  <c r="L10" i="70"/>
  <c r="L5" i="70"/>
  <c r="L16" i="70"/>
  <c r="L12" i="70"/>
  <c r="L8" i="70"/>
  <c r="L20" i="70"/>
  <c r="L18" i="70"/>
  <c r="L19" i="70"/>
  <c r="L15" i="70"/>
  <c r="L11" i="70"/>
  <c r="L7" i="70"/>
  <c r="L10" i="69"/>
  <c r="L6" i="69"/>
  <c r="L9" i="69"/>
  <c r="L14" i="69"/>
  <c r="L21" i="69"/>
  <c r="L17" i="69"/>
  <c r="L12" i="69"/>
  <c r="L16" i="69"/>
  <c r="L19" i="69"/>
  <c r="L15" i="69"/>
  <c r="L13" i="69"/>
  <c r="L20" i="69"/>
  <c r="L8" i="69"/>
  <c r="L11" i="69"/>
  <c r="L18" i="69"/>
  <c r="L7" i="69"/>
  <c r="D4" i="69"/>
  <c r="E3" i="69"/>
  <c r="L18" i="68"/>
  <c r="L14" i="68"/>
  <c r="L10" i="68"/>
  <c r="L17" i="68"/>
  <c r="L13" i="68"/>
  <c r="L9" i="68"/>
  <c r="L20" i="68"/>
  <c r="L15" i="68"/>
  <c r="L12" i="68"/>
  <c r="L19" i="68"/>
  <c r="L16" i="68"/>
  <c r="L6" i="68"/>
  <c r="L21" i="68"/>
  <c r="L7" i="68"/>
  <c r="L11" i="68"/>
  <c r="L8" i="68"/>
  <c r="E3" i="68"/>
  <c r="D4" i="68"/>
  <c r="L9" i="67"/>
  <c r="L11" i="67"/>
  <c r="L16" i="67"/>
  <c r="L20" i="67"/>
  <c r="L8" i="67"/>
  <c r="L12" i="67"/>
  <c r="L21" i="67"/>
  <c r="L19" i="67"/>
  <c r="L15" i="67"/>
  <c r="L7" i="67"/>
  <c r="L18" i="67"/>
  <c r="L14" i="67"/>
  <c r="L10" i="67"/>
  <c r="L6" i="67"/>
  <c r="L17" i="67"/>
  <c r="L13" i="67"/>
  <c r="E3" i="67"/>
  <c r="D4" i="67"/>
  <c r="L7" i="66"/>
  <c r="L16" i="66"/>
  <c r="L18" i="66"/>
  <c r="L12" i="66"/>
  <c r="L10" i="66"/>
  <c r="L17" i="66"/>
  <c r="L21" i="66"/>
  <c r="L13" i="66"/>
  <c r="L9" i="66"/>
  <c r="L20" i="66"/>
  <c r="L15" i="66"/>
  <c r="L19" i="66"/>
  <c r="L11" i="66"/>
  <c r="L8" i="66"/>
  <c r="L14" i="66"/>
  <c r="L6" i="66"/>
  <c r="E3" i="66"/>
  <c r="D4" i="66"/>
  <c r="L21" i="65"/>
  <c r="L18" i="65"/>
  <c r="L14" i="65"/>
  <c r="L15" i="65"/>
  <c r="L13" i="65"/>
  <c r="L19" i="65"/>
  <c r="L7" i="65"/>
  <c r="L20" i="65"/>
  <c r="L11" i="65"/>
  <c r="L12" i="65"/>
  <c r="L17" i="65"/>
  <c r="L6" i="65"/>
  <c r="L9" i="65"/>
  <c r="L10" i="65"/>
  <c r="L16" i="65"/>
  <c r="L5" i="65"/>
  <c r="E4" i="65"/>
  <c r="F3" i="65"/>
  <c r="L10" i="64"/>
  <c r="L7" i="64"/>
  <c r="L5" i="64"/>
  <c r="L13" i="64"/>
  <c r="L16" i="64"/>
  <c r="L20" i="64"/>
  <c r="L8" i="64"/>
  <c r="L14" i="64"/>
  <c r="L9" i="64"/>
  <c r="L12" i="64"/>
  <c r="L6" i="64"/>
  <c r="L19" i="64"/>
  <c r="L11" i="64"/>
  <c r="L17" i="64"/>
  <c r="L21" i="64"/>
  <c r="L18" i="64"/>
  <c r="D4" i="64"/>
  <c r="E3" i="64"/>
  <c r="L19" i="63"/>
  <c r="L15" i="63"/>
  <c r="L18" i="63"/>
  <c r="L10" i="63"/>
  <c r="L6" i="63"/>
  <c r="L17" i="63"/>
  <c r="L20" i="63"/>
  <c r="L9" i="63"/>
  <c r="L7" i="63"/>
  <c r="L21" i="63"/>
  <c r="L14" i="63"/>
  <c r="L13" i="63"/>
  <c r="L12" i="63"/>
  <c r="L8" i="63"/>
  <c r="L11" i="63"/>
  <c r="L16" i="63"/>
  <c r="E3" i="63"/>
  <c r="D4" i="63"/>
  <c r="L18" i="62"/>
  <c r="L7" i="62"/>
  <c r="L6" i="62"/>
  <c r="L9" i="62"/>
  <c r="L10" i="62"/>
  <c r="L13" i="62"/>
  <c r="L11" i="62"/>
  <c r="L15" i="62"/>
  <c r="L14" i="62"/>
  <c r="L8" i="62"/>
  <c r="L16" i="62"/>
  <c r="L21" i="62"/>
  <c r="L20" i="62"/>
  <c r="L17" i="62"/>
  <c r="L5" i="62"/>
  <c r="L12" i="62"/>
  <c r="F3" i="62"/>
  <c r="E4" i="62"/>
  <c r="L17" i="61"/>
  <c r="L7" i="61"/>
  <c r="L6" i="61"/>
  <c r="L19" i="61"/>
  <c r="L11" i="61"/>
  <c r="L18" i="61"/>
  <c r="L10" i="61"/>
  <c r="L16" i="61"/>
  <c r="L20" i="61"/>
  <c r="L21" i="61"/>
  <c r="L12" i="61"/>
  <c r="L14" i="61"/>
  <c r="L5" i="61"/>
  <c r="L8" i="61"/>
  <c r="L9" i="61"/>
  <c r="L13" i="61"/>
  <c r="E3" i="61"/>
  <c r="D4" i="61"/>
  <c r="L7" i="60"/>
  <c r="L21" i="60"/>
  <c r="L10" i="60"/>
  <c r="L19" i="60"/>
  <c r="L11" i="60"/>
  <c r="L15" i="60"/>
  <c r="L20" i="60"/>
  <c r="L16" i="60"/>
  <c r="L13" i="60"/>
  <c r="L12" i="60"/>
  <c r="L8" i="60"/>
  <c r="L18" i="60"/>
  <c r="L17" i="60"/>
  <c r="L14" i="60"/>
  <c r="L9" i="60"/>
  <c r="L5" i="60"/>
  <c r="D4" i="60"/>
  <c r="E3" i="60"/>
  <c r="L19" i="59"/>
  <c r="L11" i="59"/>
  <c r="L21" i="59"/>
  <c r="L14" i="59"/>
  <c r="L6" i="59"/>
  <c r="L18" i="59"/>
  <c r="L13" i="59"/>
  <c r="L5" i="59"/>
  <c r="L16" i="59"/>
  <c r="L17" i="59"/>
  <c r="L15" i="59"/>
  <c r="L9" i="59"/>
  <c r="L7" i="59"/>
  <c r="L12" i="59"/>
  <c r="L20" i="59"/>
  <c r="L10" i="59"/>
  <c r="E3" i="59"/>
  <c r="D4" i="59"/>
  <c r="L18" i="58"/>
  <c r="L20" i="58"/>
  <c r="L12" i="58"/>
  <c r="L6" i="58"/>
  <c r="L5" i="58"/>
  <c r="L9" i="58"/>
  <c r="L16" i="58"/>
  <c r="L19" i="58"/>
  <c r="L14" i="58"/>
  <c r="L17" i="58"/>
  <c r="L10" i="58"/>
  <c r="L21" i="58"/>
  <c r="L11" i="58"/>
  <c r="L8" i="58"/>
  <c r="L13" i="58"/>
  <c r="L15" i="58"/>
  <c r="D4" i="58"/>
  <c r="E3" i="58"/>
  <c r="L21" i="57"/>
  <c r="L20" i="57"/>
  <c r="L15" i="57"/>
  <c r="L7" i="57"/>
  <c r="L14" i="57"/>
  <c r="L10" i="57"/>
  <c r="L17" i="57"/>
  <c r="L11" i="57"/>
  <c r="L18" i="57"/>
  <c r="L9" i="57"/>
  <c r="L13" i="57"/>
  <c r="L8" i="57"/>
  <c r="L12" i="57"/>
  <c r="L6" i="57"/>
  <c r="L19" i="57"/>
  <c r="L16" i="57"/>
  <c r="D4" i="57"/>
  <c r="E3" i="57"/>
  <c r="L21" i="56"/>
  <c r="L18" i="56"/>
  <c r="L15" i="56"/>
  <c r="L17" i="56"/>
  <c r="L10" i="56"/>
  <c r="L19" i="56"/>
  <c r="L6" i="56"/>
  <c r="L20" i="56"/>
  <c r="L16" i="56"/>
  <c r="L12" i="56"/>
  <c r="L8" i="56"/>
  <c r="L5" i="56"/>
  <c r="L7" i="56"/>
  <c r="L13" i="56"/>
  <c r="L11" i="56"/>
  <c r="L9" i="56"/>
  <c r="F3" i="56"/>
  <c r="E4" i="56"/>
  <c r="L15" i="55"/>
  <c r="L6" i="55"/>
  <c r="L12" i="55"/>
  <c r="L10" i="55"/>
  <c r="L13" i="55"/>
  <c r="L9" i="55"/>
  <c r="L17" i="55"/>
  <c r="L16" i="55"/>
  <c r="L7" i="55"/>
  <c r="L8" i="55"/>
  <c r="L5" i="55"/>
  <c r="L19" i="55"/>
  <c r="L11" i="55"/>
  <c r="L20" i="55"/>
  <c r="L18" i="55"/>
  <c r="F3" i="55"/>
  <c r="E4" i="55"/>
  <c r="L13" i="54"/>
  <c r="L8" i="54"/>
  <c r="L19" i="54"/>
  <c r="L17" i="54"/>
  <c r="L11" i="54"/>
  <c r="L9" i="54"/>
  <c r="L18" i="54"/>
  <c r="L10" i="54"/>
  <c r="L15" i="54"/>
  <c r="L7" i="54"/>
  <c r="L14" i="54"/>
  <c r="L16" i="54"/>
  <c r="L6" i="54"/>
  <c r="L5" i="54"/>
  <c r="L12" i="54"/>
  <c r="F3" i="54"/>
  <c r="E4" i="54"/>
  <c r="L17" i="53"/>
  <c r="L9" i="53"/>
  <c r="L19" i="53"/>
  <c r="L8" i="53"/>
  <c r="L16" i="53"/>
  <c r="L11" i="53"/>
  <c r="L15" i="53"/>
  <c r="L18" i="53"/>
  <c r="L7" i="53"/>
  <c r="L14" i="53"/>
  <c r="L6" i="53"/>
  <c r="L12" i="53"/>
  <c r="L10" i="53"/>
  <c r="L13" i="53"/>
  <c r="F3" i="53"/>
  <c r="E4" i="53"/>
  <c r="K20" i="52"/>
  <c r="L12" i="52" s="1"/>
  <c r="E3" i="52"/>
  <c r="D4" i="52"/>
  <c r="C4" i="52"/>
  <c r="K19" i="51"/>
  <c r="K18" i="51"/>
  <c r="K17" i="51"/>
  <c r="K16" i="51"/>
  <c r="K15" i="51"/>
  <c r="K14" i="51"/>
  <c r="K13" i="51"/>
  <c r="K12" i="51"/>
  <c r="K11" i="51"/>
  <c r="K10" i="51"/>
  <c r="K9" i="51"/>
  <c r="K8" i="51"/>
  <c r="K7" i="51"/>
  <c r="K6" i="51"/>
  <c r="M5" i="51"/>
  <c r="K5" i="51"/>
  <c r="B4" i="51"/>
  <c r="C3" i="51"/>
  <c r="D3" i="51" s="1"/>
  <c r="K8" i="50"/>
  <c r="K9" i="50"/>
  <c r="K10" i="50"/>
  <c r="K11" i="50"/>
  <c r="K12" i="50"/>
  <c r="K13" i="50"/>
  <c r="K14" i="50"/>
  <c r="K15" i="50"/>
  <c r="K16" i="50"/>
  <c r="K17" i="50"/>
  <c r="K18" i="50"/>
  <c r="K19" i="50"/>
  <c r="K7" i="50"/>
  <c r="K6" i="50"/>
  <c r="M5" i="50"/>
  <c r="K5" i="50"/>
  <c r="B4" i="50"/>
  <c r="C3" i="50"/>
  <c r="D3" i="50" s="1"/>
  <c r="K18" i="49"/>
  <c r="K17" i="49"/>
  <c r="K16" i="49"/>
  <c r="K15" i="49"/>
  <c r="K14" i="49"/>
  <c r="K13" i="49"/>
  <c r="K12" i="49"/>
  <c r="K11" i="49"/>
  <c r="K10" i="49"/>
  <c r="K9" i="49"/>
  <c r="K8" i="49"/>
  <c r="K7" i="49"/>
  <c r="K6" i="49"/>
  <c r="M5" i="49"/>
  <c r="K5" i="49"/>
  <c r="K19" i="49" s="1"/>
  <c r="B4" i="49"/>
  <c r="C3" i="49"/>
  <c r="K18" i="48"/>
  <c r="G4" i="84" l="1"/>
  <c r="H3" i="84"/>
  <c r="H4" i="84" s="1"/>
  <c r="G3" i="83"/>
  <c r="F4" i="83"/>
  <c r="G3" i="81"/>
  <c r="F4" i="81"/>
  <c r="G3" i="80"/>
  <c r="F4" i="80"/>
  <c r="C4" i="49"/>
  <c r="D3" i="49"/>
  <c r="D4" i="49" s="1"/>
  <c r="G4" i="79"/>
  <c r="H3" i="79"/>
  <c r="H4" i="79" s="1"/>
  <c r="G3" i="78"/>
  <c r="F4" i="78"/>
  <c r="F3" i="77"/>
  <c r="E4" i="77"/>
  <c r="F3" i="76"/>
  <c r="E4" i="76"/>
  <c r="F3" i="75"/>
  <c r="E4" i="75"/>
  <c r="F3" i="74"/>
  <c r="E4" i="74"/>
  <c r="F3" i="73"/>
  <c r="E4" i="73"/>
  <c r="F3" i="72"/>
  <c r="E4" i="72"/>
  <c r="E4" i="71"/>
  <c r="F3" i="71"/>
  <c r="F3" i="70"/>
  <c r="E4" i="70"/>
  <c r="E4" i="69"/>
  <c r="F3" i="69"/>
  <c r="F3" i="68"/>
  <c r="E4" i="68"/>
  <c r="F3" i="67"/>
  <c r="E4" i="67"/>
  <c r="F3" i="66"/>
  <c r="E4" i="66"/>
  <c r="F4" i="65"/>
  <c r="G3" i="65"/>
  <c r="F3" i="64"/>
  <c r="E4" i="64"/>
  <c r="F3" i="63"/>
  <c r="E4" i="63"/>
  <c r="G3" i="62"/>
  <c r="F4" i="62"/>
  <c r="F3" i="61"/>
  <c r="E4" i="61"/>
  <c r="E4" i="60"/>
  <c r="F3" i="60"/>
  <c r="F3" i="59"/>
  <c r="E4" i="59"/>
  <c r="E4" i="58"/>
  <c r="F3" i="58"/>
  <c r="F3" i="57"/>
  <c r="E4" i="57"/>
  <c r="G3" i="56"/>
  <c r="F4" i="56"/>
  <c r="G3" i="55"/>
  <c r="F4" i="55"/>
  <c r="G3" i="54"/>
  <c r="F4" i="54"/>
  <c r="F4" i="53"/>
  <c r="G3" i="53"/>
  <c r="L5" i="52"/>
  <c r="L6" i="52"/>
  <c r="L9" i="52"/>
  <c r="L19" i="52"/>
  <c r="L16" i="52"/>
  <c r="L8" i="52"/>
  <c r="L18" i="52"/>
  <c r="L15" i="52"/>
  <c r="L13" i="52"/>
  <c r="L11" i="52"/>
  <c r="L10" i="52"/>
  <c r="L7" i="52"/>
  <c r="L17" i="52"/>
  <c r="L14" i="52"/>
  <c r="F3" i="52"/>
  <c r="E4" i="52"/>
  <c r="C4" i="51"/>
  <c r="K20" i="51"/>
  <c r="L11" i="51" s="1"/>
  <c r="E3" i="51"/>
  <c r="D4" i="51"/>
  <c r="K20" i="50"/>
  <c r="L13" i="50" s="1"/>
  <c r="D4" i="50"/>
  <c r="E3" i="50"/>
  <c r="C4" i="50"/>
  <c r="L18" i="49"/>
  <c r="E3" i="49"/>
  <c r="H3" i="83" l="1"/>
  <c r="H4" i="83" s="1"/>
  <c r="G4" i="83"/>
  <c r="H3" i="81"/>
  <c r="H4" i="81" s="1"/>
  <c r="G4" i="81"/>
  <c r="H3" i="80"/>
  <c r="H4" i="80" s="1"/>
  <c r="G4" i="80"/>
  <c r="H3" i="78"/>
  <c r="H4" i="78" s="1"/>
  <c r="G4" i="78"/>
  <c r="G3" i="77"/>
  <c r="F4" i="77"/>
  <c r="G3" i="76"/>
  <c r="F4" i="76"/>
  <c r="G3" i="75"/>
  <c r="F4" i="75"/>
  <c r="G3" i="74"/>
  <c r="F4" i="74"/>
  <c r="G3" i="73"/>
  <c r="F4" i="73"/>
  <c r="F4" i="72"/>
  <c r="G3" i="72"/>
  <c r="G3" i="71"/>
  <c r="F4" i="71"/>
  <c r="F4" i="70"/>
  <c r="G3" i="70"/>
  <c r="G3" i="69"/>
  <c r="F4" i="69"/>
  <c r="G3" i="68"/>
  <c r="F4" i="68"/>
  <c r="G3" i="67"/>
  <c r="F4" i="67"/>
  <c r="G3" i="66"/>
  <c r="F4" i="66"/>
  <c r="H3" i="65"/>
  <c r="H4" i="65" s="1"/>
  <c r="G4" i="65"/>
  <c r="F4" i="64"/>
  <c r="G3" i="64"/>
  <c r="G3" i="63"/>
  <c r="F4" i="63"/>
  <c r="G4" i="62"/>
  <c r="H3" i="62"/>
  <c r="H4" i="62" s="1"/>
  <c r="G3" i="61"/>
  <c r="F4" i="61"/>
  <c r="G3" i="60"/>
  <c r="F4" i="60"/>
  <c r="F4" i="59"/>
  <c r="G3" i="59"/>
  <c r="G3" i="58"/>
  <c r="F4" i="58"/>
  <c r="G3" i="57"/>
  <c r="F4" i="57"/>
  <c r="H3" i="56"/>
  <c r="H4" i="56" s="1"/>
  <c r="G4" i="56"/>
  <c r="H3" i="55"/>
  <c r="H4" i="55" s="1"/>
  <c r="G4" i="55"/>
  <c r="G4" i="54"/>
  <c r="H3" i="54"/>
  <c r="H4" i="54" s="1"/>
  <c r="G4" i="53"/>
  <c r="H3" i="53"/>
  <c r="H4" i="53" s="1"/>
  <c r="F4" i="52"/>
  <c r="G3" i="52"/>
  <c r="L12" i="51"/>
  <c r="L10" i="51"/>
  <c r="L5" i="51"/>
  <c r="L16" i="51"/>
  <c r="L18" i="51"/>
  <c r="L8" i="51"/>
  <c r="L13" i="51"/>
  <c r="L7" i="51"/>
  <c r="L17" i="51"/>
  <c r="L15" i="51"/>
  <c r="L9" i="51"/>
  <c r="L14" i="51"/>
  <c r="L6" i="51"/>
  <c r="L19" i="51"/>
  <c r="F3" i="51"/>
  <c r="E4" i="51"/>
  <c r="L17" i="50"/>
  <c r="L8" i="50"/>
  <c r="L19" i="50"/>
  <c r="L9" i="50"/>
  <c r="L5" i="50"/>
  <c r="L11" i="50"/>
  <c r="L15" i="50"/>
  <c r="L12" i="50"/>
  <c r="L18" i="50"/>
  <c r="L10" i="50"/>
  <c r="L14" i="50"/>
  <c r="L16" i="50"/>
  <c r="L6" i="50"/>
  <c r="L7" i="50"/>
  <c r="E4" i="50"/>
  <c r="F3" i="50"/>
  <c r="L11" i="49"/>
  <c r="L17" i="49"/>
  <c r="L12" i="49"/>
  <c r="L16" i="49"/>
  <c r="L6" i="49"/>
  <c r="L5" i="49"/>
  <c r="L10" i="49"/>
  <c r="L7" i="49"/>
  <c r="L8" i="49"/>
  <c r="L9" i="49"/>
  <c r="L15" i="49"/>
  <c r="L14" i="49"/>
  <c r="L13" i="49"/>
  <c r="E4" i="49"/>
  <c r="F3" i="49"/>
  <c r="H3" i="77" l="1"/>
  <c r="H4" i="77" s="1"/>
  <c r="G4" i="77"/>
  <c r="H3" i="76"/>
  <c r="H4" i="76" s="1"/>
  <c r="G4" i="76"/>
  <c r="G4" i="75"/>
  <c r="H3" i="75"/>
  <c r="H4" i="75" s="1"/>
  <c r="H3" i="74"/>
  <c r="H4" i="74" s="1"/>
  <c r="G4" i="74"/>
  <c r="H3" i="73"/>
  <c r="H4" i="73" s="1"/>
  <c r="G4" i="73"/>
  <c r="G4" i="72"/>
  <c r="H3" i="72"/>
  <c r="H4" i="72" s="1"/>
  <c r="H3" i="71"/>
  <c r="H4" i="71" s="1"/>
  <c r="G4" i="71"/>
  <c r="G4" i="70"/>
  <c r="H3" i="70"/>
  <c r="H4" i="70" s="1"/>
  <c r="H3" i="69"/>
  <c r="H4" i="69" s="1"/>
  <c r="G4" i="69"/>
  <c r="H3" i="68"/>
  <c r="H4" i="68" s="1"/>
  <c r="G4" i="68"/>
  <c r="H3" i="67"/>
  <c r="H4" i="67" s="1"/>
  <c r="G4" i="67"/>
  <c r="H3" i="66"/>
  <c r="H4" i="66" s="1"/>
  <c r="G4" i="66"/>
  <c r="H3" i="64"/>
  <c r="H4" i="64" s="1"/>
  <c r="G4" i="64"/>
  <c r="H3" i="63"/>
  <c r="H4" i="63" s="1"/>
  <c r="G4" i="63"/>
  <c r="H3" i="61"/>
  <c r="H4" i="61" s="1"/>
  <c r="G4" i="61"/>
  <c r="H3" i="60"/>
  <c r="H4" i="60" s="1"/>
  <c r="G4" i="60"/>
  <c r="H3" i="59"/>
  <c r="H4" i="59" s="1"/>
  <c r="G4" i="59"/>
  <c r="H3" i="58"/>
  <c r="H4" i="58" s="1"/>
  <c r="G4" i="58"/>
  <c r="G4" i="57"/>
  <c r="H3" i="57"/>
  <c r="H4" i="57" s="1"/>
  <c r="G4" i="52"/>
  <c r="H3" i="52"/>
  <c r="H4" i="52" s="1"/>
  <c r="F4" i="51"/>
  <c r="G3" i="51"/>
  <c r="F4" i="50"/>
  <c r="G3" i="50"/>
  <c r="F4" i="49"/>
  <c r="G3" i="49"/>
  <c r="G4" i="51" l="1"/>
  <c r="H3" i="51"/>
  <c r="H4" i="51" s="1"/>
  <c r="H3" i="50"/>
  <c r="H4" i="50" s="1"/>
  <c r="G4" i="50"/>
  <c r="H3" i="49"/>
  <c r="H4" i="49" s="1"/>
  <c r="G4" i="49"/>
  <c r="C31" i="44" l="1"/>
  <c r="C32" i="44"/>
  <c r="C33" i="44"/>
  <c r="C34" i="44"/>
  <c r="C35" i="44"/>
  <c r="C36" i="44"/>
  <c r="C37" i="44"/>
  <c r="C38" i="44"/>
  <c r="C39" i="44"/>
  <c r="C40" i="44"/>
  <c r="C41" i="44"/>
  <c r="C42" i="44"/>
  <c r="C43" i="44"/>
  <c r="C44" i="44"/>
  <c r="C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30" i="44"/>
  <c r="C22" i="43"/>
  <c r="C23" i="43"/>
  <c r="C24" i="43"/>
  <c r="C25" i="43"/>
  <c r="C26" i="43"/>
  <c r="C27" i="43"/>
  <c r="C28" i="43"/>
  <c r="C29" i="43"/>
  <c r="C30" i="43"/>
  <c r="C31" i="43"/>
  <c r="C32" i="43"/>
  <c r="C33" i="43"/>
  <c r="C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21" i="43"/>
  <c r="K17" i="48"/>
  <c r="K16" i="48"/>
  <c r="K15" i="48"/>
  <c r="K14" i="48"/>
  <c r="K13" i="48"/>
  <c r="K12" i="48"/>
  <c r="K11" i="48"/>
  <c r="K10" i="48"/>
  <c r="K9" i="48"/>
  <c r="K8" i="48"/>
  <c r="K7" i="48"/>
  <c r="K6" i="48"/>
  <c r="M5" i="48"/>
  <c r="K5" i="48"/>
  <c r="B4" i="48"/>
  <c r="C3" i="48"/>
  <c r="C4" i="48" s="1"/>
  <c r="M5" i="47"/>
  <c r="K17" i="47"/>
  <c r="K16" i="47"/>
  <c r="K15" i="47"/>
  <c r="K14" i="47"/>
  <c r="K13" i="47"/>
  <c r="K12" i="47"/>
  <c r="K11" i="47"/>
  <c r="K10" i="47"/>
  <c r="K9" i="47"/>
  <c r="K8" i="47"/>
  <c r="K7" i="47"/>
  <c r="K6" i="47"/>
  <c r="K5" i="47"/>
  <c r="B4" i="47"/>
  <c r="C3" i="47"/>
  <c r="C4" i="47" s="1"/>
  <c r="K17" i="22"/>
  <c r="W15" i="3" s="1"/>
  <c r="K16" i="22"/>
  <c r="W14" i="3" s="1"/>
  <c r="K15" i="22"/>
  <c r="W13" i="3" s="1"/>
  <c r="K14" i="22"/>
  <c r="W12" i="3" s="1"/>
  <c r="K13" i="22"/>
  <c r="W11" i="3" s="1"/>
  <c r="K12" i="22"/>
  <c r="W10" i="3" s="1"/>
  <c r="K11" i="22"/>
  <c r="W9" i="3" s="1"/>
  <c r="K10" i="22"/>
  <c r="W8" i="3" s="1"/>
  <c r="K9" i="22"/>
  <c r="W7" i="3" s="1"/>
  <c r="K8" i="22"/>
  <c r="W6" i="3" s="1"/>
  <c r="K7" i="22"/>
  <c r="W5" i="3" s="1"/>
  <c r="K6" i="22"/>
  <c r="W4" i="3" s="1"/>
  <c r="K5" i="22"/>
  <c r="W3" i="3" s="1"/>
  <c r="B4" i="22"/>
  <c r="C3" i="22"/>
  <c r="K17" i="21"/>
  <c r="T15" i="3" s="1"/>
  <c r="K16" i="21"/>
  <c r="T14" i="3" s="1"/>
  <c r="K15" i="21"/>
  <c r="T13" i="3" s="1"/>
  <c r="K14" i="21"/>
  <c r="T12" i="3" s="1"/>
  <c r="K13" i="21"/>
  <c r="T11" i="3" s="1"/>
  <c r="K12" i="21"/>
  <c r="T10" i="3" s="1"/>
  <c r="K11" i="21"/>
  <c r="T9" i="3" s="1"/>
  <c r="K10" i="21"/>
  <c r="T8" i="3" s="1"/>
  <c r="K9" i="21"/>
  <c r="T7" i="3" s="1"/>
  <c r="K8" i="21"/>
  <c r="T6" i="3" s="1"/>
  <c r="K7" i="21"/>
  <c r="T5" i="3" s="1"/>
  <c r="K6" i="21"/>
  <c r="T4" i="3" s="1"/>
  <c r="K5" i="21"/>
  <c r="T3" i="3" s="1"/>
  <c r="B4" i="21"/>
  <c r="C3" i="21"/>
  <c r="K17" i="20"/>
  <c r="K16" i="20"/>
  <c r="K15" i="20"/>
  <c r="K14" i="20"/>
  <c r="K13" i="20"/>
  <c r="K12" i="20"/>
  <c r="K11" i="20"/>
  <c r="K10" i="20"/>
  <c r="K9" i="20"/>
  <c r="K8" i="20"/>
  <c r="K7" i="20"/>
  <c r="K6" i="20"/>
  <c r="K5" i="20"/>
  <c r="B4" i="20"/>
  <c r="C3" i="20"/>
  <c r="K17" i="19"/>
  <c r="R15" i="3" s="1"/>
  <c r="K16" i="19"/>
  <c r="R14" i="3" s="1"/>
  <c r="K15" i="19"/>
  <c r="R13" i="3" s="1"/>
  <c r="K14" i="19"/>
  <c r="R12" i="3" s="1"/>
  <c r="K13" i="19"/>
  <c r="R11" i="3" s="1"/>
  <c r="K12" i="19"/>
  <c r="R10" i="3" s="1"/>
  <c r="K11" i="19"/>
  <c r="R9" i="3" s="1"/>
  <c r="K10" i="19"/>
  <c r="R8" i="3" s="1"/>
  <c r="K9" i="19"/>
  <c r="R7" i="3" s="1"/>
  <c r="K8" i="19"/>
  <c r="R6" i="3" s="1"/>
  <c r="K7" i="19"/>
  <c r="R5" i="3" s="1"/>
  <c r="K6" i="19"/>
  <c r="R4" i="3" s="1"/>
  <c r="K5" i="19"/>
  <c r="R3" i="3" s="1"/>
  <c r="B4" i="19"/>
  <c r="C3" i="19"/>
  <c r="K17" i="18"/>
  <c r="Q15" i="3" s="1"/>
  <c r="K16" i="18"/>
  <c r="Q14" i="3" s="1"/>
  <c r="K15" i="18"/>
  <c r="Q13" i="3" s="1"/>
  <c r="K14" i="18"/>
  <c r="Q12" i="3" s="1"/>
  <c r="K13" i="18"/>
  <c r="Q11" i="3" s="1"/>
  <c r="K12" i="18"/>
  <c r="Q10" i="3" s="1"/>
  <c r="K11" i="18"/>
  <c r="Q9" i="3" s="1"/>
  <c r="K10" i="18"/>
  <c r="Q8" i="3" s="1"/>
  <c r="K9" i="18"/>
  <c r="Q7" i="3" s="1"/>
  <c r="K8" i="18"/>
  <c r="Q6" i="3" s="1"/>
  <c r="K7" i="18"/>
  <c r="Q5" i="3" s="1"/>
  <c r="K6" i="18"/>
  <c r="Q4" i="3" s="1"/>
  <c r="K5" i="18"/>
  <c r="Q3" i="3" s="1"/>
  <c r="B4" i="18"/>
  <c r="C3" i="18"/>
  <c r="K17" i="17"/>
  <c r="P15" i="3" s="1"/>
  <c r="K16" i="17"/>
  <c r="P14" i="3" s="1"/>
  <c r="K15" i="17"/>
  <c r="P13" i="3" s="1"/>
  <c r="K14" i="17"/>
  <c r="P12" i="3" s="1"/>
  <c r="K13" i="17"/>
  <c r="P11" i="3" s="1"/>
  <c r="K12" i="17"/>
  <c r="P10" i="3" s="1"/>
  <c r="K11" i="17"/>
  <c r="P9" i="3" s="1"/>
  <c r="K10" i="17"/>
  <c r="P8" i="3" s="1"/>
  <c r="K9" i="17"/>
  <c r="P7" i="3" s="1"/>
  <c r="K8" i="17"/>
  <c r="P6" i="3" s="1"/>
  <c r="K7" i="17"/>
  <c r="P5" i="3" s="1"/>
  <c r="K6" i="17"/>
  <c r="P4" i="3" s="1"/>
  <c r="K5" i="17"/>
  <c r="P3" i="3" s="1"/>
  <c r="B4" i="17"/>
  <c r="C3" i="17"/>
  <c r="P16" i="3"/>
  <c r="Q16" i="3"/>
  <c r="R16" i="3"/>
  <c r="S16" i="3"/>
  <c r="K17" i="16"/>
  <c r="O15" i="3" s="1"/>
  <c r="K16" i="16"/>
  <c r="O14" i="3" s="1"/>
  <c r="K15" i="16"/>
  <c r="O13" i="3" s="1"/>
  <c r="K14" i="16"/>
  <c r="O12" i="3" s="1"/>
  <c r="K13" i="16"/>
  <c r="O11" i="3" s="1"/>
  <c r="K12" i="16"/>
  <c r="O10" i="3" s="1"/>
  <c r="K11" i="16"/>
  <c r="O9" i="3" s="1"/>
  <c r="K10" i="16"/>
  <c r="O8" i="3" s="1"/>
  <c r="K9" i="16"/>
  <c r="O7" i="3" s="1"/>
  <c r="K8" i="16"/>
  <c r="O6" i="3" s="1"/>
  <c r="K7" i="16"/>
  <c r="O5" i="3" s="1"/>
  <c r="K6" i="16"/>
  <c r="O4" i="3" s="1"/>
  <c r="K5" i="16"/>
  <c r="B4" i="16"/>
  <c r="C3" i="16"/>
  <c r="K16" i="15"/>
  <c r="N14" i="3" s="1"/>
  <c r="K15" i="15"/>
  <c r="N13" i="3" s="1"/>
  <c r="K14" i="15"/>
  <c r="N12" i="3" s="1"/>
  <c r="K13" i="15"/>
  <c r="N11" i="3" s="1"/>
  <c r="K12" i="15"/>
  <c r="N10" i="3" s="1"/>
  <c r="K11" i="15"/>
  <c r="N9" i="3" s="1"/>
  <c r="K10" i="15"/>
  <c r="N8" i="3" s="1"/>
  <c r="K9" i="15"/>
  <c r="N7" i="3" s="1"/>
  <c r="K8" i="15"/>
  <c r="N6" i="3" s="1"/>
  <c r="K7" i="15"/>
  <c r="N5" i="3" s="1"/>
  <c r="K6" i="15"/>
  <c r="N4" i="3" s="1"/>
  <c r="K5" i="15"/>
  <c r="N3" i="3" s="1"/>
  <c r="N16" i="3" s="1"/>
  <c r="B4" i="15"/>
  <c r="C3" i="15"/>
  <c r="K16" i="14"/>
  <c r="M14" i="3" s="1"/>
  <c r="K15" i="14"/>
  <c r="M13" i="3" s="1"/>
  <c r="K14" i="14"/>
  <c r="M12" i="3" s="1"/>
  <c r="K13" i="14"/>
  <c r="M11" i="3" s="1"/>
  <c r="K12" i="14"/>
  <c r="M10" i="3" s="1"/>
  <c r="K11" i="14"/>
  <c r="M9" i="3" s="1"/>
  <c r="K10" i="14"/>
  <c r="M8" i="3" s="1"/>
  <c r="K9" i="14"/>
  <c r="M7" i="3" s="1"/>
  <c r="K8" i="14"/>
  <c r="M6" i="3" s="1"/>
  <c r="K7" i="14"/>
  <c r="M5" i="3" s="1"/>
  <c r="K6" i="14"/>
  <c r="M4" i="3" s="1"/>
  <c r="K5" i="14"/>
  <c r="M3" i="3" s="1"/>
  <c r="M16" i="3" s="1"/>
  <c r="B4" i="14"/>
  <c r="C3" i="14"/>
  <c r="C4" i="14" s="1"/>
  <c r="K16" i="13"/>
  <c r="L14" i="3" s="1"/>
  <c r="K15" i="13"/>
  <c r="L13" i="3" s="1"/>
  <c r="K14" i="13"/>
  <c r="L12" i="3" s="1"/>
  <c r="K13" i="13"/>
  <c r="L11" i="3" s="1"/>
  <c r="K12" i="13"/>
  <c r="L10" i="3" s="1"/>
  <c r="K11" i="13"/>
  <c r="L9" i="3" s="1"/>
  <c r="K10" i="13"/>
  <c r="L8" i="3" s="1"/>
  <c r="K9" i="13"/>
  <c r="L7" i="3" s="1"/>
  <c r="K8" i="13"/>
  <c r="L6" i="3" s="1"/>
  <c r="K7" i="13"/>
  <c r="L5" i="3" s="1"/>
  <c r="K6" i="13"/>
  <c r="L4" i="3" s="1"/>
  <c r="K5" i="13"/>
  <c r="K17" i="13" s="1"/>
  <c r="B4" i="13"/>
  <c r="C3" i="13"/>
  <c r="C4" i="13" s="1"/>
  <c r="K16" i="12"/>
  <c r="K14" i="3" s="1"/>
  <c r="C34" i="43" l="1"/>
  <c r="D24" i="43" s="1"/>
  <c r="C45" i="44"/>
  <c r="D38" i="44" s="1"/>
  <c r="K19" i="48"/>
  <c r="D3" i="48"/>
  <c r="K18" i="47"/>
  <c r="L15" i="47" s="1"/>
  <c r="D3" i="47"/>
  <c r="E3" i="47" s="1"/>
  <c r="F3" i="47"/>
  <c r="E4" i="47"/>
  <c r="U15" i="3"/>
  <c r="K18" i="16"/>
  <c r="O3" i="3"/>
  <c r="O16" i="3" s="1"/>
  <c r="T16" i="3"/>
  <c r="U14" i="3"/>
  <c r="C4" i="22"/>
  <c r="D3" i="22"/>
  <c r="K18" i="22"/>
  <c r="L7" i="22" s="1"/>
  <c r="C4" i="21"/>
  <c r="D3" i="21"/>
  <c r="K18" i="21"/>
  <c r="L7" i="21" s="1"/>
  <c r="C4" i="20"/>
  <c r="D3" i="20"/>
  <c r="K18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C4" i="19"/>
  <c r="D3" i="19"/>
  <c r="K18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C4" i="18"/>
  <c r="D3" i="18"/>
  <c r="K18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C4" i="17"/>
  <c r="D3" i="17"/>
  <c r="K18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7" i="16"/>
  <c r="C4" i="16"/>
  <c r="D3" i="16"/>
  <c r="L5" i="16"/>
  <c r="L6" i="16"/>
  <c r="L7" i="16"/>
  <c r="L8" i="16"/>
  <c r="L9" i="16"/>
  <c r="L10" i="16"/>
  <c r="L11" i="16"/>
  <c r="L12" i="16"/>
  <c r="L13" i="16"/>
  <c r="L14" i="16"/>
  <c r="L15" i="16"/>
  <c r="L16" i="16"/>
  <c r="C4" i="15"/>
  <c r="D3" i="15"/>
  <c r="K17" i="15"/>
  <c r="L5" i="15"/>
  <c r="L6" i="15"/>
  <c r="L7" i="15"/>
  <c r="L8" i="15"/>
  <c r="L9" i="15"/>
  <c r="L10" i="15"/>
  <c r="L11" i="15"/>
  <c r="L12" i="15"/>
  <c r="L13" i="15"/>
  <c r="L14" i="15"/>
  <c r="L15" i="15"/>
  <c r="L16" i="15"/>
  <c r="K17" i="14"/>
  <c r="L13" i="14" s="1"/>
  <c r="D3" i="14"/>
  <c r="D4" i="14" s="1"/>
  <c r="L11" i="13"/>
  <c r="L3" i="3"/>
  <c r="L16" i="3" s="1"/>
  <c r="D3" i="13"/>
  <c r="D4" i="13" s="1"/>
  <c r="L15" i="13"/>
  <c r="E3" i="13"/>
  <c r="L14" i="48" l="1"/>
  <c r="L18" i="48"/>
  <c r="L5" i="48"/>
  <c r="L8" i="48"/>
  <c r="D43" i="44"/>
  <c r="D36" i="44"/>
  <c r="D42" i="44"/>
  <c r="D44" i="44"/>
  <c r="D31" i="44"/>
  <c r="D40" i="44"/>
  <c r="D39" i="44"/>
  <c r="D41" i="44"/>
  <c r="D30" i="44"/>
  <c r="D33" i="44"/>
  <c r="D32" i="44"/>
  <c r="D35" i="44"/>
  <c r="D34" i="44"/>
  <c r="D27" i="43"/>
  <c r="D28" i="43"/>
  <c r="D32" i="43"/>
  <c r="D30" i="43"/>
  <c r="D25" i="43"/>
  <c r="D23" i="43"/>
  <c r="D33" i="43"/>
  <c r="D21" i="43"/>
  <c r="D26" i="43"/>
  <c r="D29" i="43"/>
  <c r="D31" i="43"/>
  <c r="D22" i="43"/>
  <c r="D37" i="44"/>
  <c r="L7" i="48"/>
  <c r="L15" i="48"/>
  <c r="L12" i="48"/>
  <c r="L17" i="48"/>
  <c r="L13" i="48"/>
  <c r="L9" i="48"/>
  <c r="L11" i="48"/>
  <c r="L16" i="48"/>
  <c r="L10" i="48"/>
  <c r="L6" i="48"/>
  <c r="D4" i="48"/>
  <c r="E3" i="48"/>
  <c r="L14" i="47"/>
  <c r="L12" i="47"/>
  <c r="L5" i="47"/>
  <c r="L13" i="47"/>
  <c r="L17" i="47"/>
  <c r="L11" i="47"/>
  <c r="L6" i="47"/>
  <c r="L8" i="47"/>
  <c r="L9" i="47"/>
  <c r="L16" i="47"/>
  <c r="L7" i="47"/>
  <c r="L10" i="47"/>
  <c r="D4" i="47"/>
  <c r="G3" i="47"/>
  <c r="F4" i="47"/>
  <c r="L17" i="22"/>
  <c r="L16" i="22"/>
  <c r="L8" i="22"/>
  <c r="L14" i="22"/>
  <c r="L6" i="22"/>
  <c r="L13" i="22"/>
  <c r="L5" i="22"/>
  <c r="L12" i="22"/>
  <c r="L11" i="22"/>
  <c r="L10" i="22"/>
  <c r="L9" i="22"/>
  <c r="L15" i="22"/>
  <c r="L13" i="21"/>
  <c r="L10" i="21"/>
  <c r="L9" i="21"/>
  <c r="L14" i="21"/>
  <c r="L12" i="21"/>
  <c r="L8" i="21"/>
  <c r="L17" i="21"/>
  <c r="L6" i="21"/>
  <c r="L16" i="21"/>
  <c r="L5" i="21"/>
  <c r="L11" i="21"/>
  <c r="L15" i="21"/>
  <c r="D4" i="22"/>
  <c r="E3" i="22"/>
  <c r="D4" i="21"/>
  <c r="E3" i="21"/>
  <c r="D4" i="20"/>
  <c r="E3" i="20"/>
  <c r="D4" i="19"/>
  <c r="E3" i="19"/>
  <c r="D4" i="18"/>
  <c r="E3" i="18"/>
  <c r="D4" i="17"/>
  <c r="E3" i="17"/>
  <c r="D4" i="16"/>
  <c r="E3" i="16"/>
  <c r="D4" i="15"/>
  <c r="E3" i="15"/>
  <c r="L16" i="14"/>
  <c r="L8" i="14"/>
  <c r="L6" i="14"/>
  <c r="L9" i="14"/>
  <c r="L7" i="14"/>
  <c r="L11" i="14"/>
  <c r="L5" i="14"/>
  <c r="L14" i="14"/>
  <c r="L15" i="14"/>
  <c r="L12" i="14"/>
  <c r="L10" i="14"/>
  <c r="E3" i="14"/>
  <c r="E4" i="14" s="1"/>
  <c r="L13" i="13"/>
  <c r="L12" i="13"/>
  <c r="L8" i="13"/>
  <c r="L5" i="13"/>
  <c r="L10" i="13"/>
  <c r="L6" i="13"/>
  <c r="L7" i="13"/>
  <c r="L9" i="13"/>
  <c r="L16" i="13"/>
  <c r="L14" i="13"/>
  <c r="E4" i="13"/>
  <c r="F3" i="13"/>
  <c r="F3" i="48" l="1"/>
  <c r="E4" i="48"/>
  <c r="H3" i="47"/>
  <c r="H4" i="47" s="1"/>
  <c r="G4" i="47"/>
  <c r="E4" i="22"/>
  <c r="F3" i="22"/>
  <c r="E4" i="21"/>
  <c r="F3" i="21"/>
  <c r="E4" i="20"/>
  <c r="F3" i="20"/>
  <c r="E4" i="19"/>
  <c r="F3" i="19"/>
  <c r="E4" i="18"/>
  <c r="F3" i="18"/>
  <c r="E4" i="17"/>
  <c r="F3" i="17"/>
  <c r="E4" i="16"/>
  <c r="F3" i="16"/>
  <c r="E4" i="15"/>
  <c r="F3" i="15"/>
  <c r="F3" i="14"/>
  <c r="G3" i="14"/>
  <c r="F4" i="14"/>
  <c r="G3" i="13"/>
  <c r="F4" i="13"/>
  <c r="G3" i="48" l="1"/>
  <c r="F4" i="48"/>
  <c r="F4" i="22"/>
  <c r="G3" i="22"/>
  <c r="F4" i="21"/>
  <c r="G3" i="21"/>
  <c r="F4" i="20"/>
  <c r="G3" i="20"/>
  <c r="F4" i="19"/>
  <c r="G3" i="19"/>
  <c r="F4" i="18"/>
  <c r="G3" i="18"/>
  <c r="F4" i="17"/>
  <c r="G3" i="17"/>
  <c r="F4" i="16"/>
  <c r="G3" i="16"/>
  <c r="F4" i="15"/>
  <c r="G3" i="15"/>
  <c r="G4" i="14"/>
  <c r="H3" i="14"/>
  <c r="H4" i="14" s="1"/>
  <c r="G4" i="13"/>
  <c r="H3" i="13"/>
  <c r="H4" i="13" s="1"/>
  <c r="H3" i="48" l="1"/>
  <c r="H4" i="48" s="1"/>
  <c r="G4" i="48"/>
  <c r="G4" i="22"/>
  <c r="H3" i="22"/>
  <c r="H4" i="22" s="1"/>
  <c r="G4" i="21"/>
  <c r="H3" i="21"/>
  <c r="H4" i="21" s="1"/>
  <c r="G4" i="20"/>
  <c r="H3" i="20"/>
  <c r="H4" i="20" s="1"/>
  <c r="G4" i="19"/>
  <c r="H3" i="19"/>
  <c r="H4" i="19" s="1"/>
  <c r="G4" i="18"/>
  <c r="H3" i="18"/>
  <c r="H4" i="18" s="1"/>
  <c r="G4" i="17"/>
  <c r="H3" i="17"/>
  <c r="H4" i="17" s="1"/>
  <c r="G4" i="16"/>
  <c r="H3" i="16"/>
  <c r="H4" i="16" s="1"/>
  <c r="G4" i="15"/>
  <c r="H3" i="15"/>
  <c r="H4" i="15" s="1"/>
  <c r="K15" i="12"/>
  <c r="K13" i="3" s="1"/>
  <c r="K14" i="12"/>
  <c r="K12" i="3" s="1"/>
  <c r="K13" i="12"/>
  <c r="K11" i="3" s="1"/>
  <c r="K12" i="12"/>
  <c r="K10" i="3" s="1"/>
  <c r="K11" i="12"/>
  <c r="K9" i="3" s="1"/>
  <c r="K10" i="12"/>
  <c r="K8" i="3" s="1"/>
  <c r="K9" i="12"/>
  <c r="K7" i="3" s="1"/>
  <c r="K8" i="12"/>
  <c r="K6" i="3" s="1"/>
  <c r="K7" i="12"/>
  <c r="K5" i="3" s="1"/>
  <c r="K6" i="12"/>
  <c r="K4" i="3" s="1"/>
  <c r="K5" i="12"/>
  <c r="K3" i="3" s="1"/>
  <c r="K16" i="3" s="1"/>
  <c r="B4" i="12"/>
  <c r="C3" i="12"/>
  <c r="C4" i="12" s="1"/>
  <c r="K15" i="11"/>
  <c r="J13" i="3" s="1"/>
  <c r="K14" i="11"/>
  <c r="J12" i="3" s="1"/>
  <c r="K13" i="11"/>
  <c r="J11" i="3" s="1"/>
  <c r="K12" i="11"/>
  <c r="J10" i="3" s="1"/>
  <c r="K11" i="11"/>
  <c r="J9" i="3" s="1"/>
  <c r="K10" i="11"/>
  <c r="J8" i="3" s="1"/>
  <c r="K9" i="11"/>
  <c r="J7" i="3" s="1"/>
  <c r="K8" i="11"/>
  <c r="J6" i="3" s="1"/>
  <c r="K7" i="11"/>
  <c r="J5" i="3" s="1"/>
  <c r="K6" i="11"/>
  <c r="J4" i="3" s="1"/>
  <c r="K5" i="11"/>
  <c r="J3" i="3" s="1"/>
  <c r="J16" i="3" s="1"/>
  <c r="B4" i="11"/>
  <c r="C3" i="11"/>
  <c r="K15" i="10"/>
  <c r="I13" i="3" s="1"/>
  <c r="K14" i="10"/>
  <c r="I12" i="3" s="1"/>
  <c r="K13" i="10"/>
  <c r="I11" i="3" s="1"/>
  <c r="K12" i="10"/>
  <c r="I10" i="3" s="1"/>
  <c r="K11" i="10"/>
  <c r="I9" i="3" s="1"/>
  <c r="K10" i="10"/>
  <c r="I8" i="3" s="1"/>
  <c r="K9" i="10"/>
  <c r="I7" i="3" s="1"/>
  <c r="K8" i="10"/>
  <c r="I6" i="3" s="1"/>
  <c r="K7" i="10"/>
  <c r="I5" i="3" s="1"/>
  <c r="K6" i="10"/>
  <c r="I4" i="3" s="1"/>
  <c r="K5" i="10"/>
  <c r="I3" i="3" s="1"/>
  <c r="I16" i="3" s="1"/>
  <c r="B4" i="10"/>
  <c r="C3" i="10"/>
  <c r="C4" i="10" s="1"/>
  <c r="K15" i="9"/>
  <c r="H13" i="3" s="1"/>
  <c r="K14" i="9"/>
  <c r="H12" i="3" s="1"/>
  <c r="K13" i="9"/>
  <c r="H11" i="3" s="1"/>
  <c r="K12" i="9"/>
  <c r="H10" i="3" s="1"/>
  <c r="K11" i="9"/>
  <c r="H9" i="3" s="1"/>
  <c r="K10" i="9"/>
  <c r="H8" i="3" s="1"/>
  <c r="K9" i="9"/>
  <c r="H7" i="3" s="1"/>
  <c r="K8" i="9"/>
  <c r="H6" i="3" s="1"/>
  <c r="K7" i="9"/>
  <c r="H5" i="3" s="1"/>
  <c r="K6" i="9"/>
  <c r="H4" i="3" s="1"/>
  <c r="K5" i="9"/>
  <c r="H3" i="3" s="1"/>
  <c r="H16" i="3" s="1"/>
  <c r="B4" i="9"/>
  <c r="C3" i="9"/>
  <c r="D3" i="9" s="1"/>
  <c r="E3" i="9" s="1"/>
  <c r="K15" i="8"/>
  <c r="G13" i="3" s="1"/>
  <c r="K14" i="8"/>
  <c r="G12" i="3" s="1"/>
  <c r="K13" i="8"/>
  <c r="G11" i="3" s="1"/>
  <c r="K12" i="8"/>
  <c r="G10" i="3" s="1"/>
  <c r="K11" i="8"/>
  <c r="G9" i="3" s="1"/>
  <c r="K10" i="8"/>
  <c r="G8" i="3" s="1"/>
  <c r="K9" i="8"/>
  <c r="G7" i="3" s="1"/>
  <c r="K8" i="8"/>
  <c r="G6" i="3" s="1"/>
  <c r="K7" i="8"/>
  <c r="G5" i="3" s="1"/>
  <c r="K6" i="8"/>
  <c r="G4" i="3" s="1"/>
  <c r="K5" i="8"/>
  <c r="B4" i="8"/>
  <c r="C3" i="8"/>
  <c r="D3" i="8" s="1"/>
  <c r="K15" i="7"/>
  <c r="F13" i="3" s="1"/>
  <c r="K14" i="7"/>
  <c r="F12" i="3" s="1"/>
  <c r="K13" i="7"/>
  <c r="F11" i="3" s="1"/>
  <c r="K12" i="7"/>
  <c r="F10" i="3" s="1"/>
  <c r="K11" i="7"/>
  <c r="F9" i="3" s="1"/>
  <c r="K10" i="7"/>
  <c r="F8" i="3" s="1"/>
  <c r="K9" i="7"/>
  <c r="F7" i="3" s="1"/>
  <c r="K8" i="7"/>
  <c r="F6" i="3" s="1"/>
  <c r="K7" i="7"/>
  <c r="F5" i="3" s="1"/>
  <c r="K6" i="7"/>
  <c r="F4" i="3" s="1"/>
  <c r="K5" i="7"/>
  <c r="F3" i="3" s="1"/>
  <c r="F16" i="3" s="1"/>
  <c r="B4" i="7"/>
  <c r="C3" i="7"/>
  <c r="D3" i="7" s="1"/>
  <c r="D3" i="11" l="1"/>
  <c r="C4" i="11"/>
  <c r="K17" i="12"/>
  <c r="D3" i="12"/>
  <c r="K16" i="11"/>
  <c r="L13" i="11" s="1"/>
  <c r="E3" i="11"/>
  <c r="D4" i="11"/>
  <c r="K16" i="10"/>
  <c r="L14" i="10" s="1"/>
  <c r="L10" i="10"/>
  <c r="L6" i="10"/>
  <c r="L12" i="10"/>
  <c r="L8" i="10"/>
  <c r="L9" i="10"/>
  <c r="L13" i="10"/>
  <c r="L7" i="10"/>
  <c r="L11" i="10"/>
  <c r="L15" i="10"/>
  <c r="D3" i="10"/>
  <c r="L5" i="10"/>
  <c r="K16" i="9"/>
  <c r="L8" i="9" s="1"/>
  <c r="C4" i="9"/>
  <c r="E4" i="9"/>
  <c r="F3" i="9"/>
  <c r="D4" i="9"/>
  <c r="C4" i="8"/>
  <c r="K16" i="8"/>
  <c r="L6" i="8" s="1"/>
  <c r="G3" i="3"/>
  <c r="G16" i="3" s="1"/>
  <c r="E3" i="8"/>
  <c r="D4" i="8"/>
  <c r="L5" i="8"/>
  <c r="C4" i="7"/>
  <c r="K16" i="7"/>
  <c r="L7" i="7" s="1"/>
  <c r="E3" i="7"/>
  <c r="D4" i="7"/>
  <c r="L12" i="12" l="1"/>
  <c r="L16" i="12"/>
  <c r="L14" i="12"/>
  <c r="L11" i="12"/>
  <c r="L7" i="12"/>
  <c r="L6" i="12"/>
  <c r="L8" i="12"/>
  <c r="L5" i="12"/>
  <c r="L13" i="12"/>
  <c r="L10" i="12"/>
  <c r="L15" i="12"/>
  <c r="L9" i="12"/>
  <c r="E3" i="12"/>
  <c r="D4" i="12"/>
  <c r="L15" i="11"/>
  <c r="L6" i="11"/>
  <c r="L10" i="11"/>
  <c r="L11" i="11"/>
  <c r="L14" i="11"/>
  <c r="L12" i="11"/>
  <c r="L7" i="11"/>
  <c r="L5" i="11"/>
  <c r="L9" i="11"/>
  <c r="L8" i="11"/>
  <c r="F3" i="11"/>
  <c r="E4" i="11"/>
  <c r="E3" i="10"/>
  <c r="D4" i="10"/>
  <c r="L14" i="9"/>
  <c r="L7" i="9"/>
  <c r="L5" i="9"/>
  <c r="L15" i="9"/>
  <c r="L10" i="9"/>
  <c r="L13" i="9"/>
  <c r="L12" i="9"/>
  <c r="L11" i="9"/>
  <c r="L6" i="9"/>
  <c r="L9" i="9"/>
  <c r="F4" i="9"/>
  <c r="G3" i="9"/>
  <c r="L9" i="8"/>
  <c r="L10" i="8"/>
  <c r="L12" i="8"/>
  <c r="L11" i="8"/>
  <c r="L7" i="8"/>
  <c r="L13" i="8"/>
  <c r="L15" i="8"/>
  <c r="L8" i="8"/>
  <c r="L14" i="8"/>
  <c r="E4" i="8"/>
  <c r="F3" i="8"/>
  <c r="L10" i="7"/>
  <c r="L5" i="7"/>
  <c r="L12" i="7"/>
  <c r="L11" i="7"/>
  <c r="L9" i="7"/>
  <c r="L15" i="7"/>
  <c r="L8" i="7"/>
  <c r="L6" i="7"/>
  <c r="L13" i="7"/>
  <c r="L14" i="7"/>
  <c r="F3" i="7"/>
  <c r="E4" i="7"/>
  <c r="F3" i="12" l="1"/>
  <c r="E4" i="12"/>
  <c r="F4" i="11"/>
  <c r="G3" i="11"/>
  <c r="F3" i="10"/>
  <c r="E4" i="10"/>
  <c r="H3" i="9"/>
  <c r="H4" i="9" s="1"/>
  <c r="G4" i="9"/>
  <c r="F4" i="8"/>
  <c r="G3" i="8"/>
  <c r="F4" i="7"/>
  <c r="G3" i="7"/>
  <c r="G3" i="12" l="1"/>
  <c r="F4" i="12"/>
  <c r="H3" i="11"/>
  <c r="H4" i="11" s="1"/>
  <c r="G4" i="11"/>
  <c r="F4" i="10"/>
  <c r="G3" i="10"/>
  <c r="H3" i="8"/>
  <c r="H4" i="8" s="1"/>
  <c r="G4" i="8"/>
  <c r="G4" i="7"/>
  <c r="H3" i="7"/>
  <c r="H4" i="7" s="1"/>
  <c r="G4" i="12" l="1"/>
  <c r="H3" i="12"/>
  <c r="H4" i="12" s="1"/>
  <c r="G4" i="10"/>
  <c r="H3" i="10"/>
  <c r="H4" i="10" s="1"/>
  <c r="K15" i="6"/>
  <c r="E13" i="3" s="1"/>
  <c r="K14" i="6"/>
  <c r="E12" i="3" s="1"/>
  <c r="K13" i="6"/>
  <c r="E11" i="3" s="1"/>
  <c r="K12" i="6"/>
  <c r="E10" i="3" s="1"/>
  <c r="K11" i="6"/>
  <c r="E9" i="3" s="1"/>
  <c r="K10" i="6"/>
  <c r="E8" i="3" s="1"/>
  <c r="K9" i="6"/>
  <c r="E7" i="3" s="1"/>
  <c r="K8" i="6"/>
  <c r="E6" i="3" s="1"/>
  <c r="K7" i="6"/>
  <c r="E5" i="3" s="1"/>
  <c r="K6" i="6"/>
  <c r="E4" i="3" s="1"/>
  <c r="K5" i="6"/>
  <c r="E3" i="3" s="1"/>
  <c r="E16" i="3" s="1"/>
  <c r="B4" i="6"/>
  <c r="C3" i="6"/>
  <c r="C4" i="6" s="1"/>
  <c r="K15" i="5"/>
  <c r="K14" i="5"/>
  <c r="K5" i="5"/>
  <c r="K16" i="6" l="1"/>
  <c r="L12" i="6" s="1"/>
  <c r="D3" i="6"/>
  <c r="D12" i="3"/>
  <c r="K13" i="5"/>
  <c r="D11" i="3" s="1"/>
  <c r="K12" i="5"/>
  <c r="D10" i="3" s="1"/>
  <c r="K11" i="5"/>
  <c r="D9" i="3" s="1"/>
  <c r="K10" i="5"/>
  <c r="D8" i="3" s="1"/>
  <c r="K9" i="5"/>
  <c r="D7" i="3" s="1"/>
  <c r="K8" i="5"/>
  <c r="D6" i="3" s="1"/>
  <c r="K7" i="5"/>
  <c r="D5" i="3" s="1"/>
  <c r="K6" i="5"/>
  <c r="D4" i="3" s="1"/>
  <c r="D3" i="3"/>
  <c r="B4" i="5"/>
  <c r="C3" i="5"/>
  <c r="K14" i="4"/>
  <c r="C12" i="3" s="1"/>
  <c r="K13" i="4"/>
  <c r="C11" i="3" s="1"/>
  <c r="K12" i="4"/>
  <c r="C10" i="3" s="1"/>
  <c r="K11" i="4"/>
  <c r="C9" i="3" s="1"/>
  <c r="K10" i="4"/>
  <c r="C8" i="3" s="1"/>
  <c r="K9" i="4"/>
  <c r="C7" i="3" s="1"/>
  <c r="K8" i="4"/>
  <c r="C6" i="3" s="1"/>
  <c r="K7" i="4"/>
  <c r="C5" i="3" s="1"/>
  <c r="K6" i="4"/>
  <c r="C4" i="3" s="1"/>
  <c r="K5" i="4"/>
  <c r="C3" i="3" s="1"/>
  <c r="C16" i="3" s="1"/>
  <c r="B4" i="4"/>
  <c r="C3" i="4"/>
  <c r="D3" i="4" s="1"/>
  <c r="D4" i="4" s="1"/>
  <c r="K14" i="1"/>
  <c r="B12" i="3" s="1"/>
  <c r="C3" i="1"/>
  <c r="D3" i="1" s="1"/>
  <c r="E3" i="1" s="1"/>
  <c r="F3" i="1" s="1"/>
  <c r="G3" i="1" s="1"/>
  <c r="H3" i="1" s="1"/>
  <c r="C4" i="5" l="1"/>
  <c r="D3" i="5"/>
  <c r="D4" i="5" s="1"/>
  <c r="L7" i="6"/>
  <c r="L5" i="6"/>
  <c r="L6" i="6"/>
  <c r="L8" i="6"/>
  <c r="L11" i="6"/>
  <c r="L14" i="6"/>
  <c r="L13" i="6"/>
  <c r="L10" i="6"/>
  <c r="L15" i="6"/>
  <c r="L9" i="6"/>
  <c r="E3" i="6"/>
  <c r="D4" i="6"/>
  <c r="K16" i="5"/>
  <c r="L8" i="5" s="1"/>
  <c r="D13" i="3"/>
  <c r="D16" i="3" s="1"/>
  <c r="E3" i="5"/>
  <c r="K16" i="4"/>
  <c r="L10" i="4" s="1"/>
  <c r="C4" i="4"/>
  <c r="U12" i="3"/>
  <c r="E3" i="4"/>
  <c r="C4" i="1"/>
  <c r="D4" i="1"/>
  <c r="E4" i="1"/>
  <c r="F4" i="1"/>
  <c r="G4" i="1"/>
  <c r="H4" i="1"/>
  <c r="B4" i="1"/>
  <c r="U13" i="3" l="1"/>
  <c r="F3" i="6"/>
  <c r="E4" i="6"/>
  <c r="L15" i="5"/>
  <c r="L14" i="5"/>
  <c r="L6" i="5"/>
  <c r="L7" i="5"/>
  <c r="L5" i="5"/>
  <c r="L9" i="5"/>
  <c r="L12" i="5"/>
  <c r="L11" i="5"/>
  <c r="L10" i="5"/>
  <c r="L13" i="5"/>
  <c r="E4" i="5"/>
  <c r="F3" i="5"/>
  <c r="L7" i="4"/>
  <c r="L9" i="4"/>
  <c r="L6" i="4"/>
  <c r="L5" i="4"/>
  <c r="L11" i="4"/>
  <c r="F3" i="4"/>
  <c r="E4" i="4"/>
  <c r="L12" i="4"/>
  <c r="L14" i="4"/>
  <c r="L13" i="4"/>
  <c r="L8" i="4"/>
  <c r="K10" i="1"/>
  <c r="K9" i="1"/>
  <c r="K7" i="1"/>
  <c r="F4" i="6" l="1"/>
  <c r="G3" i="6"/>
  <c r="G3" i="5"/>
  <c r="F4" i="5"/>
  <c r="G3" i="4"/>
  <c r="F4" i="4"/>
  <c r="B5" i="3"/>
  <c r="B7" i="3"/>
  <c r="U7" i="3" s="1"/>
  <c r="B8" i="3"/>
  <c r="U8" i="3" s="1"/>
  <c r="K11" i="1"/>
  <c r="K13" i="1"/>
  <c r="B11" i="3" s="1"/>
  <c r="U11" i="3" s="1"/>
  <c r="K12" i="1"/>
  <c r="U5" i="3" l="1"/>
  <c r="G4" i="6"/>
  <c r="H3" i="6"/>
  <c r="H4" i="6" s="1"/>
  <c r="G4" i="5"/>
  <c r="H3" i="5"/>
  <c r="H4" i="5" s="1"/>
  <c r="G4" i="4"/>
  <c r="H3" i="4"/>
  <c r="H4" i="4" s="1"/>
  <c r="B9" i="3"/>
  <c r="U9" i="3" s="1"/>
  <c r="B10" i="3"/>
  <c r="U10" i="3" s="1"/>
  <c r="K6" i="1"/>
  <c r="K8" i="1"/>
  <c r="B6" i="3" s="1"/>
  <c r="K5" i="1"/>
  <c r="B3" i="3" s="1"/>
  <c r="U6" i="3" l="1"/>
  <c r="B4" i="3"/>
  <c r="B16" i="3" s="1"/>
  <c r="U3" i="3"/>
  <c r="K16" i="1"/>
  <c r="U4" i="3" l="1"/>
  <c r="U16" i="3" s="1"/>
  <c r="L11" i="1"/>
  <c r="L14" i="1"/>
  <c r="L7" i="1"/>
  <c r="L12" i="1"/>
  <c r="L13" i="1"/>
  <c r="L5" i="1"/>
  <c r="L8" i="1"/>
  <c r="L9" i="1"/>
  <c r="L6" i="1"/>
  <c r="L10" i="1"/>
  <c r="V14" i="3" l="1"/>
  <c r="V15" i="3"/>
  <c r="V4" i="3"/>
  <c r="V13" i="3"/>
  <c r="V6" i="3"/>
  <c r="V12" i="3"/>
  <c r="V7" i="3"/>
  <c r="V11" i="3"/>
  <c r="V5" i="3"/>
  <c r="V8" i="3"/>
  <c r="V10" i="3"/>
  <c r="V9" i="3"/>
  <c r="V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5B0049-589D-4183-A816-2C480618AA08}" keepAlive="1" name="Consulta - 02 05 2022" description="Conexão com a consulta '02 05 2022' na pasta de trabalho." type="5" refreshedVersion="8" background="1" saveData="1">
    <dbPr connection="Provider=Microsoft.Mashup.OleDb.1;Data Source=$Workbook$;Location=&quot;02 05 2022&quot;;Extended Properties=&quot;&quot;" command="SELECT * FROM [02 05 2022]"/>
  </connection>
  <connection id="2" xr16:uid="{8833643D-826D-44A6-AD26-31342583813F}" keepAlive="1" name="Consulta - 04 04 2022" description="Conexão com a consulta '04 04 2022' na pasta de trabalho." type="5" refreshedVersion="8" background="1" saveData="1">
    <dbPr connection="Provider=Microsoft.Mashup.OleDb.1;Data Source=$Workbook$;Location=&quot;04 04 2022&quot;;Extended Properties=&quot;&quot;" command="SELECT * FROM [04 04 2022]"/>
  </connection>
  <connection id="3" xr16:uid="{00447756-758F-489C-A8B5-FABA1097010F}" keepAlive="1" name="Consulta - 04 07 2022" description="Conexão com a consulta '04 07 2022' na pasta de trabalho." type="5" refreshedVersion="8" background="1" saveData="1">
    <dbPr connection="Provider=Microsoft.Mashup.OleDb.1;Data Source=$Workbook$;Location=&quot;04 07 2022&quot;;Extended Properties=&quot;&quot;" command="SELECT * FROM [04 07 2022]"/>
  </connection>
  <connection id="4" xr16:uid="{3869635A-E6B1-4F0B-A88D-729E4AEDD249}" keepAlive="1" name="Consulta - 06 06 2022" description="Conexão com a consulta '06 06 2022' na pasta de trabalho." type="5" refreshedVersion="8" background="1" saveData="1">
    <dbPr connection="Provider=Microsoft.Mashup.OleDb.1;Data Source=$Workbook$;Location=&quot;06 06 2022&quot;;Extended Properties=&quot;&quot;" command="SELECT * FROM [06 06 2022]"/>
  </connection>
  <connection id="5" xr16:uid="{67414E47-51AD-41F3-BB11-9B3FAFD5A1AC}" keepAlive="1" name="Consulta - 07 03 2022" description="Conexão com a consulta '07 03 2022' na pasta de trabalho." type="5" refreshedVersion="8" background="1" saveData="1">
    <dbPr connection="Provider=Microsoft.Mashup.OleDb.1;Data Source=$Workbook$;Location=&quot;07 03 2022&quot;;Extended Properties=&quot;&quot;" command="SELECT * FROM [07 03 2022]"/>
  </connection>
  <connection id="6" xr16:uid="{EBF3AA7C-57ED-449E-9D6F-69CEA11040A3}" keepAlive="1" name="Consulta - 09 05 2022" description="Conexão com a consulta '09 05 2022' na pasta de trabalho." type="5" refreshedVersion="8" background="1" saveData="1">
    <dbPr connection="Provider=Microsoft.Mashup.OleDb.1;Data Source=$Workbook$;Location=&quot;09 05 2022&quot;;Extended Properties=&quot;&quot;" command="SELECT * FROM [09 05 2022]"/>
  </connection>
  <connection id="7" xr16:uid="{0B19B0CA-7843-4227-8F8D-12EC721ABD54}" keepAlive="1" name="Consulta - 11 04 2022" description="Conexão com a consulta '11 04 2022' na pasta de trabalho." type="5" refreshedVersion="8" background="1" saveData="1">
    <dbPr connection="Provider=Microsoft.Mashup.OleDb.1;Data Source=$Workbook$;Location=&quot;11 04 2022&quot;;Extended Properties=&quot;&quot;" command="SELECT * FROM [11 04 2022]"/>
  </connection>
  <connection id="8" xr16:uid="{62F9E435-A3A0-4CB7-A0EA-185CAA82474B}" keepAlive="1" name="Consulta - 13 06 2022" description="Conexão com a consulta '13 06 2022' na pasta de trabalho." type="5" refreshedVersion="8" background="1" saveData="1">
    <dbPr connection="Provider=Microsoft.Mashup.OleDb.1;Data Source=$Workbook$;Location=&quot;13 06 2022&quot;;Extended Properties=&quot;&quot;" command="SELECT * FROM [13 06 2022]"/>
  </connection>
  <connection id="9" xr16:uid="{0F9789C4-9761-4845-819D-690D94E3D39B}" keepAlive="1" name="Consulta - 14 03 2022" description="Conexão com a consulta '14 03 2022' na pasta de trabalho." type="5" refreshedVersion="8" background="1" saveData="1">
    <dbPr connection="Provider=Microsoft.Mashup.OleDb.1;Data Source=$Workbook$;Location=&quot;14 03 2022&quot;;Extended Properties=&quot;&quot;" command="SELECT * FROM [14 03 2022]"/>
  </connection>
  <connection id="10" xr16:uid="{C72FD01D-0198-42EF-B5A7-75F45B47D94E}" keepAlive="1" name="Consulta - 16 05 2022" description="Conexão com a consulta '16 05 2022' na pasta de trabalho." type="5" refreshedVersion="8" background="1" saveData="1">
    <dbPr connection="Provider=Microsoft.Mashup.OleDb.1;Data Source=$Workbook$;Location=&quot;16 05 2022&quot;;Extended Properties=&quot;&quot;" command="SELECT * FROM [16 05 2022]"/>
  </connection>
  <connection id="11" xr16:uid="{DB09DB58-3D57-45BE-9C38-2517AA99A61C}" keepAlive="1" name="Consulta - 18 04 2022" description="Conexão com a consulta '18 04 2022' na pasta de trabalho." type="5" refreshedVersion="8" background="1" saveData="1">
    <dbPr connection="Provider=Microsoft.Mashup.OleDb.1;Data Source=$Workbook$;Location=&quot;18 04 2022&quot;;Extended Properties=&quot;&quot;" command="SELECT * FROM [18 04 2022]"/>
  </connection>
  <connection id="12" xr16:uid="{9B1F0B53-570C-443F-A4FF-301BD89F9BBB}" keepAlive="1" name="Consulta - 20 06 2022" description="Conexão com a consulta '20 06 2022' na pasta de trabalho." type="5" refreshedVersion="8" background="1" saveData="1">
    <dbPr connection="Provider=Microsoft.Mashup.OleDb.1;Data Source=$Workbook$;Location=&quot;20 06 2022&quot;;Extended Properties=&quot;&quot;" command="SELECT * FROM [20 06 2022]"/>
  </connection>
  <connection id="13" xr16:uid="{65356AB3-89C4-45DD-A410-889BB61D4834}" keepAlive="1" name="Consulta - 21 02 2022" description="Conexão com a consulta '21 02 2022' na pasta de trabalho." type="5" refreshedVersion="8" background="1" saveData="1">
    <dbPr connection="Provider=Microsoft.Mashup.OleDb.1;Data Source=$Workbook$;Location=&quot;21 02 2022&quot;;Extended Properties=&quot;&quot;" command="SELECT * FROM [21 02 2022]"/>
  </connection>
  <connection id="14" xr16:uid="{6991BE9D-584B-4B64-94BA-D614AF22BB5E}" keepAlive="1" name="Consulta - 21 03 2022" description="Conexão com a consulta '21 03 2022' na pasta de trabalho." type="5" refreshedVersion="8" background="1" saveData="1">
    <dbPr connection="Provider=Microsoft.Mashup.OleDb.1;Data Source=$Workbook$;Location=&quot;21 03 2022&quot;;Extended Properties=&quot;&quot;" command="SELECT * FROM [21 03 2022]"/>
  </connection>
  <connection id="15" xr16:uid="{1F7F0708-DCC6-4F97-8523-C79471D9DBDD}" keepAlive="1" name="Consulta - 23 05 2022" description="Conexão com a consulta '23 05 2022' na pasta de trabalho." type="5" refreshedVersion="8" background="1" saveData="1">
    <dbPr connection="Provider=Microsoft.Mashup.OleDb.1;Data Source=$Workbook$;Location=&quot;23 05 2022&quot;;Extended Properties=&quot;&quot;" command="SELECT * FROM [23 05 2022]"/>
  </connection>
  <connection id="16" xr16:uid="{F028884F-CB40-47F1-81CF-3F977B3F7813}" keepAlive="1" name="Consulta - 25 04 2022" description="Conexão com a consulta '25 04 2022' na pasta de trabalho." type="5" refreshedVersion="8" background="1" saveData="1">
    <dbPr connection="Provider=Microsoft.Mashup.OleDb.1;Data Source=$Workbook$;Location=&quot;25 04 2022&quot;;Extended Properties=&quot;&quot;" command="SELECT * FROM [25 04 2022]"/>
  </connection>
  <connection id="17" xr16:uid="{AE061B39-EE29-446C-8AAF-CB9CAA7D2FE0}" keepAlive="1" name="Consulta - 27 06 2022" description="Conexão com a consulta '27 06 2022' na pasta de trabalho." type="5" refreshedVersion="8" background="1" saveData="1">
    <dbPr connection="Provider=Microsoft.Mashup.OleDb.1;Data Source=$Workbook$;Location=&quot;27 06 2022&quot;;Extended Properties=&quot;&quot;" command="SELECT * FROM [27 06 2022]"/>
  </connection>
  <connection id="18" xr16:uid="{7761AAA3-FEA3-4DBA-869D-41E990ADBB65}" keepAlive="1" name="Consulta - 28 02 2022" description="Conexão com a consulta '28 02 2022' na pasta de trabalho." type="5" refreshedVersion="8" background="1" saveData="1">
    <dbPr connection="Provider=Microsoft.Mashup.OleDb.1;Data Source=$Workbook$;Location=&quot;28 02 2022&quot;;Extended Properties=&quot;&quot;" command="SELECT * FROM [28 02 2022]"/>
  </connection>
  <connection id="19" xr16:uid="{E9C6AFBD-2E0E-4AA0-BFF6-63D1CB38444C}" keepAlive="1" name="Consulta - 28 03 2022" description="Conexão com a consulta '28 03 2022' na pasta de trabalho." type="5" refreshedVersion="8" background="1" saveData="1">
    <dbPr connection="Provider=Microsoft.Mashup.OleDb.1;Data Source=$Workbook$;Location=&quot;28 03 2022&quot;;Extended Properties=&quot;&quot;" command="SELECT * FROM [28 03 2022]"/>
  </connection>
  <connection id="20" xr16:uid="{84CADDDE-716C-4E3B-863B-4577670F0FF5}" keepAlive="1" name="Consulta - 30 05 2022" description="Conexão com a consulta '30 05 2022' na pasta de trabalho." type="5" refreshedVersion="8" background="1" saveData="1">
    <dbPr connection="Provider=Microsoft.Mashup.OleDb.1;Data Source=$Workbook$;Location=&quot;30 05 2022&quot;;Extended Properties=&quot;&quot;" command="SELECT * FROM [30 05 2022]"/>
  </connection>
</connections>
</file>

<file path=xl/sharedStrings.xml><?xml version="1.0" encoding="utf-8"?>
<sst xmlns="http://schemas.openxmlformats.org/spreadsheetml/2006/main" count="10658" uniqueCount="219">
  <si>
    <t xml:space="preserve">Primeiro Semestre </t>
  </si>
  <si>
    <t>Parâmetros</t>
  </si>
  <si>
    <t>Total</t>
  </si>
  <si>
    <t>Percentual</t>
  </si>
  <si>
    <t>Pulverização</t>
  </si>
  <si>
    <t>Adubação</t>
  </si>
  <si>
    <t>Trnasplantio</t>
  </si>
  <si>
    <t>Colheita Tabaco</t>
  </si>
  <si>
    <t>Pantio</t>
  </si>
  <si>
    <t>Erosão</t>
  </si>
  <si>
    <t>Mecânico/Trator</t>
  </si>
  <si>
    <t>Transporte</t>
  </si>
  <si>
    <t>Pivô Atolado</t>
  </si>
  <si>
    <t>Entrega do Produto</t>
  </si>
  <si>
    <t>Limpeza e Aferições</t>
  </si>
  <si>
    <t>Falta de Água</t>
  </si>
  <si>
    <t>Desponte</t>
  </si>
  <si>
    <t>Atendimento de irrigação  (Imapacto Operacional Interno e Externo) - Semena 21/02/2022</t>
  </si>
  <si>
    <t xml:space="preserve">Data </t>
  </si>
  <si>
    <t>Pivô</t>
  </si>
  <si>
    <t>Contagem</t>
  </si>
  <si>
    <t>Porcentagem</t>
  </si>
  <si>
    <t>Semana</t>
  </si>
  <si>
    <t>Pivô 01</t>
  </si>
  <si>
    <t>21/02-27/2</t>
  </si>
  <si>
    <t>Pivô 02</t>
  </si>
  <si>
    <t>Pivô 03</t>
  </si>
  <si>
    <t>Trnaspantio</t>
  </si>
  <si>
    <t>Pivô 04</t>
  </si>
  <si>
    <t>Pivô 05</t>
  </si>
  <si>
    <t>Plantio</t>
  </si>
  <si>
    <t>Pivô 06</t>
  </si>
  <si>
    <t>Pivô 07</t>
  </si>
  <si>
    <t>Pivô 08</t>
  </si>
  <si>
    <t>Operação Ferti</t>
  </si>
  <si>
    <t>Pivô 09</t>
  </si>
  <si>
    <t>Pivô 10</t>
  </si>
  <si>
    <t>Pivô 11</t>
  </si>
  <si>
    <t>Pivô 12</t>
  </si>
  <si>
    <t>Pivô 13</t>
  </si>
  <si>
    <t>Pivô 14</t>
  </si>
  <si>
    <t>Pivô 15</t>
  </si>
  <si>
    <t>Pivô 16</t>
  </si>
  <si>
    <t>Pivô 17</t>
  </si>
  <si>
    <t>Pivô 18</t>
  </si>
  <si>
    <t>Pivô 19</t>
  </si>
  <si>
    <t>Pivô 20</t>
  </si>
  <si>
    <t>Pivô 21</t>
  </si>
  <si>
    <t>Pivô 22</t>
  </si>
  <si>
    <t>Pivô 23</t>
  </si>
  <si>
    <t>Pivô 24</t>
  </si>
  <si>
    <t>Pivô 25</t>
  </si>
  <si>
    <t>Pivô 26</t>
  </si>
  <si>
    <t>Pivô 27</t>
  </si>
  <si>
    <t>Pivô 28</t>
  </si>
  <si>
    <t>Pivô 29</t>
  </si>
  <si>
    <t>Pivô 30</t>
  </si>
  <si>
    <t>Pivô 31</t>
  </si>
  <si>
    <t>Pivô 32</t>
  </si>
  <si>
    <t>Pivô 33</t>
  </si>
  <si>
    <t>Pivô 34</t>
  </si>
  <si>
    <t>Pivô 35</t>
  </si>
  <si>
    <t>Pivô 36</t>
  </si>
  <si>
    <t>Pivô 37</t>
  </si>
  <si>
    <t>Pivô 38</t>
  </si>
  <si>
    <t>Pivô 39</t>
  </si>
  <si>
    <t>Pivô 40</t>
  </si>
  <si>
    <t>Pivô 41</t>
  </si>
  <si>
    <t>Pivô 42</t>
  </si>
  <si>
    <t>Pivô 43</t>
  </si>
  <si>
    <t>Pivô 44</t>
  </si>
  <si>
    <t>Pivô 45</t>
  </si>
  <si>
    <t>Pivô 46</t>
  </si>
  <si>
    <t>Pivô 47</t>
  </si>
  <si>
    <t>Pivô 48</t>
  </si>
  <si>
    <t>Pivô 49</t>
  </si>
  <si>
    <t>Pivô 50</t>
  </si>
  <si>
    <t>Pivô 51</t>
  </si>
  <si>
    <t>Pivô 52</t>
  </si>
  <si>
    <t>Pivô 53</t>
  </si>
  <si>
    <t>Pivô 54</t>
  </si>
  <si>
    <t>Pivô 55</t>
  </si>
  <si>
    <t>Pivô 56</t>
  </si>
  <si>
    <t>Pivô 73</t>
  </si>
  <si>
    <t>Pivô 74</t>
  </si>
  <si>
    <t>Pivô 101</t>
  </si>
  <si>
    <t>Pivô 102</t>
  </si>
  <si>
    <t>Pivô 103</t>
  </si>
  <si>
    <t>Pivô 104</t>
  </si>
  <si>
    <t>Pivô 105</t>
  </si>
  <si>
    <t>Pivô 106</t>
  </si>
  <si>
    <t>Pivô 107</t>
  </si>
  <si>
    <t>Pivô 108</t>
  </si>
  <si>
    <t>Pivô 109</t>
  </si>
  <si>
    <t>Pivô 110</t>
  </si>
  <si>
    <t>Pivô 111</t>
  </si>
  <si>
    <t>Pivô 112</t>
  </si>
  <si>
    <t>Pivô 113</t>
  </si>
  <si>
    <t>Pivô 114</t>
  </si>
  <si>
    <t>Pivô 115</t>
  </si>
  <si>
    <t>Pivô 116</t>
  </si>
  <si>
    <t>Pivô 117</t>
  </si>
  <si>
    <t>Pivô 118</t>
  </si>
  <si>
    <t>Pivô 119</t>
  </si>
  <si>
    <t>Pivô 120</t>
  </si>
  <si>
    <t>Pivô 121</t>
  </si>
  <si>
    <t>Pivô 122</t>
  </si>
  <si>
    <t>Pivô 123</t>
  </si>
  <si>
    <t>Pivô 124</t>
  </si>
  <si>
    <t>Pivô 125</t>
  </si>
  <si>
    <t>Pivô 126</t>
  </si>
  <si>
    <t>Pivô 127</t>
  </si>
  <si>
    <t>Pivô 128</t>
  </si>
  <si>
    <t>Pivô 129</t>
  </si>
  <si>
    <t>Pivô 130</t>
  </si>
  <si>
    <t>Pivô 133</t>
  </si>
  <si>
    <t>Atendimento de irrigação  (Imapacto Operacional Interno e Externo) - Semena 28/02/2022</t>
  </si>
  <si>
    <t>28/2-6/3</t>
  </si>
  <si>
    <t>Erosão/Rastro</t>
  </si>
  <si>
    <t>Atendimento de irrigação  (Imapacto Operacional Interno e Externo) - Semena 07/03/2022</t>
  </si>
  <si>
    <t>7/3-13/3</t>
  </si>
  <si>
    <t>Limpeza e aferições</t>
  </si>
  <si>
    <t>Atendimento de irrigação  (Imapacto Operacional Interno e Externo) - Semena 14/03/2022</t>
  </si>
  <si>
    <t>Contegem</t>
  </si>
  <si>
    <t>14/3-20/3</t>
  </si>
  <si>
    <t>Atendimento de irrigação  (Imapacto Operacional Interno e Externo) - Semena 21/03/2022</t>
  </si>
  <si>
    <t>21/3-27/3</t>
  </si>
  <si>
    <t>Transplantio</t>
  </si>
  <si>
    <t>Atendimento de irrigação  (Imapacto Operacional Interno e Externo) - Semena 28/03/2022</t>
  </si>
  <si>
    <t>28/3-3/4</t>
  </si>
  <si>
    <t>Atendimento de irrigação  (Imapacto Operacional Interno e Externo) - Semena 04/04/2022</t>
  </si>
  <si>
    <t>4/4-10/4</t>
  </si>
  <si>
    <t>Atendimento de irrigação  (Imapacto Operacional Interno e Externo) - Semena 11/04/2022</t>
  </si>
  <si>
    <t>11/4-17/4</t>
  </si>
  <si>
    <t>Atendimento de irrigação  (Imapacto Operacional Interno e Externo) - Semena 18/04/2022</t>
  </si>
  <si>
    <t>18/4-24/4</t>
  </si>
  <si>
    <t>Atendimento de irrigação  (Imapacto Operacional Interno e Externo) - Semena 25/04/2022</t>
  </si>
  <si>
    <t>25/4-1/5</t>
  </si>
  <si>
    <t>Atendimento de irrigação  (Imapacto Operacional Interno e Externo) - Semena 02/05/2022</t>
  </si>
  <si>
    <t>2/5-8/5</t>
  </si>
  <si>
    <t>Atendimento de irrigação  (Imapacto Operacional Interno e Externo) - Semena 09/05/2022</t>
  </si>
  <si>
    <t>9/5-15/5</t>
  </si>
  <si>
    <t>Atendimento de irrigação  (Imapacto Operacional Interno e Externo) - Semena 16/05/2022</t>
  </si>
  <si>
    <t>15/5-22/5</t>
  </si>
  <si>
    <t>Dashboard Indicadores'!A1</t>
  </si>
  <si>
    <t>Atendimento de irrigação  (Imapacto Operacional Interno e Externo) - Semena 23/05/2022</t>
  </si>
  <si>
    <t>Periodo</t>
  </si>
  <si>
    <t>Ano</t>
  </si>
  <si>
    <t>23/5-29/5</t>
  </si>
  <si>
    <t>2ª Semestre</t>
  </si>
  <si>
    <t>Atendimento de irrigação  (Imapacto Operacional Interno e Externo) - Semena 30/05/2022</t>
  </si>
  <si>
    <t>30/5-5/6</t>
  </si>
  <si>
    <t>Atendimento de irrigação  (Imapacto Operacional Interno e Externo) - Semena 06/06/2022</t>
  </si>
  <si>
    <t>6/6-12/6</t>
  </si>
  <si>
    <t>Atendimento de irrigação  (Imapacto Operacional Interno e Externo) - Semena 13/06/2022</t>
  </si>
  <si>
    <t>13/6-19/6</t>
  </si>
  <si>
    <t>1ª Semestre</t>
  </si>
  <si>
    <t>Atendimento de irrigação  (Imapacto Operacional Interno e Externo) - Semena 20/06/2022</t>
  </si>
  <si>
    <t>20/6-26/6</t>
  </si>
  <si>
    <t>Atendimento de irrigação  (Imapacto Operacional Interno e Externo) - Semena 27/06/2022</t>
  </si>
  <si>
    <t>27/6-3/7</t>
  </si>
  <si>
    <t>Atendimento de irrigação  (Imapacto Operacional Interno e Externo) - Semena 04/07/2022</t>
  </si>
  <si>
    <t>Atendimento de irrigação  (Imapacto Operacional Interno e Externo) - Semena 11/07/2022</t>
  </si>
  <si>
    <t xml:space="preserve">Atendimento de irrigação  (Imapacto Operacional Interno e Externo) - Semena 18/07/2022 </t>
  </si>
  <si>
    <t>Gerador/Combustivel</t>
  </si>
  <si>
    <t xml:space="preserve">Atendimento de irrigação  (Imapacto Operacional Interno e Externo) - Semena 25/07/2022 </t>
  </si>
  <si>
    <t>Gerador</t>
  </si>
  <si>
    <t xml:space="preserve">Atendimento de irrigação  (Imapacto Operacional Interno e Externo) - Semena 01/08/2022 </t>
  </si>
  <si>
    <t>Injeferd</t>
  </si>
  <si>
    <t xml:space="preserve">Atendimento de irrigação  (Imapacto Operacional Interno e Externo) - Semena 08/08/2022 </t>
  </si>
  <si>
    <t xml:space="preserve">Atendimento de irrigação  (Imapacto Operacional Interno e Externo) - Semena 15/08/2022 </t>
  </si>
  <si>
    <t xml:space="preserve">Atendimento de irrigação  (Imapacto Operacional Interno e Externo) - Semena 22/08/2022 </t>
  </si>
  <si>
    <t xml:space="preserve">Atendimento de irrigação  (Imapacto Operacional Interno e Externo) - Semena 29/08/2022 </t>
  </si>
  <si>
    <t>Entupimento</t>
  </si>
  <si>
    <t xml:space="preserve">Atendimento de irrigação  (Imapacto Operacional Interno e Externo) - Semena 05/09/2022 </t>
  </si>
  <si>
    <t xml:space="preserve">Atendimento de irrigação  (Imapacto Operacional Interno e Externo) - Semena 12/09/2022 </t>
  </si>
  <si>
    <t>Syngenta</t>
  </si>
  <si>
    <t xml:space="preserve">Atendimento de irrigação  (Imapacto Operacional Interno e Externo) - Semena 19/09/2022 </t>
  </si>
  <si>
    <t xml:space="preserve">Atendimento de irrigação  (Imapacto Operacional Interno e Externo) - Semena 26/09/2022 </t>
  </si>
  <si>
    <t xml:space="preserve">Atendimento de irrigação  (Imapacto Operacional Interno e Externo) - Semena 03/10/2022 </t>
  </si>
  <si>
    <t xml:space="preserve">Atendimento de irrigação  (Imapacto Operacional Interno e Externo) - Semena 10/10/2022 </t>
  </si>
  <si>
    <t xml:space="preserve">Atendimento de irrigação  (Imapacto Operacional Interno e Externo) - Semena 17/10/2022 </t>
  </si>
  <si>
    <t xml:space="preserve">Atendimento de irrigação  (Imapacto Operacional Interno e Externo) - Semena 24/10/2022 </t>
  </si>
  <si>
    <t xml:space="preserve">Atendimento de irrigação  (Imapacto Operacional Interno e Externo) - Semena 31/10/2022 </t>
  </si>
  <si>
    <t xml:space="preserve">Atendimento de irrigação  (Imapacto Operacional Interno e Externo) - Semena 07/11/2022 </t>
  </si>
  <si>
    <t xml:space="preserve">Atendimento de irrigação  (Imapacto Operacional Interno e Externo) - Semena 14/11/2022 </t>
  </si>
  <si>
    <t xml:space="preserve">Atendimento de irrigação  (Imapacto Operacional Interno e Externo) - Semena 05/12/2022 </t>
  </si>
  <si>
    <t>Atendimento de irrigação  (Imapacto Operacional Interno e Externo) - Semena 02/01/2023</t>
  </si>
  <si>
    <t>Atendimento de irrigação  (Imapacto Operacional Interno e Externo) - Semena 16/01/2023</t>
  </si>
  <si>
    <t>Atendimento de irrigação  (Imapacto Operacional Interno e Externo) - Semena 30/01/2023</t>
  </si>
  <si>
    <t>Atendimento de irrigação  (Imapacto Operacional Interno e Externo) - Semena 06/02/2023</t>
  </si>
  <si>
    <t>Pivô 57</t>
  </si>
  <si>
    <t>Pivô 58</t>
  </si>
  <si>
    <t>Pivô 59</t>
  </si>
  <si>
    <t>Pivô 60</t>
  </si>
  <si>
    <t>Pivô 61</t>
  </si>
  <si>
    <t>Pivô 62</t>
  </si>
  <si>
    <t>Pivô 63</t>
  </si>
  <si>
    <t>Pivô 64</t>
  </si>
  <si>
    <t>Pivô 65</t>
  </si>
  <si>
    <t>Pivô 66</t>
  </si>
  <si>
    <t>Pivô 67</t>
  </si>
  <si>
    <t>Pivô 68</t>
  </si>
  <si>
    <t>Pivô 69</t>
  </si>
  <si>
    <t>Pivô 70</t>
  </si>
  <si>
    <t>Pivô 71</t>
  </si>
  <si>
    <t>Pivô 72</t>
  </si>
  <si>
    <t>Atendimento de irrigação  (Imapacto Operacional Interno e Externo) - Semena 13/02/2023</t>
  </si>
  <si>
    <t xml:space="preserve">Atendimento de irrigação  (Imapacto Operacional Interno e Externo) </t>
  </si>
  <si>
    <t>Mês</t>
  </si>
  <si>
    <t>Rótulos de Linha</t>
  </si>
  <si>
    <t>Percentual Semanal</t>
  </si>
  <si>
    <t>Contagem Semanal</t>
  </si>
  <si>
    <t>Percentual Anual</t>
  </si>
  <si>
    <t>Contagem Anual</t>
  </si>
  <si>
    <t>Verificação</t>
  </si>
  <si>
    <t>Demanda de Energia</t>
  </si>
  <si>
    <t>Pivô 131</t>
  </si>
  <si>
    <t>Pivô 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</si>
</sst>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u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87054"/>
        <bgColor indexed="64"/>
      </patternFill>
    </fill>
    <fill>
      <patternFill patternType="solid">
        <fgColor rgb="FF308F29"/>
        <bgColor indexed="64"/>
      </patternFill>
    </fill>
    <fill>
      <patternFill patternType="solid">
        <fgColor rgb="FF789D1B"/>
        <bgColor indexed="64"/>
      </patternFill>
    </fill>
    <fill>
      <patternFill patternType="solid">
        <fgColor rgb="FF64C15F"/>
        <bgColor indexed="64"/>
      </patternFill>
    </fill>
    <fill>
      <patternFill patternType="solid">
        <fgColor rgb="FFBBE2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FF7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17B7B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dotted">
        <color theme="0"/>
      </right>
      <top/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 style="dotted">
        <color auto="1"/>
      </right>
      <top/>
      <bottom style="dotted">
        <color theme="0"/>
      </bottom>
      <diagonal/>
    </border>
    <border>
      <left style="dotted">
        <color theme="0"/>
      </left>
      <right style="dotted">
        <color auto="1"/>
      </right>
      <top style="dotted">
        <color theme="0"/>
      </top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auto="1"/>
      </bottom>
      <diagonal/>
    </border>
    <border>
      <left style="dotted">
        <color theme="0"/>
      </left>
      <right style="dotted">
        <color auto="1"/>
      </right>
      <top style="dotted">
        <color theme="0"/>
      </top>
      <bottom style="dotted">
        <color auto="1"/>
      </bottom>
      <diagonal/>
    </border>
    <border>
      <left style="dotted">
        <color theme="0"/>
      </left>
      <right style="dotted">
        <color theme="1"/>
      </right>
      <top/>
      <bottom style="dotted">
        <color theme="0"/>
      </bottom>
      <diagonal/>
    </border>
    <border>
      <left style="dotted">
        <color theme="0"/>
      </left>
      <right style="dotted">
        <color theme="1"/>
      </right>
      <top style="dotted">
        <color theme="0"/>
      </top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theme="1"/>
      </bottom>
      <diagonal/>
    </border>
    <border>
      <left style="dotted">
        <color theme="0"/>
      </left>
      <right style="dotted">
        <color theme="1"/>
      </right>
      <top style="dotted">
        <color theme="0"/>
      </top>
      <bottom style="dotted">
        <color theme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9" fontId="0" fillId="0" borderId="0" xfId="1" applyFont="1"/>
    <xf numFmtId="0" fontId="2" fillId="3" borderId="1" xfId="0" applyFont="1" applyFill="1" applyBorder="1"/>
    <xf numFmtId="0" fontId="2" fillId="4" borderId="0" xfId="0" applyFont="1" applyFill="1"/>
    <xf numFmtId="0" fontId="2" fillId="3" borderId="2" xfId="0" applyFont="1" applyFill="1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7" fillId="13" borderId="5" xfId="0" applyFont="1" applyFill="1" applyBorder="1"/>
    <xf numFmtId="16" fontId="0" fillId="13" borderId="5" xfId="0" applyNumberFormat="1" applyFill="1" applyBorder="1" applyAlignment="1">
      <alignment horizontal="left"/>
    </xf>
    <xf numFmtId="16" fontId="0" fillId="13" borderId="4" xfId="0" applyNumberFormat="1" applyFill="1" applyBorder="1" applyAlignment="1">
      <alignment horizontal="left"/>
    </xf>
    <xf numFmtId="0" fontId="7" fillId="13" borderId="3" xfId="0" applyFont="1" applyFill="1" applyBorder="1"/>
    <xf numFmtId="0" fontId="0" fillId="13" borderId="3" xfId="0" applyFill="1" applyBorder="1" applyAlignment="1">
      <alignment horizontal="left"/>
    </xf>
    <xf numFmtId="0" fontId="0" fillId="13" borderId="6" xfId="0" applyFill="1" applyBorder="1" applyAlignment="1">
      <alignment horizontal="left"/>
    </xf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2" fillId="2" borderId="0" xfId="0" applyFont="1" applyFill="1" applyAlignment="1">
      <alignment horizontal="center" vertical="center"/>
    </xf>
    <xf numFmtId="0" fontId="1" fillId="5" borderId="7" xfId="0" applyFont="1" applyFill="1" applyBorder="1"/>
    <xf numFmtId="0" fontId="1" fillId="6" borderId="7" xfId="0" applyFont="1" applyFill="1" applyBorder="1"/>
    <xf numFmtId="0" fontId="1" fillId="8" borderId="7" xfId="0" applyFont="1" applyFill="1" applyBorder="1"/>
    <xf numFmtId="0" fontId="2" fillId="9" borderId="7" xfId="0" applyFont="1" applyFill="1" applyBorder="1"/>
    <xf numFmtId="0" fontId="2" fillId="10" borderId="7" xfId="0" applyFont="1" applyFill="1" applyBorder="1"/>
    <xf numFmtId="0" fontId="2" fillId="7" borderId="7" xfId="0" applyFont="1" applyFill="1" applyBorder="1"/>
    <xf numFmtId="0" fontId="2" fillId="11" borderId="7" xfId="0" applyFont="1" applyFill="1" applyBorder="1"/>
    <xf numFmtId="0" fontId="2" fillId="12" borderId="7" xfId="0" applyFont="1" applyFill="1" applyBorder="1"/>
    <xf numFmtId="0" fontId="2" fillId="14" borderId="7" xfId="0" applyFont="1" applyFill="1" applyBorder="1"/>
    <xf numFmtId="0" fontId="1" fillId="5" borderId="0" xfId="0" applyFont="1" applyFill="1"/>
    <xf numFmtId="16" fontId="2" fillId="0" borderId="0" xfId="0" applyNumberFormat="1" applyFont="1"/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2" fillId="18" borderId="0" xfId="0" applyFont="1" applyFill="1"/>
    <xf numFmtId="0" fontId="5" fillId="19" borderId="0" xfId="0" applyFont="1" applyFill="1"/>
    <xf numFmtId="0" fontId="1" fillId="20" borderId="0" xfId="0" applyFont="1" applyFill="1"/>
    <xf numFmtId="0" fontId="13" fillId="21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9" fontId="0" fillId="0" borderId="10" xfId="1" applyFont="1" applyBorder="1"/>
    <xf numFmtId="9" fontId="0" fillId="0" borderId="11" xfId="1" applyFont="1" applyBorder="1"/>
    <xf numFmtId="0" fontId="2" fillId="0" borderId="12" xfId="0" applyFont="1" applyBorder="1"/>
    <xf numFmtId="9" fontId="0" fillId="0" borderId="13" xfId="1" applyFont="1" applyBorder="1"/>
    <xf numFmtId="0" fontId="14" fillId="21" borderId="7" xfId="0" applyFont="1" applyFill="1" applyBorder="1"/>
    <xf numFmtId="0" fontId="13" fillId="18" borderId="0" xfId="0" applyFont="1" applyFill="1"/>
    <xf numFmtId="9" fontId="0" fillId="0" borderId="14" xfId="1" applyFont="1" applyBorder="1"/>
    <xf numFmtId="9" fontId="0" fillId="0" borderId="15" xfId="1" applyFont="1" applyBorder="1"/>
    <xf numFmtId="0" fontId="2" fillId="0" borderId="16" xfId="0" applyFont="1" applyBorder="1"/>
    <xf numFmtId="9" fontId="0" fillId="0" borderId="17" xfId="1" applyFont="1" applyBorder="1"/>
    <xf numFmtId="0" fontId="13" fillId="22" borderId="0" xfId="0" applyFont="1" applyFill="1"/>
    <xf numFmtId="0" fontId="2" fillId="8" borderId="0" xfId="0" applyFont="1" applyFill="1"/>
    <xf numFmtId="9" fontId="0" fillId="0" borderId="0" xfId="1" applyFont="1" applyBorder="1"/>
    <xf numFmtId="0" fontId="15" fillId="0" borderId="0" xfId="0" applyFont="1" applyAlignment="1">
      <alignment readingOrder="1"/>
    </xf>
    <xf numFmtId="0" fontId="2" fillId="7" borderId="0" xfId="0" applyFont="1" applyFill="1"/>
    <xf numFmtId="0" fontId="0" fillId="20" borderId="0" xfId="0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1" applyNumberFormat="1" applyFont="1"/>
    <xf numFmtId="0" fontId="2" fillId="23" borderId="0" xfId="0" applyFont="1" applyFill="1"/>
    <xf numFmtId="0" fontId="2" fillId="10" borderId="0" xfId="0" applyFont="1" applyFill="1"/>
    <xf numFmtId="0" fontId="2" fillId="24" borderId="0" xfId="0" applyFont="1" applyFill="1"/>
    <xf numFmtId="0" fontId="17" fillId="0" borderId="2" xfId="2" quotePrefix="1" applyBorder="1"/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3">
    <cellStyle name="Hiperlink" xfId="2" builtinId="8"/>
    <cellStyle name="Normal" xfId="0" builtinId="0"/>
    <cellStyle name="Porcentagem" xfId="1" builtinId="5"/>
  </cellStyles>
  <dxfs count="3356"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>
          <bgColor rgb="FF517B7B"/>
        </patternFill>
      </fill>
    </dxf>
  </dxfs>
  <tableStyles count="1" defaultTableStyle="TableStyleMedium2" defaultPivotStyle="PivotStyleLight16">
    <tableStyle name="Estilo de Segmentação de Dados 1" pivot="0" table="0" count="3" xr9:uid="{79473515-C3C9-41B5-BFA4-894AEF5C133D}">
      <tableStyleElement type="wholeTable" dxfId="3355"/>
    </tableStyle>
  </tableStyles>
  <colors>
    <mruColors>
      <color rgb="FF789D1B"/>
      <color rgb="FF517B7B"/>
      <color rgb="FF487054"/>
      <color rgb="FF6FF799"/>
      <color rgb="FF308F29"/>
      <color rgb="FF64C15F"/>
      <color rgb="FFBBE258"/>
    </mruColors>
  </colors>
  <extLst>
    <ext xmlns:x14="http://schemas.microsoft.com/office/spreadsheetml/2009/9/main" uri="{46F421CA-312F-682f-3DD2-61675219B42D}">
      <x14:dxfs count="2">
        <dxf>
          <font>
            <b/>
            <i val="0"/>
            <sz val="9"/>
          </font>
          <fill>
            <patternFill>
              <bgColor theme="0"/>
            </patternFill>
          </fill>
        </dxf>
        <dxf>
          <font>
            <sz val="9"/>
          </font>
          <fill>
            <patternFill>
              <bgColor theme="2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microsoft.com/office/2007/relationships/slicerCache" Target="slicerCaches/slicerCache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onnections" Target="connections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microsoft.com/office/2007/relationships/slicerCache" Target="slicerCaches/slicerCache3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microsoft.com/office/2007/relationships/slicerCache" Target="slicerCaches/slicerCache1.xml"/><Relationship Id="rId81" Type="http://schemas.openxmlformats.org/officeDocument/2006/relationships/theme" Target="theme/theme1.xml"/><Relationship Id="rId86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sz="1050" b="1" u="sng">
                <a:solidFill>
                  <a:srgbClr val="002060"/>
                </a:solidFill>
              </a:rPr>
              <a:t>Atendimento de Irrigação (Imapacto - Operacional Interno e Externo) - 1º Semestre</a:t>
            </a:r>
            <a:r>
              <a:rPr lang="pt-BR" sz="1050" b="1" u="sng" baseline="0">
                <a:solidFill>
                  <a:srgbClr val="002060"/>
                </a:solidFill>
              </a:rPr>
              <a:t> de 2022</a:t>
            </a:r>
            <a:endParaRPr lang="pt-BR" sz="1050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Acumulado!$A$3</c:f>
              <c:strCache>
                <c:ptCount val="1"/>
                <c:pt idx="0">
                  <c:v>Pulverização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CAB-4916-954E-2D5E61ED0BEF}"/>
              </c:ext>
            </c:extLst>
          </c:dPt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Acumulado!$B$3:$T$3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0-4D1E-96A2-CED876B5F74C}"/>
            </c:ext>
          </c:extLst>
        </c:ser>
        <c:ser>
          <c:idx val="1"/>
          <c:order val="1"/>
          <c:tx>
            <c:strRef>
              <c:f>Acumulado!$A$4</c:f>
              <c:strCache>
                <c:ptCount val="1"/>
                <c:pt idx="0">
                  <c:v>Adubação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Acumulado!$B$4:$T$4</c:f>
              <c:numCache>
                <c:formatCode>General</c:formatCode>
                <c:ptCount val="19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0-4D1E-96A2-CED876B5F74C}"/>
            </c:ext>
          </c:extLst>
        </c:ser>
        <c:ser>
          <c:idx val="2"/>
          <c:order val="2"/>
          <c:tx>
            <c:strRef>
              <c:f>Acumulado!$A$5</c:f>
              <c:strCache>
                <c:ptCount val="1"/>
                <c:pt idx="0">
                  <c:v>Trnasplantio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Acumulado!$B$5:$T$5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70-4D1E-96A2-CED876B5F74C}"/>
            </c:ext>
          </c:extLst>
        </c:ser>
        <c:ser>
          <c:idx val="3"/>
          <c:order val="3"/>
          <c:tx>
            <c:strRef>
              <c:f>Acumulado!$A$6</c:f>
              <c:strCache>
                <c:ptCount val="1"/>
                <c:pt idx="0">
                  <c:v>Colheita Tabaco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Acumulado!$B$6:$T$6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70-4D1E-96A2-CED876B5F74C}"/>
            </c:ext>
          </c:extLst>
        </c:ser>
        <c:ser>
          <c:idx val="4"/>
          <c:order val="4"/>
          <c:tx>
            <c:strRef>
              <c:f>Acumulado!$A$7</c:f>
              <c:strCache>
                <c:ptCount val="1"/>
                <c:pt idx="0">
                  <c:v>Pantio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Acumulado!$B$7:$T$7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70-4D1E-96A2-CED876B5F74C}"/>
            </c:ext>
          </c:extLst>
        </c:ser>
        <c:ser>
          <c:idx val="5"/>
          <c:order val="5"/>
          <c:tx>
            <c:strRef>
              <c:f>Acumulado!$A$8</c:f>
              <c:strCache>
                <c:ptCount val="1"/>
                <c:pt idx="0">
                  <c:v>Erosão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Acumulado!$B$8:$T$8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70-4D1E-96A2-CED876B5F74C}"/>
            </c:ext>
          </c:extLst>
        </c:ser>
        <c:ser>
          <c:idx val="6"/>
          <c:order val="6"/>
          <c:tx>
            <c:strRef>
              <c:f>Acumulado!$A$9</c:f>
              <c:strCache>
                <c:ptCount val="1"/>
                <c:pt idx="0">
                  <c:v>Mecânico/Trator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Acumulado!$B$9:$T$9</c:f>
              <c:numCache>
                <c:formatCode>General</c:formatCode>
                <c:ptCount val="19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70-4D1E-96A2-CED876B5F74C}"/>
            </c:ext>
          </c:extLst>
        </c:ser>
        <c:ser>
          <c:idx val="7"/>
          <c:order val="7"/>
          <c:tx>
            <c:strRef>
              <c:f>Acumulado!$A$10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Acumulado!$B$10:$T$10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F-445B-B687-924E375AF042}"/>
            </c:ext>
          </c:extLst>
        </c:ser>
        <c:ser>
          <c:idx val="8"/>
          <c:order val="8"/>
          <c:tx>
            <c:strRef>
              <c:f>Acumulado!$A$11</c:f>
              <c:strCache>
                <c:ptCount val="1"/>
                <c:pt idx="0">
                  <c:v>Pivô Atolado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Acumulado!$B$11:$T$11</c:f>
              <c:numCache>
                <c:formatCode>General</c:formatCode>
                <c:ptCount val="1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F-445B-B687-924E375AF042}"/>
            </c:ext>
          </c:extLst>
        </c:ser>
        <c:ser>
          <c:idx val="9"/>
          <c:order val="9"/>
          <c:tx>
            <c:strRef>
              <c:f>Acumulado!$A$12</c:f>
              <c:strCache>
                <c:ptCount val="1"/>
                <c:pt idx="0">
                  <c:v>Entrega do Produto</c:v>
                </c:pt>
              </c:strCache>
            </c:strRef>
          </c:tx>
          <c:spPr>
            <a:solidFill>
              <a:srgbClr val="6FF799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Acumulado!$B$12:$T$12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79-49CD-8E43-86E86C312C0B}"/>
            </c:ext>
          </c:extLst>
        </c:ser>
        <c:ser>
          <c:idx val="10"/>
          <c:order val="10"/>
          <c:tx>
            <c:strRef>
              <c:f>Acumulado!$A$13</c:f>
              <c:strCache>
                <c:ptCount val="1"/>
                <c:pt idx="0">
                  <c:v>Limpeza e Aferições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Acumulado!$B$13:$T$13</c:f>
              <c:numCache>
                <c:formatCode>General</c:formatCode>
                <c:ptCount val="19"/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9B-4FD3-8CD3-BC37F11DC9FF}"/>
            </c:ext>
          </c:extLst>
        </c:ser>
        <c:ser>
          <c:idx val="11"/>
          <c:order val="11"/>
          <c:tx>
            <c:strRef>
              <c:f>Acumulado!$A$14</c:f>
              <c:strCache>
                <c:ptCount val="1"/>
                <c:pt idx="0">
                  <c:v>Falta de Água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Acumulado!$B$14:$T$14</c:f>
              <c:numCache>
                <c:formatCode>General</c:formatCode>
                <c:ptCount val="19"/>
                <c:pt idx="9">
                  <c:v>3</c:v>
                </c:pt>
                <c:pt idx="10">
                  <c:v>9</c:v>
                </c:pt>
                <c:pt idx="11">
                  <c:v>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2-4E42-860E-A3E8560A6BEE}"/>
            </c:ext>
          </c:extLst>
        </c:ser>
        <c:ser>
          <c:idx val="12"/>
          <c:order val="12"/>
          <c:tx>
            <c:strRef>
              <c:f>Acumulado!$A$15</c:f>
              <c:strCache>
                <c:ptCount val="1"/>
                <c:pt idx="0">
                  <c:v>Desponte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Acumulado!$B$15:$T$15</c:f>
              <c:numCache>
                <c:formatCode>General</c:formatCode>
                <c:ptCount val="19"/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92-4E42-860E-A3E8560A6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720594704"/>
        <c:axId val="1720595120"/>
      </c:barChart>
      <c:dateAx>
        <c:axId val="1720594704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0595120"/>
        <c:crosses val="autoZero"/>
        <c:auto val="1"/>
        <c:lblOffset val="100"/>
        <c:baseTimeUnit val="days"/>
      </c:dateAx>
      <c:valAx>
        <c:axId val="172059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059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403461963948721"/>
          <c:y val="0.2324273381224824"/>
          <c:w val="0.46642111884774734"/>
          <c:h val="0.69879155502186319"/>
        </c:manualLayout>
      </c:layout>
      <c:pieChart>
        <c:varyColors val="1"/>
        <c:ser>
          <c:idx val="0"/>
          <c:order val="0"/>
          <c:tx>
            <c:strRef>
              <c:f>Acumulado!$V$2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42-41C4-B5D1-F73B7C5F9A0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42-41C4-B5D1-F73B7C5F9A0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42-41C4-B5D1-F73B7C5F9A04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42-41C4-B5D1-F73B7C5F9A0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042-41C4-B5D1-F73B7C5F9A04}"/>
              </c:ext>
            </c:extLst>
          </c:dPt>
          <c:dPt>
            <c:idx val="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42-41C4-B5D1-F73B7C5F9A04}"/>
              </c:ext>
            </c:extLst>
          </c:dPt>
          <c:dPt>
            <c:idx val="6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042-41C4-B5D1-F73B7C5F9A04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042-41C4-B5D1-F73B7C5F9A04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42-41C4-B5D1-F73B7C5F9A04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1D-46DD-86AB-6919C252DDD6}"/>
              </c:ext>
            </c:extLst>
          </c:dPt>
          <c:dPt>
            <c:idx val="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1BC-4342-8C63-7F7997936B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A28-4C52-8393-7312832AE68D}"/>
              </c:ext>
            </c:extLst>
          </c:dPt>
          <c:dLbls>
            <c:dLbl>
              <c:idx val="0"/>
              <c:layout>
                <c:manualLayout>
                  <c:x val="-1.7952105160408769E-2"/>
                  <c:y val="-2.615685815703797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42-41C4-B5D1-F73B7C5F9A04}"/>
                </c:ext>
              </c:extLst>
            </c:dLbl>
            <c:dLbl>
              <c:idx val="1"/>
              <c:layout>
                <c:manualLayout>
                  <c:x val="7.6359731893017604E-2"/>
                  <c:y val="-9.85592259621729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42-41C4-B5D1-F73B7C5F9A04}"/>
                </c:ext>
              </c:extLst>
            </c:dLbl>
            <c:dLbl>
              <c:idx val="3"/>
              <c:layout>
                <c:manualLayout>
                  <c:x val="0.15376770568968134"/>
                  <c:y val="-5.42934190301589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42-41C4-B5D1-F73B7C5F9A04}"/>
                </c:ext>
              </c:extLst>
            </c:dLbl>
            <c:dLbl>
              <c:idx val="4"/>
              <c:layout>
                <c:manualLayout>
                  <c:x val="3.029153380620811E-2"/>
                  <c:y val="2.447223776719503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42-41C4-B5D1-F73B7C5F9A04}"/>
                </c:ext>
              </c:extLst>
            </c:dLbl>
            <c:dLbl>
              <c:idx val="8"/>
              <c:layout>
                <c:manualLayout>
                  <c:x val="8.7564261078935373E-3"/>
                  <c:y val="-6.48048624034571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42-41C4-B5D1-F73B7C5F9A04}"/>
                </c:ext>
              </c:extLst>
            </c:dLbl>
            <c:dLbl>
              <c:idx val="11"/>
              <c:layout>
                <c:manualLayout>
                  <c:x val="0.1303676709832759"/>
                  <c:y val="-4.759700975558309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A28-4C52-8393-7312832AE6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Acumulado!$A$3:$A$14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Trnasplantio</c:v>
                </c:pt>
                <c:pt idx="3">
                  <c:v>Colheita Tabaco</c:v>
                </c:pt>
                <c:pt idx="4">
                  <c:v>Pantio</c:v>
                </c:pt>
                <c:pt idx="5">
                  <c:v>Erosão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Acumulado!$V$3:$V$14</c:f>
              <c:numCache>
                <c:formatCode>0%</c:formatCode>
                <c:ptCount val="12"/>
                <c:pt idx="0">
                  <c:v>0.27329192546583853</c:v>
                </c:pt>
                <c:pt idx="1">
                  <c:v>8.0745341614906832E-2</c:v>
                </c:pt>
                <c:pt idx="2">
                  <c:v>5.5900621118012424E-2</c:v>
                </c:pt>
                <c:pt idx="3">
                  <c:v>0</c:v>
                </c:pt>
                <c:pt idx="4">
                  <c:v>6.2111801242236021E-3</c:v>
                </c:pt>
                <c:pt idx="5">
                  <c:v>5.5900621118012424E-2</c:v>
                </c:pt>
                <c:pt idx="6">
                  <c:v>0.13043478260869565</c:v>
                </c:pt>
                <c:pt idx="7">
                  <c:v>3.1055900621118012E-2</c:v>
                </c:pt>
                <c:pt idx="8">
                  <c:v>0.12422360248447205</c:v>
                </c:pt>
                <c:pt idx="9">
                  <c:v>8.6956521739130432E-2</c:v>
                </c:pt>
                <c:pt idx="10">
                  <c:v>1.2422360248447204E-2</c:v>
                </c:pt>
                <c:pt idx="11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2-41C4-B5D1-F73B7C5F9A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11811023622046"/>
          <c:y val="0.23518503119995549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C4E-4BC0-81B5-E4C1178EC09F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4E-4BC0-81B5-E4C1178EC09F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C4E-4BC0-81B5-E4C1178EC09F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4E-4BC0-81B5-E4C1178EC09F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C4E-4BC0-81B5-E4C1178EC09F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4E-4BC0-81B5-E4C1178EC09F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C4E-4BC0-81B5-E4C1178EC09F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4E-4BC0-81B5-E4C1178EC09F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C4E-4BC0-81B5-E4C1178EC09F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2C1-49C6-A28C-9257FC60DBC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4E-4BC0-81B5-E4C1178EC09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4E-4BC0-81B5-E4C1178EC09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4E-4BC0-81B5-E4C1178EC09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4E-4BC0-81B5-E4C1178EC09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C4E-4BC0-81B5-E4C1178EC09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4E-4BC0-81B5-E4C1178EC09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4E-4BC0-81B5-E4C1178EC09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2022'!$J$5:$J$14</c:f>
              <c:strCache>
                <c:ptCount val="10"/>
                <c:pt idx="0">
                  <c:v>Pulverização</c:v>
                </c:pt>
                <c:pt idx="1">
                  <c:v>Adubação</c:v>
                </c:pt>
                <c:pt idx="2">
                  <c:v>Trnaspantio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</c:v>
                </c:pt>
                <c:pt idx="6">
                  <c:v>Mecânico/Trator</c:v>
                </c:pt>
                <c:pt idx="7">
                  <c:v>Operação Ferti</c:v>
                </c:pt>
                <c:pt idx="8">
                  <c:v>Pivô Atolado</c:v>
                </c:pt>
                <c:pt idx="9">
                  <c:v>Entrega do Produto</c:v>
                </c:pt>
              </c:strCache>
            </c:strRef>
          </c:cat>
          <c:val>
            <c:numRef>
              <c:f>'21 02 2022'!$L$5:$L$14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0.5714285714285714</c:v>
                </c:pt>
                <c:pt idx="7">
                  <c:v>0</c:v>
                </c:pt>
                <c:pt idx="8">
                  <c:v>0.42857142857142855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E-4BC0-81B5-E4C1178EC0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17-4086-BADB-277A0E992750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17-4086-BADB-277A0E992750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17-4086-BADB-277A0E992750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17-4086-BADB-277A0E992750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17-4086-BADB-277A0E992750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17-4086-BADB-277A0E992750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17-4086-BADB-277A0E992750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B17-4086-BADB-277A0E992750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B17-4086-BADB-277A0E992750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B17-4086-BADB-277A0E99275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17-4086-BADB-277A0E9927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17-4086-BADB-277A0E99275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17-4086-BADB-277A0E99275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17-4086-BADB-277A0E992750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02 2022'!$J$5:$J$14</c:f>
              <c:strCache>
                <c:ptCount val="10"/>
                <c:pt idx="0">
                  <c:v>Pulverização</c:v>
                </c:pt>
                <c:pt idx="1">
                  <c:v>Adubação</c:v>
                </c:pt>
                <c:pt idx="2">
                  <c:v>Trnaspantio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Operação Ferti</c:v>
                </c:pt>
                <c:pt idx="8">
                  <c:v>Pivô Atolado</c:v>
                </c:pt>
                <c:pt idx="9">
                  <c:v>Entrega do Produto</c:v>
                </c:pt>
              </c:strCache>
            </c:strRef>
          </c:cat>
          <c:val>
            <c:numRef>
              <c:f>'28 02 2022'!$L$5:$L$14</c:f>
              <c:numCache>
                <c:formatCode>0%</c:formatCode>
                <c:ptCount val="10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0.3125</c:v>
                </c:pt>
                <c:pt idx="6">
                  <c:v>6.25E-2</c:v>
                </c:pt>
                <c:pt idx="7">
                  <c:v>6.25E-2</c:v>
                </c:pt>
                <c:pt idx="8">
                  <c:v>0.25</c:v>
                </c:pt>
                <c:pt idx="9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B17-4086-BADB-277A0E992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17-4650-836B-EF8D08E3553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17-4650-836B-EF8D08E3553C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17-4650-836B-EF8D08E3553C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17-4650-836B-EF8D08E3553C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17-4650-836B-EF8D08E3553C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17-4650-836B-EF8D08E3553C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17-4650-836B-EF8D08E3553C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17-4650-836B-EF8D08E3553C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17-4650-836B-EF8D08E3553C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17-4650-836B-EF8D08E3553C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317-4650-836B-EF8D08E3553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17-4650-836B-EF8D08E3553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17-4650-836B-EF8D08E3553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17-4650-836B-EF8D08E3553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17-4650-836B-EF8D08E3553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'07 03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Trnaspantio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'07 03 2022'!$L$5:$L$15</c:f>
              <c:numCache>
                <c:formatCode>0%</c:formatCode>
                <c:ptCount val="11"/>
                <c:pt idx="0">
                  <c:v>0.26315789473684209</c:v>
                </c:pt>
                <c:pt idx="1">
                  <c:v>0.10526315789473684</c:v>
                </c:pt>
                <c:pt idx="2">
                  <c:v>5.2631578947368418E-2</c:v>
                </c:pt>
                <c:pt idx="3">
                  <c:v>0</c:v>
                </c:pt>
                <c:pt idx="4">
                  <c:v>0</c:v>
                </c:pt>
                <c:pt idx="5">
                  <c:v>0.10526315789473684</c:v>
                </c:pt>
                <c:pt idx="6">
                  <c:v>5.2631578947368418E-2</c:v>
                </c:pt>
                <c:pt idx="7">
                  <c:v>0</c:v>
                </c:pt>
                <c:pt idx="8">
                  <c:v>0.10526315789473684</c:v>
                </c:pt>
                <c:pt idx="9">
                  <c:v>0.26315789473684209</c:v>
                </c:pt>
                <c:pt idx="10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317-4650-836B-EF8D08E35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3F-40DE-B845-90DED6D40D8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3F-40DE-B845-90DED6D40D8C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3F-40DE-B845-90DED6D40D8C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3F-40DE-B845-90DED6D40D8C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73F-40DE-B845-90DED6D40D8C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73F-40DE-B845-90DED6D40D8C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73F-40DE-B845-90DED6D40D8C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73F-40DE-B845-90DED6D40D8C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73F-40DE-B845-90DED6D40D8C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73F-40DE-B845-90DED6D40D8C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73F-40DE-B845-90DED6D40D8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3F-40DE-B845-90DED6D40D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3F-40DE-B845-90DED6D40D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3F-40DE-B845-90DED6D40D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3F-40DE-B845-90DED6D40D8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'14 03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Trnaspantio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'14 03 2022'!$L$5:$L$15</c:f>
              <c:numCache>
                <c:formatCode>0%</c:formatCode>
                <c:ptCount val="11"/>
                <c:pt idx="0">
                  <c:v>0.375</c:v>
                </c:pt>
                <c:pt idx="1">
                  <c:v>0.125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0.125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0.125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73F-40DE-B845-90DED6D40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9-4144-954A-8AA431CC427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9-4144-954A-8AA431CC427D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9-4144-954A-8AA431CC427D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9-4144-954A-8AA431CC427D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9-4144-954A-8AA431CC427D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19-4144-954A-8AA431CC427D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19-4144-954A-8AA431CC427D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19-4144-954A-8AA431CC427D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719-4144-954A-8AA431CC427D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719-4144-954A-8AA431CC427D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719-4144-954A-8AA431CC427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19-4144-954A-8AA431CC427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19-4144-954A-8AA431CC427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19-4144-954A-8AA431CC427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19-4144-954A-8AA431CC427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03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'21 03 2022'!$L$5:$L$15</c:f>
              <c:numCache>
                <c:formatCode>0%</c:formatCode>
                <c:ptCount val="11"/>
                <c:pt idx="0">
                  <c:v>0.27272727272727271</c:v>
                </c:pt>
                <c:pt idx="1">
                  <c:v>0</c:v>
                </c:pt>
                <c:pt idx="2">
                  <c:v>9.0909090909090912E-2</c:v>
                </c:pt>
                <c:pt idx="3">
                  <c:v>0</c:v>
                </c:pt>
                <c:pt idx="4">
                  <c:v>0</c:v>
                </c:pt>
                <c:pt idx="5">
                  <c:v>9.0909090909090912E-2</c:v>
                </c:pt>
                <c:pt idx="6">
                  <c:v>0</c:v>
                </c:pt>
                <c:pt idx="7">
                  <c:v>0.27272727272727271</c:v>
                </c:pt>
                <c:pt idx="8">
                  <c:v>9.0909090909090912E-2</c:v>
                </c:pt>
                <c:pt idx="9">
                  <c:v>0.18181818181818182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719-4144-954A-8AA431CC4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52-4C36-AA37-CB3BBDF35238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52-4C36-AA37-CB3BBDF35238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52-4C36-AA37-CB3BBDF35238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52-4C36-AA37-CB3BBDF35238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52-4C36-AA37-CB3BBDF35238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52-4C36-AA37-CB3BBDF35238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252-4C36-AA37-CB3BBDF35238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252-4C36-AA37-CB3BBDF35238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252-4C36-AA37-CB3BBDF35238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252-4C36-AA37-CB3BBDF35238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252-4C36-AA37-CB3BBDF3523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52-4C36-AA37-CB3BBDF3523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52-4C36-AA37-CB3BBDF3523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52-4C36-AA37-CB3BBDF3523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52-4C36-AA37-CB3BBDF3523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03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'28 03 2022'!$L$5:$L$15</c:f>
              <c:numCache>
                <c:formatCode>0%</c:formatCode>
                <c:ptCount val="11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252-4C36-AA37-CB3BBDF35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FB-4A9E-8158-04AED6FF94D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FB-4A9E-8158-04AED6FF94DC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FB-4A9E-8158-04AED6FF94DC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FB-4A9E-8158-04AED6FF94DC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FB-4A9E-8158-04AED6FF94DC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AFB-4A9E-8158-04AED6FF94DC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AFB-4A9E-8158-04AED6FF94DC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AFB-4A9E-8158-04AED6FF94DC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AFB-4A9E-8158-04AED6FF94DC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AFB-4A9E-8158-04AED6FF94DC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AFB-4A9E-8158-04AED6FF94D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FB-4A9E-8158-04AED6FF94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FB-4A9E-8158-04AED6FF94D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FB-4A9E-8158-04AED6FF94D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FB-4A9E-8158-04AED6FF94D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'04 04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'04 04 2022'!$L$5:$L$15</c:f>
              <c:numCache>
                <c:formatCode>0%</c:formatCode>
                <c:ptCount val="11"/>
                <c:pt idx="0">
                  <c:v>0.16666666666666666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0.16666666666666666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AFB-4A9E-8158-04AED6FF9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CB-4886-8C35-6F2F75F5B9EF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B-4886-8C35-6F2F75F5B9EF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CB-4886-8C35-6F2F75F5B9EF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CB-4886-8C35-6F2F75F5B9EF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CB-4886-8C35-6F2F75F5B9EF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CB-4886-8C35-6F2F75F5B9EF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FCB-4886-8C35-6F2F75F5B9EF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CB-4886-8C35-6F2F75F5B9EF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FCB-4886-8C35-6F2F75F5B9EF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FCB-4886-8C35-6F2F75F5B9EF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FCB-4886-8C35-6F2F75F5B9E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CB-4886-8C35-6F2F75F5B9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B-4886-8C35-6F2F75F5B9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CB-4886-8C35-6F2F75F5B9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FCB-4886-8C35-6F2F75F5B9E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'11 04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'11 04 2022'!$L$5:$L$15</c:f>
              <c:numCache>
                <c:formatCode>0%</c:formatCode>
                <c:ptCount val="11"/>
                <c:pt idx="0">
                  <c:v>0.66666666666666663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FCB-4886-8C35-6F2F75F5B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77-4EA3-BB08-55240D5013CF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77-4EA3-BB08-55240D5013CF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77-4EA3-BB08-55240D5013CF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77-4EA3-BB08-55240D5013CF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77-4EA3-BB08-55240D5013CF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77-4EA3-BB08-55240D5013CF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377-4EA3-BB08-55240D5013CF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377-4EA3-BB08-55240D5013CF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377-4EA3-BB08-55240D5013CF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377-4EA3-BB08-55240D5013CF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377-4EA3-BB08-55240D5013C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77-4EA3-BB08-55240D5013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77-4EA3-BB08-55240D5013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77-4EA3-BB08-55240D5013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77-4EA3-BB08-55240D5013C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'18 04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'18 04 2022'!$L$5:$L$15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377-4EA3-BB08-55240D501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7D-415E-86D1-2AD77AC87C9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7D-415E-86D1-2AD77AC87C94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7D-415E-86D1-2AD77AC87C94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7D-415E-86D1-2AD77AC87C94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7D-415E-86D1-2AD77AC87C94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7D-415E-86D1-2AD77AC87C94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7D-415E-86D1-2AD77AC87C94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7D-415E-86D1-2AD77AC87C94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7D-415E-86D1-2AD77AC87C94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B7D-415E-86D1-2AD77AC87C94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B7D-415E-86D1-2AD77AC87C9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71A-4ECD-B61E-FDE96020A84E}"/>
              </c:ext>
            </c:extLst>
          </c:dPt>
          <c:dLbls>
            <c:dLbl>
              <c:idx val="0"/>
              <c:layout>
                <c:manualLayout>
                  <c:x val="5.8928258967629044E-3"/>
                  <c:y val="6.43640904110287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7D-415E-86D1-2AD77AC87C94}"/>
                </c:ext>
              </c:extLst>
            </c:dLbl>
            <c:dLbl>
              <c:idx val="1"/>
              <c:layout>
                <c:manualLayout>
                  <c:x val="2.2873359580052495E-2"/>
                  <c:y val="5.303722956960477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7D-415E-86D1-2AD77AC87C9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7D-415E-86D1-2AD77AC87C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7D-415E-86D1-2AD77AC87C9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7D-415E-86D1-2AD77AC87C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7D-415E-86D1-2AD77AC87C94}"/>
                </c:ext>
              </c:extLst>
            </c:dLbl>
            <c:dLbl>
              <c:idx val="6"/>
              <c:layout>
                <c:manualLayout>
                  <c:x val="3.8078521434820648E-3"/>
                  <c:y val="-8.924903804500165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B7D-415E-86D1-2AD77AC87C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B7D-415E-86D1-2AD77AC87C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B7D-415E-86D1-2AD77AC87C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B7D-415E-86D1-2AD77AC87C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B7D-415E-86D1-2AD77AC87C94}"/>
                </c:ext>
              </c:extLst>
            </c:dLbl>
            <c:dLbl>
              <c:idx val="11"/>
              <c:layout>
                <c:manualLayout>
                  <c:x val="1.218011811023622E-2"/>
                  <c:y val="-8.074051423183749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71A-4ECD-B61E-FDE96020A8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2022'!$J$5:$J$16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'25 04 2022'!$L$5:$L$16</c:f>
              <c:numCache>
                <c:formatCode>0%</c:formatCode>
                <c:ptCount val="12"/>
                <c:pt idx="0">
                  <c:v>0.6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B7D-415E-86D1-2AD77AC87C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EE-4FAE-BAD2-6A537432B18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EE-4FAE-BAD2-6A537432B184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EE-4FAE-BAD2-6A537432B184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EE-4FAE-BAD2-6A537432B184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EE-4FAE-BAD2-6A537432B184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EE-4FAE-BAD2-6A537432B184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EE-4FAE-BAD2-6A537432B184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EE-4FAE-BAD2-6A537432B184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4EE-4FAE-BAD2-6A537432B184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4EE-4FAE-BAD2-6A537432B184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EE-4FAE-BAD2-6A537432B18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4EE-4FAE-BAD2-6A537432B184}"/>
              </c:ext>
            </c:extLst>
          </c:dPt>
          <c:dLbls>
            <c:dLbl>
              <c:idx val="0"/>
              <c:layout>
                <c:manualLayout>
                  <c:x val="-5.8585083114610671E-2"/>
                  <c:y val="-6.798843105776826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EE-4FAE-BAD2-6A537432B18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EE-4FAE-BAD2-6A537432B184}"/>
                </c:ext>
              </c:extLst>
            </c:dLbl>
            <c:dLbl>
              <c:idx val="2"/>
              <c:layout>
                <c:manualLayout>
                  <c:x val="-0.18909700349956254"/>
                  <c:y val="6.53222230716306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EE-4FAE-BAD2-6A537432B18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EE-4FAE-BAD2-6A537432B18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EE-4FAE-BAD2-6A537432B18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4EE-4FAE-BAD2-6A537432B184}"/>
                </c:ext>
              </c:extLst>
            </c:dLbl>
            <c:dLbl>
              <c:idx val="6"/>
              <c:layout>
                <c:manualLayout>
                  <c:x val="2.1359798775153104E-2"/>
                  <c:y val="-3.447748643070101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4EE-4FAE-BAD2-6A537432B184}"/>
                </c:ext>
              </c:extLst>
            </c:dLbl>
            <c:dLbl>
              <c:idx val="7"/>
              <c:layout>
                <c:manualLayout>
                  <c:x val="-1.0476049868766404E-2"/>
                  <c:y val="-8.666462808653772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4EE-4FAE-BAD2-6A537432B18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4EE-4FAE-BAD2-6A537432B18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4EE-4FAE-BAD2-6A537432B18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4EE-4FAE-BAD2-6A537432B184}"/>
                </c:ext>
              </c:extLst>
            </c:dLbl>
            <c:dLbl>
              <c:idx val="11"/>
              <c:layout>
                <c:manualLayout>
                  <c:x val="4.3943022747156606E-2"/>
                  <c:y val="1.534541192059730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4EE-4FAE-BAD2-6A537432B1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'02 05 2022'!$L$5:$L$16</c:f>
              <c:numCache>
                <c:formatCode>0%</c:formatCode>
                <c:ptCount val="12"/>
                <c:pt idx="0">
                  <c:v>0.17647058823529413</c:v>
                </c:pt>
                <c:pt idx="1">
                  <c:v>0</c:v>
                </c:pt>
                <c:pt idx="2">
                  <c:v>5.8823529411764705E-2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0.17647058823529413</c:v>
                </c:pt>
                <c:pt idx="7">
                  <c:v>5.8823529411764705E-2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0.52941176470588236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4EE-4FAE-BAD2-6A537432B18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31-4105-934E-AB12DA44A415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31-4105-934E-AB12DA44A415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31-4105-934E-AB12DA44A415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31-4105-934E-AB12DA44A415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31-4105-934E-AB12DA44A415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831-4105-934E-AB12DA44A415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831-4105-934E-AB12DA44A415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831-4105-934E-AB12DA44A415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831-4105-934E-AB12DA44A415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831-4105-934E-AB12DA44A415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831-4105-934E-AB12DA44A41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831-4105-934E-AB12DA44A415}"/>
              </c:ext>
            </c:extLst>
          </c:dPt>
          <c:dLbls>
            <c:dLbl>
              <c:idx val="0"/>
              <c:layout>
                <c:manualLayout>
                  <c:x val="-2.768646106736658E-2"/>
                  <c:y val="-2.927936192441964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31-4105-934E-AB12DA44A41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31-4105-934E-AB12DA44A4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31-4105-934E-AB12DA44A4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31-4105-934E-AB12DA44A41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31-4105-934E-AB12DA44A41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31-4105-934E-AB12DA44A41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831-4105-934E-AB12DA44A41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831-4105-934E-AB12DA44A415}"/>
                </c:ext>
              </c:extLst>
            </c:dLbl>
            <c:dLbl>
              <c:idx val="8"/>
              <c:layout>
                <c:manualLayout>
                  <c:x val="-2.4248906386701661E-2"/>
                  <c:y val="4.515582396860586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31-4105-934E-AB12DA44A41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831-4105-934E-AB12DA44A41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31-4105-934E-AB12DA44A415}"/>
                </c:ext>
              </c:extLst>
            </c:dLbl>
            <c:dLbl>
              <c:idx val="11"/>
              <c:layout>
                <c:manualLayout>
                  <c:x val="-3.5080052493438318E-2"/>
                  <c:y val="-0.1733419972988813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831-4105-934E-AB12DA44A4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'09 05 2022'!$L$5:$L$16</c:f>
              <c:numCache>
                <c:formatCode>0%</c:formatCode>
                <c:ptCount val="12"/>
                <c:pt idx="0">
                  <c:v>0.27272727272727271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9.0909090909090912E-2</c:v>
                </c:pt>
                <c:pt idx="9">
                  <c:v>0</c:v>
                </c:pt>
                <c:pt idx="10">
                  <c:v>0</c:v>
                </c:pt>
                <c:pt idx="11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31-4105-934E-AB12DA44A41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3A-40FB-9A34-F2E34934C0A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3A-40FB-9A34-F2E34934C0AD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3A-40FB-9A34-F2E34934C0AD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3A-40FB-9A34-F2E34934C0AD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3A-40FB-9A34-F2E34934C0AD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3A-40FB-9A34-F2E34934C0AD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3A-40FB-9A34-F2E34934C0AD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B3A-40FB-9A34-F2E34934C0AD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B3A-40FB-9A34-F2E34934C0AD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B3A-40FB-9A34-F2E34934C0AD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B3A-40FB-9A34-F2E34934C0A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B3A-40FB-9A34-F2E34934C0AD}"/>
              </c:ext>
            </c:extLst>
          </c:dPt>
          <c:dLbls>
            <c:dLbl>
              <c:idx val="0"/>
              <c:layout>
                <c:manualLayout>
                  <c:x val="8.0815835520559928E-3"/>
                  <c:y val="5.49889152205488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3A-40FB-9A34-F2E34934C0A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3A-40FB-9A34-F2E34934C0A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3A-40FB-9A34-F2E34934C0A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3A-40FB-9A34-F2E34934C0A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3A-40FB-9A34-F2E34934C0A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3A-40FB-9A34-F2E34934C0AD}"/>
                </c:ext>
              </c:extLst>
            </c:dLbl>
            <c:dLbl>
              <c:idx val="6"/>
              <c:layout>
                <c:manualLayout>
                  <c:x val="-4.9331036745406821E-2"/>
                  <c:y val="-6.62744948143618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B3A-40FB-9A34-F2E34934C0A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B3A-40FB-9A34-F2E34934C0A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B3A-40FB-9A34-F2E34934C0A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B3A-40FB-9A34-F2E34934C0A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B3A-40FB-9A34-F2E34934C0A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B3A-40FB-9A34-F2E34934C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'16 05 2022 '!$L$5:$L$16</c:f>
              <c:numCache>
                <c:formatCode>0%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0.90909090909090906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B3A-40FB-9A34-F2E34934C0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82-433E-BE67-1560ED7617CA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82-433E-BE67-1560ED7617CA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82-433E-BE67-1560ED7617CA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82-433E-BE67-1560ED7617CA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82-433E-BE67-1560ED7617CA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782-433E-BE67-1560ED7617CA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782-433E-BE67-1560ED7617CA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782-433E-BE67-1560ED7617CA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782-433E-BE67-1560ED7617CA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782-433E-BE67-1560ED7617CA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782-433E-BE67-1560ED7617C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782-433E-BE67-1560ED7617CA}"/>
              </c:ext>
            </c:extLst>
          </c:dPt>
          <c:dLbls>
            <c:dLbl>
              <c:idx val="0"/>
              <c:layout>
                <c:manualLayout>
                  <c:x val="8.0815835520559928E-3"/>
                  <c:y val="5.49889152205488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82-433E-BE67-1560ED7617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82-433E-BE67-1560ED7617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82-433E-BE67-1560ED7617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82-433E-BE67-1560ED7617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782-433E-BE67-1560ED7617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782-433E-BE67-1560ED7617CA}"/>
                </c:ext>
              </c:extLst>
            </c:dLbl>
            <c:dLbl>
              <c:idx val="6"/>
              <c:layout>
                <c:manualLayout>
                  <c:x val="-4.9331036745406821E-2"/>
                  <c:y val="-6.62744948143618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782-433E-BE67-1560ED7617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782-433E-BE67-1560ED7617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782-433E-BE67-1560ED7617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782-433E-BE67-1560ED7617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82-433E-BE67-1560ED7617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782-433E-BE67-1560ED7617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'23 05 2022 '!$L$5:$L$16</c:f>
              <c:numCache>
                <c:formatCode>0%</c:formatCode>
                <c:ptCount val="12"/>
                <c:pt idx="0">
                  <c:v>0.4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82-433E-BE67-1560ED7617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4D01-4684-81B9-C97B4EF70E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4D01-4684-81B9-C97B4EF70E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4D01-4684-81B9-C97B4EF70E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4D01-4684-81B9-C97B4EF70E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4D01-4684-81B9-C97B4EF70E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4D01-4684-81B9-C97B4EF70E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4D01-4684-81B9-C97B4EF70E6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4D01-4684-81B9-C97B4EF70E6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4D01-4684-81B9-C97B4EF70E6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4D01-4684-81B9-C97B4EF70E6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4D01-4684-81B9-C97B4EF70E6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4D01-4684-81B9-C97B4EF70E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3-4D01-4684-81B9-C97B4EF70E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D01-4684-81B9-C97B4EF70E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4D01-4684-81B9-C97B4EF70E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D01-4684-81B9-C97B4EF70E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4D01-4684-81B9-C97B4EF70E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D01-4684-81B9-C97B4EF70E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4D01-4684-81B9-C97B4EF70E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D01-4684-81B9-C97B4EF70E6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B-4D01-4684-81B9-C97B4EF70E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D01-4684-81B9-C97B4EF70E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4D01-4684-81B9-C97B4EF70E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4D01-4684-81B9-C97B4EF70E6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 05 2022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'30 05 2022 '!$L$5:$L$16</c:f>
              <c:numCache>
                <c:formatCode>0%</c:formatCode>
                <c:ptCount val="12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D01-4684-81B9-C97B4EF70E64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 05 2022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'30 05 2022 '!$L$5:$L$16</c:f>
              <c:numCache>
                <c:formatCode>0%</c:formatCode>
                <c:ptCount val="12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D01-4684-81B9-C97B4EF70E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01-40DD-AEC5-5DB4E7245C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01-40DD-AEC5-5DB4E7245C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01-40DD-AEC5-5DB4E7245C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01-40DD-AEC5-5DB4E7245C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01-40DD-AEC5-5DB4E7245C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01-40DD-AEC5-5DB4E7245C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01-40DD-AEC5-5DB4E7245C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01-40DD-AEC5-5DB4E7245C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01-40DD-AEC5-5DB4E7245C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01-40DD-AEC5-5DB4E7245C9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01-40DD-AEC5-5DB4E7245C9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101-40DD-AEC5-5DB4E7245C9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101-40DD-AEC5-5DB4E7245C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01-40DD-AEC5-5DB4E7245C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01-40DD-AEC5-5DB4E7245C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01-40DD-AEC5-5DB4E7245C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101-40DD-AEC5-5DB4E7245C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101-40DD-AEC5-5DB4E7245C9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101-40DD-AEC5-5DB4E7245C9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101-40DD-AEC5-5DB4E7245C9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B101-40DD-AEC5-5DB4E7245C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101-40DD-AEC5-5DB4E7245C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101-40DD-AEC5-5DB4E7245C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101-40DD-AEC5-5DB4E7245C9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'06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'06 06 2022  '!$L$5:$L$16</c:f>
              <c:numCache>
                <c:formatCode>0%</c:formatCode>
                <c:ptCount val="12"/>
                <c:pt idx="0">
                  <c:v>0.4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101-40DD-AEC5-5DB4E7245C9C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'06 06 2022  '!$L$5:$L$16</c:f>
              <c:numCache>
                <c:formatCode>0%</c:formatCode>
                <c:ptCount val="12"/>
                <c:pt idx="0">
                  <c:v>0.4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101-40DD-AEC5-5DB4E7245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89-44EB-9550-A01BCDF741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89-44EB-9550-A01BCDF741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89-44EB-9550-A01BCDF741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89-44EB-9550-A01BCDF741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289-44EB-9550-A01BCDF741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289-44EB-9550-A01BCDF741C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289-44EB-9550-A01BCDF741C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289-44EB-9550-A01BCDF741C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289-44EB-9550-A01BCDF741C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289-44EB-9550-A01BCDF741C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289-44EB-9550-A01BCDF741C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289-44EB-9550-A01BCDF741C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289-44EB-9550-A01BCDF741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89-44EB-9550-A01BCDF741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89-44EB-9550-A01BCDF741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89-44EB-9550-A01BCDF741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89-44EB-9550-A01BCDF741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89-44EB-9550-A01BCDF741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89-44EB-9550-A01BCDF741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89-44EB-9550-A01BCDF741C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9289-44EB-9550-A01BCDF741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289-44EB-9550-A01BCDF741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289-44EB-9550-A01BCDF741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289-44EB-9550-A01BCDF741C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'13 06 2022  '!$L$5:$L$16</c:f>
              <c:numCache>
                <c:formatCode>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0.375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289-44EB-9550-A01BCDF741CA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'13 06 2022  '!$L$5:$L$16</c:f>
              <c:numCache>
                <c:formatCode>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0.375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289-44EB-9550-A01BCDF741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06-407B-8C97-EE332AFC5D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06-407B-8C97-EE332AFC5D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06-407B-8C97-EE332AFC5D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F06-407B-8C97-EE332AFC5D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F06-407B-8C97-EE332AFC5D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F06-407B-8C97-EE332AFC5D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F06-407B-8C97-EE332AFC5D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F06-407B-8C97-EE332AFC5D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F06-407B-8C97-EE332AFC5D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F06-407B-8C97-EE332AFC5D9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F06-407B-8C97-EE332AFC5D9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F06-407B-8C97-EE332AFC5D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F06-407B-8C97-EE332AFC5D9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06-407B-8C97-EE332AFC5D9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06-407B-8C97-EE332AFC5D9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06-407B-8C97-EE332AFC5D9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06-407B-8C97-EE332AFC5D9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06-407B-8C97-EE332AFC5D9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06-407B-8C97-EE332AFC5D9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06-407B-8C97-EE332AFC5D9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FF06-407B-8C97-EE332AFC5D9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F06-407B-8C97-EE332AFC5D9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F06-407B-8C97-EE332AFC5D9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F06-407B-8C97-EE332AFC5D9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'20 06 2022  '!$L$5:$L$16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0.66666666666666663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F06-407B-8C97-EE332AFC5D93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'20 06 2022  '!$L$5:$L$16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0.66666666666666663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F06-407B-8C97-EE332AFC5D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6B-44EA-99A3-0D85ACC573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6B-44EA-99A3-0D85ACC573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6B-44EA-99A3-0D85ACC573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6B-44EA-99A3-0D85ACC573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6B-44EA-99A3-0D85ACC573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6B-44EA-99A3-0D85ACC573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36B-44EA-99A3-0D85ACC573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36B-44EA-99A3-0D85ACC573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36B-44EA-99A3-0D85ACC573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36B-44EA-99A3-0D85ACC573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36B-44EA-99A3-0D85ACC5733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36B-44EA-99A3-0D85ACC5733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36B-44EA-99A3-0D85ACC573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6B-44EA-99A3-0D85ACC573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6B-44EA-99A3-0D85ACC573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6B-44EA-99A3-0D85ACC573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36B-44EA-99A3-0D85ACC5733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6B-44EA-99A3-0D85ACC5733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36B-44EA-99A3-0D85ACC5733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36B-44EA-99A3-0D85ACC5733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936B-44EA-99A3-0D85ACC5733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36B-44EA-99A3-0D85ACC573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36B-44EA-99A3-0D85ACC5733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36B-44EA-99A3-0D85ACC5733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 06 2022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'27 06 2022   '!$L$5:$L$16</c:f>
              <c:numCache>
                <c:formatCode>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36B-44EA-99A3-0D85ACC57333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06 2022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'27 06 2022   '!$L$5:$L$16</c:f>
              <c:numCache>
                <c:formatCode>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6B-44EA-99A3-0D85ACC573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C8-440E-BE79-D3C24E55E4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C8-440E-BE79-D3C24E55E4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C8-440E-BE79-D3C24E55E4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C8-440E-BE79-D3C24E55E4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C8-440E-BE79-D3C24E55E4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7C8-440E-BE79-D3C24E55E4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7C8-440E-BE79-D3C24E55E4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7C8-440E-BE79-D3C24E55E4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7C8-440E-BE79-D3C24E55E4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7C8-440E-BE79-D3C24E55E40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7C8-440E-BE79-D3C24E55E40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7C8-440E-BE79-D3C24E55E40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C8-440E-BE79-D3C24E55E4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C8-440E-BE79-D3C24E55E40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7C8-440E-BE79-D3C24E55E40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7C8-440E-BE79-D3C24E55E40A}"/>
                </c:ext>
              </c:extLst>
            </c:dLbl>
            <c:dLbl>
              <c:idx val="6"/>
              <c:layout>
                <c:manualLayout>
                  <c:x val="0.17916896325459319"/>
                  <c:y val="-0.181989654205845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65288713910761"/>
                      <c:h val="0.117831715210355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E7C8-440E-BE79-D3C24E55E40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7C8-440E-BE79-D3C24E55E40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7C8-440E-BE79-D3C24E55E40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7C8-440E-BE79-D3C24E55E40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7C8-440E-BE79-D3C24E55E40A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'04 07 2022 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'04 07 2022    '!$L$5:$L$16</c:f>
              <c:numCache>
                <c:formatCode>0%</c:formatCode>
                <c:ptCount val="12"/>
                <c:pt idx="0">
                  <c:v>0.14285714285714285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</c:v>
                </c:pt>
                <c:pt idx="9">
                  <c:v>0.14285714285714285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7C8-440E-BE79-D3C24E55E40A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07 2022 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'04 07 2022    '!$L$5:$L$16</c:f>
              <c:numCache>
                <c:formatCode>0%</c:formatCode>
                <c:ptCount val="12"/>
                <c:pt idx="0">
                  <c:v>0.14285714285714285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</c:v>
                </c:pt>
                <c:pt idx="9">
                  <c:v>0.14285714285714285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7C8-440E-BE79-D3C24E55E4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FE-4F21-83DE-C3EF144752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FE-4F21-83DE-C3EF144752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FE-4F21-83DE-C3EF144752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4FE-4F21-83DE-C3EF144752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4FE-4F21-83DE-C3EF144752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4FE-4F21-83DE-C3EF144752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4FE-4F21-83DE-C3EF144752E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4FE-4F21-83DE-C3EF144752E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4FE-4F21-83DE-C3EF144752E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4FE-4F21-83DE-C3EF144752E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4FE-4F21-83DE-C3EF144752E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4FE-4F21-83DE-C3EF144752E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FE-4F21-83DE-C3EF144752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FE-4F21-83DE-C3EF144752E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FE-4F21-83DE-C3EF144752E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FE-4F21-83DE-C3EF144752EA}"/>
                </c:ext>
              </c:extLst>
            </c:dLbl>
            <c:dLbl>
              <c:idx val="6"/>
              <c:layout>
                <c:manualLayout>
                  <c:x val="0.17916896325459319"/>
                  <c:y val="-0.181989654205845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65288713910761"/>
                      <c:h val="0.117831715210355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4FE-4F21-83DE-C3EF144752E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4FE-4F21-83DE-C3EF144752E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4FE-4F21-83DE-C3EF144752E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4FE-4F21-83DE-C3EF144752E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4FE-4F21-83DE-C3EF144752EA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 07 2022  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'11 07 2022     '!$L$5:$L$16</c:f>
              <c:numCache>
                <c:formatCode>0%</c:formatCode>
                <c:ptCount val="12"/>
                <c:pt idx="0">
                  <c:v>0.2</c:v>
                </c:pt>
                <c:pt idx="1">
                  <c:v>0.2</c:v>
                </c:pt>
                <c:pt idx="2">
                  <c:v>6.6666666666666666E-2</c:v>
                </c:pt>
                <c:pt idx="3">
                  <c:v>6.6666666666666666E-2</c:v>
                </c:pt>
                <c:pt idx="4">
                  <c:v>0.26666666666666666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FE-4F21-83DE-C3EF144752EA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 07 2022  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'11 07 2022     '!$L$5:$L$16</c:f>
              <c:numCache>
                <c:formatCode>0%</c:formatCode>
                <c:ptCount val="12"/>
                <c:pt idx="0">
                  <c:v>0.2</c:v>
                </c:pt>
                <c:pt idx="1">
                  <c:v>0.2</c:v>
                </c:pt>
                <c:pt idx="2">
                  <c:v>6.6666666666666666E-2</c:v>
                </c:pt>
                <c:pt idx="3">
                  <c:v>6.6666666666666666E-2</c:v>
                </c:pt>
                <c:pt idx="4">
                  <c:v>0.26666666666666666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4FE-4F21-83DE-C3EF144752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Operacional Atualizado.xlsx]Analise Semanal!Analise1b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Semanal'!$E$3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Semanal'!$D$4</c:f>
              <c:strCache>
                <c:ptCount val="1"/>
                <c:pt idx="0">
                  <c:v>Transplantio</c:v>
                </c:pt>
              </c:strCache>
            </c:strRef>
          </c:cat>
          <c:val>
            <c:numRef>
              <c:f>'Analise Semanal'!$E$4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9-4097-818E-4C09878AF7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17633375"/>
        <c:axId val="617623807"/>
      </c:barChart>
      <c:catAx>
        <c:axId val="61763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623807"/>
        <c:crosses val="autoZero"/>
        <c:auto val="1"/>
        <c:lblAlgn val="ctr"/>
        <c:lblOffset val="100"/>
        <c:noMultiLvlLbl val="0"/>
      </c:catAx>
      <c:valAx>
        <c:axId val="6176238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763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Operacional Atualizado.xlsx]Analise Anual!Analise2b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188647759873813E-2"/>
          <c:y val="0.18081418394129303"/>
          <c:w val="0.92410101332332895"/>
          <c:h val="0.52049708072205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 Anual'!$E$3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Anual'!$D$4:$D$15</c:f>
              <c:strCache>
                <c:ptCount val="12"/>
                <c:pt idx="0">
                  <c:v>Adubação</c:v>
                </c:pt>
                <c:pt idx="1">
                  <c:v>Entrega do Produto</c:v>
                </c:pt>
                <c:pt idx="2">
                  <c:v>Erosão/Rastro</c:v>
                </c:pt>
                <c:pt idx="3">
                  <c:v>Falta de Água</c:v>
                </c:pt>
                <c:pt idx="4">
                  <c:v>Limpeza e aferições</c:v>
                </c:pt>
                <c:pt idx="5">
                  <c:v>Mecânico/Trator</c:v>
                </c:pt>
                <c:pt idx="6">
                  <c:v>Pivô Atolado</c:v>
                </c:pt>
                <c:pt idx="7">
                  <c:v>Plantio</c:v>
                </c:pt>
                <c:pt idx="8">
                  <c:v>Pulverização</c:v>
                </c:pt>
                <c:pt idx="9">
                  <c:v>Transplantio</c:v>
                </c:pt>
                <c:pt idx="10">
                  <c:v>Gerador</c:v>
                </c:pt>
                <c:pt idx="11">
                  <c:v>Entupimento</c:v>
                </c:pt>
              </c:strCache>
            </c:strRef>
          </c:cat>
          <c:val>
            <c:numRef>
              <c:f>'Analise Anual'!$E$4:$E$15</c:f>
              <c:numCache>
                <c:formatCode>General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17</c:v>
                </c:pt>
                <c:pt idx="3">
                  <c:v>63</c:v>
                </c:pt>
                <c:pt idx="4">
                  <c:v>4</c:v>
                </c:pt>
                <c:pt idx="5">
                  <c:v>1</c:v>
                </c:pt>
                <c:pt idx="6">
                  <c:v>7</c:v>
                </c:pt>
                <c:pt idx="7">
                  <c:v>2</c:v>
                </c:pt>
                <c:pt idx="8">
                  <c:v>6</c:v>
                </c:pt>
                <c:pt idx="9">
                  <c:v>2</c:v>
                </c:pt>
                <c:pt idx="10">
                  <c:v>11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DC-495B-A16D-D0A07B530F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0"/>
        <c:overlap val="-27"/>
        <c:axId val="520483807"/>
        <c:axId val="627369295"/>
      </c:barChart>
      <c:catAx>
        <c:axId val="52048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369295"/>
        <c:crosses val="autoZero"/>
        <c:auto val="1"/>
        <c:lblAlgn val="ctr"/>
        <c:lblOffset val="100"/>
        <c:tickMarkSkip val="2"/>
        <c:noMultiLvlLbl val="0"/>
      </c:catAx>
      <c:valAx>
        <c:axId val="6273692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2048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[Indicadores Operacional Atualizado.xlsx]Analise Semanal!Analise1</c:name>
    <c:fmtId val="12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810540054641585E-3"/>
              <c:y val="-7.976937309065875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747505602595912E-2"/>
              <c:y val="-9.54086312981369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68722388716674E-3"/>
              <c:y val="-3.86869544853448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7132057587095829E-2"/>
              <c:y val="-2.89855182720981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6">
              <a:tint val="9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3071795825533265E-2"/>
              <c:y val="3.3739692560248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>
              <a:tint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637769135939914E-2"/>
              <c:y val="4.7616912973481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shade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98740051827844E-2"/>
              <c:y val="4.34782774081468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1891998334554983E-2"/>
              <c:y val="6.92481413953890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755280612688643E-3"/>
              <c:y val="0.103064736402372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6102106163898475"/>
                  <c:h val="0.17369590843923635"/>
                </c:manualLayout>
              </c15:layout>
            </c:ext>
          </c:extLst>
        </c:dLbl>
      </c:pivotFmt>
      <c:pivotFmt>
        <c:idx val="38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63894914794002E-2"/>
              <c:y val="-4.90784459058915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7132057587095829E-2"/>
              <c:y val="-2.89855182720979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>
              <a:tint val="8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8553429311826382E-2"/>
              <c:y val="2.8985518272097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6">
              <a:shade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6">
              <a:shade val="9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77753502550614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>
              <a:shade val="4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6">
              <a:shade val="4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48412067655165E-3"/>
              <c:y val="-1.9322222815590302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30976199030442453"/>
                  <c:h val="0.1736959084392363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749223103352189"/>
          <c:y val="0.14063061552100056"/>
          <c:w val="0.46339978596328429"/>
          <c:h val="0.83483016152605372"/>
        </c:manualLayout>
      </c:layout>
      <c:pieChart>
        <c:varyColors val="1"/>
        <c:ser>
          <c:idx val="0"/>
          <c:order val="0"/>
          <c:tx>
            <c:strRef>
              <c:f>'Analise Semanal'!$B$3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C-4EBD-9C84-EF16D48670E3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FC-4EBD-9C84-EF16D48670E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FC-4EBD-9C84-EF16D48670E3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FC-4EBD-9C84-EF16D48670E3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FC-4EBD-9C84-EF16D48670E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FC-4EBD-9C84-EF16D48670E3}"/>
              </c:ext>
            </c:extLst>
          </c:dPt>
          <c:dPt>
            <c:idx val="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FC-4EBD-9C84-EF16D48670E3}"/>
              </c:ext>
            </c:extLst>
          </c:dPt>
          <c:dPt>
            <c:idx val="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FC-4EBD-9C84-EF16D48670E3}"/>
              </c:ext>
            </c:extLst>
          </c:dPt>
          <c:dPt>
            <c:idx val="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FC-4EBD-9C84-EF16D48670E3}"/>
              </c:ext>
            </c:extLst>
          </c:dPt>
          <c:dPt>
            <c:idx val="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FC-4EBD-9C84-EF16D48670E3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4FC-4EBD-9C84-EF16D48670E3}"/>
              </c:ext>
            </c:extLst>
          </c:dPt>
          <c:dPt>
            <c:idx val="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4FC-4EBD-9C84-EF16D48670E3}"/>
              </c:ext>
            </c:extLst>
          </c:dPt>
          <c:dPt>
            <c:idx val="1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4FC-4EBD-9C84-EF16D48670E3}"/>
              </c:ext>
            </c:extLst>
          </c:dPt>
          <c:dLbls>
            <c:dLbl>
              <c:idx val="0"/>
              <c:layout>
                <c:manualLayout>
                  <c:x val="-5.448412067655165E-3"/>
                  <c:y val="-1.9322222815590302E-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976199030442453"/>
                      <c:h val="0.173695908439236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4FC-4EBD-9C84-EF16D48670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Semanal'!$A$4</c:f>
              <c:strCache>
                <c:ptCount val="1"/>
                <c:pt idx="0">
                  <c:v>Transplantio</c:v>
                </c:pt>
              </c:strCache>
            </c:strRef>
          </c:cat>
          <c:val>
            <c:numRef>
              <c:f>'Analise Semanal'!$B$4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CA9-4C1B-B980-D615C2D84C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[Indicadores Operacional Atualizado.xlsx]Analise Anual!Analise2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  <c:dLbl>
          <c:idx val="0"/>
          <c:layout>
            <c:manualLayout>
              <c:x val="2.8932845610507699E-2"/>
              <c:y val="-3.4551495016611295E-3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-1.689101230799343E-2"/>
              <c:y val="2.2363251105239752E-2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3.5353398131497876E-2"/>
              <c:y val="-1.715785526809149E-2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9.7056385060107608E-2"/>
              <c:y val="2.8987539348279138E-2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  <c:dLbl>
          <c:idx val="0"/>
          <c:layout>
            <c:manualLayout>
              <c:x val="2.0851100423086511E-2"/>
              <c:y val="-4.4429678848283499E-2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</c:pivotFmt>
      <c:pivotFmt>
        <c:idx val="34"/>
      </c:pivotFmt>
      <c:pivotFmt>
        <c:idx val="35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6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6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</c:pivotFmt>
      <c:pivotFmt>
        <c:idx val="41"/>
        <c:spPr>
          <a:solidFill>
            <a:schemeClr val="accent6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6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6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6">
              <a:shade val="7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5"/>
      </c:pivotFmt>
      <c:pivotFmt>
        <c:idx val="46"/>
        <c:dLbl>
          <c:idx val="0"/>
          <c:layout>
            <c:manualLayout>
              <c:x val="0.38109293753554968"/>
              <c:y val="0.7953834945124012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8842166079210313"/>
                  <c:h val="0.16921912150984567"/>
                </c:manualLayout>
              </c15:layout>
            </c:ext>
          </c:extLst>
        </c:dLbl>
      </c:pivotFmt>
      <c:pivotFmt>
        <c:idx val="47"/>
        <c:spPr>
          <a:solidFill>
            <a:schemeClr val="accent6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8"/>
      </c:pivotFmt>
      <c:pivotFmt>
        <c:idx val="4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</c:pivotFmt>
      <c:pivotFmt>
        <c:idx val="51"/>
      </c:pivotFmt>
    </c:pivotFmts>
    <c:plotArea>
      <c:layout>
        <c:manualLayout>
          <c:layoutTarget val="inner"/>
          <c:xMode val="edge"/>
          <c:yMode val="edge"/>
          <c:x val="0.25073457415595402"/>
          <c:y val="0.1259443143062334"/>
          <c:w val="0.67324073221157787"/>
          <c:h val="0.77197278968400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'Analise Anual'!$B$3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B6F-4E4B-9A1E-C742D59F046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6F-4E4B-9A1E-C742D59F046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6F-4E4B-9A1E-C742D59F046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B6F-4E4B-9A1E-C742D59F046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6F-4E4B-9A1E-C742D59F046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6F-4E4B-9A1E-C742D59F046C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B6F-4E4B-9A1E-C742D59F046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B6F-4E4B-9A1E-C742D59F046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B6F-4E4B-9A1E-C742D59F046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B6F-4E4B-9A1E-C742D59F046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B6F-4E4B-9A1E-C742D59F046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B6F-4E4B-9A1E-C742D59F046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1B6F-4E4B-9A1E-C742D59F046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1B6F-4E4B-9A1E-C742D59F046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1B6F-4E4B-9A1E-C742D59F046C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083E-45A1-B2D1-CC7FDAA3DB7E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B0E6-4022-BC47-9B9484A29DCF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B0E6-4022-BC47-9B9484A29DCF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B0E6-4022-BC47-9B9484A29D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Anual'!$A$4:$A$15</c:f>
              <c:strCache>
                <c:ptCount val="12"/>
                <c:pt idx="0">
                  <c:v>Mecânico/Trator</c:v>
                </c:pt>
                <c:pt idx="1">
                  <c:v>Plantio</c:v>
                </c:pt>
                <c:pt idx="2">
                  <c:v>Transplantio</c:v>
                </c:pt>
                <c:pt idx="3">
                  <c:v>Entupimento</c:v>
                </c:pt>
                <c:pt idx="4">
                  <c:v>Entrega do Produto</c:v>
                </c:pt>
                <c:pt idx="5">
                  <c:v>Limpeza e aferições</c:v>
                </c:pt>
                <c:pt idx="6">
                  <c:v>Adubação</c:v>
                </c:pt>
                <c:pt idx="7">
                  <c:v>Pulverização</c:v>
                </c:pt>
                <c:pt idx="8">
                  <c:v>Pivô Atolado</c:v>
                </c:pt>
                <c:pt idx="9">
                  <c:v>Gerador</c:v>
                </c:pt>
                <c:pt idx="10">
                  <c:v>Erosão/Rastro</c:v>
                </c:pt>
                <c:pt idx="11">
                  <c:v>Falta de Água</c:v>
                </c:pt>
              </c:strCache>
            </c:strRef>
          </c:cat>
          <c:val>
            <c:numRef>
              <c:f>'Analise Anual'!$B$4:$B$15</c:f>
              <c:numCache>
                <c:formatCode>0.00%</c:formatCode>
                <c:ptCount val="12"/>
                <c:pt idx="0">
                  <c:v>8.0000000000000002E-3</c:v>
                </c:pt>
                <c:pt idx="1">
                  <c:v>1.6E-2</c:v>
                </c:pt>
                <c:pt idx="2">
                  <c:v>1.6E-2</c:v>
                </c:pt>
                <c:pt idx="3">
                  <c:v>2.4E-2</c:v>
                </c:pt>
                <c:pt idx="4">
                  <c:v>2.4E-2</c:v>
                </c:pt>
                <c:pt idx="5">
                  <c:v>3.2000000000000001E-2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5.6000000000000001E-2</c:v>
                </c:pt>
                <c:pt idx="9">
                  <c:v>8.7999999999999995E-2</c:v>
                </c:pt>
                <c:pt idx="10">
                  <c:v>0.13600000000000001</c:v>
                </c:pt>
                <c:pt idx="11">
                  <c:v>0.504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189-47F7-B5C4-4B70737FA8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78964336"/>
        <c:axId val="1078967664"/>
      </c:barChart>
      <c:valAx>
        <c:axId val="107896766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078964336"/>
        <c:crosses val="autoZero"/>
        <c:crossBetween val="between"/>
      </c:valAx>
      <c:catAx>
        <c:axId val="1078964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8967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image" Target="../media/image1.png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822613</xdr:colOff>
      <xdr:row>16</xdr:row>
      <xdr:rowOff>172315</xdr:rowOff>
    </xdr:from>
    <xdr:to>
      <xdr:col>9</xdr:col>
      <xdr:colOff>428798</xdr:colOff>
      <xdr:row>31</xdr:row>
      <xdr:rowOff>162790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EF6743E-6C41-45C4-AC3E-5F001F798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599210</xdr:colOff>
      <xdr:row>17</xdr:row>
      <xdr:rowOff>125036</xdr:rowOff>
    </xdr:from>
    <xdr:to>
      <xdr:col>18</xdr:col>
      <xdr:colOff>360219</xdr:colOff>
      <xdr:row>35</xdr:row>
      <xdr:rowOff>166254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1B80C0-0770-4E03-A59C-51C63A66C05F}"/>
            </a:ext>
            <a:ext uri="{147F2762-F138-4A5C-976F-8EAC2B608ADB}">
              <a16:predDERef xmlns:a16="http://schemas.microsoft.com/office/drawing/2014/main" pred="{EEF6743E-6C41-45C4-AC3E-5F001F798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514350</xdr:colOff>
      <xdr:row>2</xdr:row>
      <xdr:rowOff>133351</xdr:rowOff>
    </xdr:from>
    <xdr:to>
      <xdr:col>21</xdr:col>
      <xdr:colOff>209550</xdr:colOff>
      <xdr:row>20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2F1E9F-0C84-4733-BFE7-F7B8B4C61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B99C52-F8C9-4B2F-9E04-777B4FE140A9}"/>
            </a:ext>
          </a:extLst>
        </xdr:cNvPr>
        <xdr:cNvSpPr/>
      </xdr:nvSpPr>
      <xdr:spPr>
        <a:xfrm>
          <a:off x="13091160" y="59055"/>
          <a:ext cx="1051560" cy="25336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352425</xdr:colOff>
      <xdr:row>3</xdr:row>
      <xdr:rowOff>47625</xdr:rowOff>
    </xdr:from>
    <xdr:to>
      <xdr:col>23</xdr:col>
      <xdr:colOff>47625</xdr:colOff>
      <xdr:row>23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8A03FD-5F2B-4AD3-8F6C-6C1089902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799D88-0713-4E38-9291-A4D9F28DBD50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428625</xdr:colOff>
      <xdr:row>1</xdr:row>
      <xdr:rowOff>95250</xdr:rowOff>
    </xdr:from>
    <xdr:to>
      <xdr:col>21</xdr:col>
      <xdr:colOff>123825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00F964-B9E6-409E-9B24-DDB6D624B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00FA6E-D633-4A17-88B5-74A9967480C1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96074C-A049-4D1F-B5F3-B3A28FA21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5008F7-0AEC-4040-BD2E-29978E0E6679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824D79-68DA-4E56-97F4-C42F6359B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4B2113-37E5-4C3C-8CF6-D0D1668BC233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B1CF7A-B4AA-44CD-BF71-1641FBFCC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B40951-5B76-43C0-97CC-569F3F04655F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B7CB06-F296-4DAA-88F4-3180B6DC4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D95B8B-21FA-4E97-9D9E-A42F916E38DE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35AEBF-13BD-4473-AF0A-25FD6544D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FCFAC3-C9AB-4C10-AC6B-0E214A87C58F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30CAF8-AC76-4F86-8CA4-CF220C9E9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F7D6A9-13A7-444A-B7F0-B671F40BF247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E14AEB-434C-401C-9DD3-970BCDA06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357E2A-57A4-4A37-B6CB-E499D8CAECDD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6BC050-ED6C-4962-9748-F70E20C39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037930-F00B-4897-AC6C-D8AC949E8213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2</xdr:row>
      <xdr:rowOff>123825</xdr:rowOff>
    </xdr:from>
    <xdr:to>
      <xdr:col>20</xdr:col>
      <xdr:colOff>142875</xdr:colOff>
      <xdr:row>23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CB1AB8-C3B4-4A52-A9BA-41A132B6E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E5854F-7E2E-4AB2-846A-966B8A3A4C6A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228A53-730F-44FB-A371-E0AA1AC7C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87DEE4-FC73-4F4B-A99F-46BE2314C588}"/>
            </a:ext>
            <a:ext uri="{147F2762-F138-4A5C-976F-8EAC2B608ADB}">
              <a16:predDERef xmlns:a16="http://schemas.microsoft.com/office/drawing/2014/main" pred="{A8228A53-730F-44FB-A371-E0AA1AC7CAB2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581025</xdr:colOff>
      <xdr:row>6</xdr:row>
      <xdr:rowOff>38100</xdr:rowOff>
    </xdr:from>
    <xdr:to>
      <xdr:col>21</xdr:col>
      <xdr:colOff>276225</xdr:colOff>
      <xdr:row>26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E7537F-9E34-4D50-ACF0-E86A77DB5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F334DA-CDE9-4DD1-BD8D-C43F05DB4174}"/>
            </a:ext>
            <a:ext uri="{147F2762-F138-4A5C-976F-8EAC2B608ADB}">
              <a16:predDERef xmlns:a16="http://schemas.microsoft.com/office/drawing/2014/main" pred="{9DE7537F-9E34-4D50-ACF0-E86A77DB5782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390525</xdr:colOff>
      <xdr:row>3</xdr:row>
      <xdr:rowOff>104775</xdr:rowOff>
    </xdr:from>
    <xdr:to>
      <xdr:col>22</xdr:col>
      <xdr:colOff>85725</xdr:colOff>
      <xdr:row>24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34B30A-E3E7-423F-996F-C80FD02E7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70DCC1-6DAE-4400-9EDC-3A0842020F08}"/>
            </a:ext>
            <a:ext uri="{147F2762-F138-4A5C-976F-8EAC2B608ADB}">
              <a16:predDERef xmlns:a16="http://schemas.microsoft.com/office/drawing/2014/main" pred="{EA34B30A-E3E7-423F-996F-C80FD02E7110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5</xdr:row>
      <xdr:rowOff>161925</xdr:rowOff>
    </xdr:from>
    <xdr:to>
      <xdr:col>25</xdr:col>
      <xdr:colOff>38100</xdr:colOff>
      <xdr:row>26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EFD385-C515-4EC0-9D93-0B89238AC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F0FD9D-4757-4CC4-B904-A38B5866C896}"/>
            </a:ext>
            <a:ext uri="{147F2762-F138-4A5C-976F-8EAC2B608ADB}">
              <a16:predDERef xmlns:a16="http://schemas.microsoft.com/office/drawing/2014/main" pred="{C4EFD385-C515-4EC0-9D93-0B89238AC4F4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247650</xdr:colOff>
      <xdr:row>10</xdr:row>
      <xdr:rowOff>28575</xdr:rowOff>
    </xdr:from>
    <xdr:to>
      <xdr:col>30</xdr:col>
      <xdr:colOff>552450</xdr:colOff>
      <xdr:row>30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7629B9-F152-4E0F-B210-5F23CF327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C7AA94-938B-40C7-9756-0C6FC33B46B0}"/>
            </a:ext>
            <a:ext uri="{147F2762-F138-4A5C-976F-8EAC2B608ADB}">
              <a16:predDERef xmlns:a16="http://schemas.microsoft.com/office/drawing/2014/main" pred="{8E7629B9-F152-4E0F-B210-5F23CF3279EB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200025</xdr:colOff>
      <xdr:row>4</xdr:row>
      <xdr:rowOff>133350</xdr:rowOff>
    </xdr:from>
    <xdr:to>
      <xdr:col>22</xdr:col>
      <xdr:colOff>504825</xdr:colOff>
      <xdr:row>25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B0285D-258F-42A2-BB5F-46A1F189E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F2D932-DEAC-4398-8F7D-540F653DC8C5}"/>
            </a:ext>
            <a:ext uri="{147F2762-F138-4A5C-976F-8EAC2B608ADB}">
              <a16:predDERef xmlns:a16="http://schemas.microsoft.com/office/drawing/2014/main" pred="{51B0285D-258F-42A2-BB5F-46A1F189EA7D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285750</xdr:colOff>
      <xdr:row>4</xdr:row>
      <xdr:rowOff>28575</xdr:rowOff>
    </xdr:from>
    <xdr:to>
      <xdr:col>22</xdr:col>
      <xdr:colOff>590550</xdr:colOff>
      <xdr:row>24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FDB4EA-451D-446A-9CE3-D28B7CBDE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E7E305-E109-4C9C-A48D-74154BAF6627}"/>
            </a:ext>
            <a:ext uri="{147F2762-F138-4A5C-976F-8EAC2B608ADB}">
              <a16:predDERef xmlns:a16="http://schemas.microsoft.com/office/drawing/2014/main" pred="{87FDB4EA-451D-446A-9CE3-D28B7CBDE964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114300</xdr:colOff>
      <xdr:row>4</xdr:row>
      <xdr:rowOff>161925</xdr:rowOff>
    </xdr:from>
    <xdr:to>
      <xdr:col>22</xdr:col>
      <xdr:colOff>419100</xdr:colOff>
      <xdr:row>25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9A3168-5081-418D-A6B3-5F0C7FC91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69CF88-EDD8-4D34-A0FA-CEB67A3E5E8C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114300</xdr:colOff>
      <xdr:row>4</xdr:row>
      <xdr:rowOff>161925</xdr:rowOff>
    </xdr:from>
    <xdr:to>
      <xdr:col>22</xdr:col>
      <xdr:colOff>419100</xdr:colOff>
      <xdr:row>25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714FBA-76AD-4EBA-8384-DB1CC0433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95BAAE-215B-4E23-918A-38DC8BBDFE4D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13653135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B7E5BA-190A-4FC8-B7F3-DF54FA92DDD3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AB2677-50C3-4D75-A194-D2C9274662E5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EB4E78-088A-44F2-B549-6121432407CC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64921-9563-41AB-AC87-CB024C849E57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409255-A8B4-450E-ABF6-BB7CD6B5FE33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CF20F-03F7-4D4B-A9E9-6E65F6CC7B49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7E3A54-F090-4AC4-BD1A-2B3261BBB7F8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5E3497-2D89-48F4-8792-D6E205A38AB5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A242EB-B6F3-422B-953C-49D3F54B9487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2E51FD-A525-4848-983C-63F2012B4B51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98CE81-61AE-4C8E-9C84-7D37078D9C78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3BDCE2-F984-4E57-BFA6-7B1F6799DE96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AF5921-EEEA-40B8-9C27-ECAB39453B32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8BF517-CE4B-4857-BEDE-F20CB2BFE840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F62571-93E2-4DA0-AA67-F9D5D10C1B84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F7F5CB-BE4D-4B59-8B8B-D1206D8C8A8C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0980BE-B994-4B3C-BCBC-7C46485DF176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55AB1-ABE8-4959-87E0-576994609F48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04EC36-4DA1-4D7C-BE15-E74E31964C48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E60E00-64A0-4253-83AA-F30A4A4D1BFF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8AD051-A075-4371-91FD-5BEE4F3AFD33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512DCC-F20D-4F30-9EB7-3AA02416EF11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EE1579-D2A2-4AFD-984A-6C508C0233CF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6E5061-8201-4385-A89D-CFE44661BEC7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FAB716-E0AE-4950-A749-1913B477A90A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3B2BEA-948D-4D6A-80BF-847731E36F78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060A0B-5794-4284-A9B8-FEEB7F0D0E0C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FC6CDE-C3F5-4321-A05E-F28AFF2FB7AB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1B814A-6FBC-4C7E-A909-E0ECE340D691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003C7C-2558-4005-89D0-1724F8BC0B84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363E28-63B6-4938-AD0D-E21C49857DF2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CF140E-F42A-4269-8F63-C467A070234A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093F6F-DEAA-4E6B-A48D-F9C24DB28F7D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26DDAA-7D8B-4D88-BD11-A616784A0A8B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7472C3-8E50-4AC4-9B6B-6ADEC7B79C4F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99E79E-4A55-49D1-A2F7-0183569015F0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AD441E-77E6-4846-95AF-2BDE4B72157A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4EEE5A-FBA3-4942-9CB5-B4A0A48FBAA1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AABBCC-A9B8-4202-B458-477B4CCFFDE2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50AEC3-B0AD-42BD-AD2F-D0EA80AF1F24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734CD0-8FD1-424A-B5A0-6318154EDDF2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A164A-29C7-4789-870B-E0ABD29D1D65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48F907-DD5D-4AFA-BFF9-CD865A81FED7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DDCD6A-F632-409F-B2FC-83EA25038EEC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B57776-1527-494C-AA1E-36EB89286534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818D35-B451-4715-A711-89583FA92EBE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482F6D-CA7B-4BC6-8763-1245A4F5BBEE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3F70F6-A9BE-455D-9EBA-B73945589CCA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40B4DE-8716-48AE-A60F-2B022CAB592E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</xdr:colOff>
      <xdr:row>0</xdr:row>
      <xdr:rowOff>59055</xdr:rowOff>
    </xdr:from>
    <xdr:to>
      <xdr:col>7</xdr:col>
      <xdr:colOff>1143000</xdr:colOff>
      <xdr:row>1</xdr:row>
      <xdr:rowOff>129540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3E42FB-DCC2-4FA6-AB34-F556CF35DC08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7747635" y="59055"/>
          <a:ext cx="977265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2</xdr:row>
      <xdr:rowOff>66675</xdr:rowOff>
    </xdr:from>
    <xdr:to>
      <xdr:col>8</xdr:col>
      <xdr:colOff>581025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na">
              <a:extLst>
                <a:ext uri="{FF2B5EF4-FFF2-40B4-BE49-F238E27FC236}">
                  <a16:creationId xmlns:a16="http://schemas.microsoft.com/office/drawing/2014/main" id="{6B48CFD7-6482-76EB-9DB0-199A091AAF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43600" y="44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3</xdr:row>
      <xdr:rowOff>0</xdr:rowOff>
    </xdr:from>
    <xdr:to>
      <xdr:col>8</xdr:col>
      <xdr:colOff>247650</xdr:colOff>
      <xdr:row>8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5AB472B9-8C02-F692-4C9E-17BCCDA39A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6475" y="571500"/>
              <a:ext cx="1828800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381000</xdr:colOff>
      <xdr:row>3</xdr:row>
      <xdr:rowOff>9526</xdr:rowOff>
    </xdr:from>
    <xdr:to>
      <xdr:col>11</xdr:col>
      <xdr:colOff>514350</xdr:colOff>
      <xdr:row>7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eriodo">
              <a:extLst>
                <a:ext uri="{FF2B5EF4-FFF2-40B4-BE49-F238E27FC236}">
                  <a16:creationId xmlns:a16="http://schemas.microsoft.com/office/drawing/2014/main" id="{24AF7BB2-DAE7-0B3A-2AC7-74683C3A8F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8625" y="581026"/>
              <a:ext cx="1828800" cy="933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0</xdr:row>
      <xdr:rowOff>95250</xdr:rowOff>
    </xdr:from>
    <xdr:to>
      <xdr:col>11</xdr:col>
      <xdr:colOff>533400</xdr:colOff>
      <xdr:row>16</xdr:row>
      <xdr:rowOff>133350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DF3CAB2D-6954-1C1D-FDFF-530143ABEFBB}"/>
            </a:ext>
          </a:extLst>
        </xdr:cNvPr>
        <xdr:cNvSpPr/>
      </xdr:nvSpPr>
      <xdr:spPr>
        <a:xfrm>
          <a:off x="1914525" y="95250"/>
          <a:ext cx="5324475" cy="3086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20</xdr:col>
      <xdr:colOff>600077</xdr:colOff>
      <xdr:row>34</xdr:row>
      <xdr:rowOff>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3165ED8-A546-D071-11D8-BEB7B9C7FE02}"/>
            </a:ext>
          </a:extLst>
        </xdr:cNvPr>
        <xdr:cNvSpPr/>
      </xdr:nvSpPr>
      <xdr:spPr>
        <a:xfrm>
          <a:off x="0" y="0"/>
          <a:ext cx="12792077" cy="6477001"/>
        </a:xfrm>
        <a:prstGeom prst="rect">
          <a:avLst/>
        </a:prstGeom>
        <a:solidFill>
          <a:srgbClr val="517B7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133350</xdr:rowOff>
    </xdr:from>
    <xdr:to>
      <xdr:col>2</xdr:col>
      <xdr:colOff>323850</xdr:colOff>
      <xdr:row>33</xdr:row>
      <xdr:rowOff>53975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AE0E492A-3544-E788-A9A8-6AA8197CCA71}"/>
            </a:ext>
          </a:extLst>
        </xdr:cNvPr>
        <xdr:cNvGrpSpPr/>
      </xdr:nvGrpSpPr>
      <xdr:grpSpPr>
        <a:xfrm>
          <a:off x="0" y="133350"/>
          <a:ext cx="1543050" cy="6207125"/>
          <a:chOff x="0" y="95250"/>
          <a:chExt cx="1543050" cy="6207125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A5239608-CA2A-A9EB-2361-97AE5E7F61D5}"/>
              </a:ext>
            </a:extLst>
          </xdr:cNvPr>
          <xdr:cNvSpPr/>
        </xdr:nvSpPr>
        <xdr:spPr>
          <a:xfrm>
            <a:off x="95249" y="95250"/>
            <a:ext cx="1409701" cy="6207125"/>
          </a:xfrm>
          <a:prstGeom prst="round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68F3C1AE-F584-90BB-E3C4-A1180823371E}"/>
              </a:ext>
            </a:extLst>
          </xdr:cNvPr>
          <xdr:cNvSpPr txBox="1"/>
        </xdr:nvSpPr>
        <xdr:spPr>
          <a:xfrm>
            <a:off x="0" y="1609726"/>
            <a:ext cx="1543050" cy="1028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Relatório de Indicadores Operacional</a:t>
            </a:r>
          </a:p>
        </xdr:txBody>
      </xdr:sp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B3617657-1881-6433-5683-00F6889395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33375" y="347331"/>
            <a:ext cx="923925" cy="1001775"/>
          </a:xfrm>
          <a:prstGeom prst="rect">
            <a:avLst/>
          </a:prstGeom>
          <a:solidFill>
            <a:srgbClr val="FFFFFF">
              <a:shade val="85000"/>
            </a:srgbClr>
          </a:solidFill>
          <a:ln w="889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Periodo 1">
                <a:extLst>
                  <a:ext uri="{FF2B5EF4-FFF2-40B4-BE49-F238E27FC236}">
                    <a16:creationId xmlns:a16="http://schemas.microsoft.com/office/drawing/2014/main" id="{ED80979F-B72B-477C-8C39-03F0CB31702F}"/>
                  </a:ext>
                </a:extLst>
              </xdr:cNvPr>
              <xdr:cNvGraphicFramePr/>
            </xdr:nvGraphicFramePr>
            <xdr:xfrm>
              <a:off x="163286" y="5048250"/>
              <a:ext cx="1260020" cy="933449"/>
            </xdr:xfrm>
            <a:graphic>
              <a:graphicData uri="http://schemas.microsoft.com/office/drawing/2010/slicer">
                <sle:slicer xmlns:sle="http://schemas.microsoft.com/office/drawing/2010/slicer" name="Period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3286" y="5086350"/>
                <a:ext cx="1260020" cy="93344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4" name="Ano 1">
                <a:extLst>
                  <a:ext uri="{FF2B5EF4-FFF2-40B4-BE49-F238E27FC236}">
                    <a16:creationId xmlns:a16="http://schemas.microsoft.com/office/drawing/2014/main" id="{79206F62-19BD-4586-9A24-343F8FEABBBC}"/>
                  </a:ext>
                </a:extLst>
              </xdr:cNvPr>
              <xdr:cNvGraphicFramePr/>
            </xdr:nvGraphicFramePr>
            <xdr:xfrm>
              <a:off x="180974" y="3376611"/>
              <a:ext cx="1238251" cy="1423988"/>
            </xdr:xfrm>
            <a:graphic>
              <a:graphicData uri="http://schemas.microsoft.com/office/drawing/2010/slicer">
                <sle:slicer xmlns:sle="http://schemas.microsoft.com/office/drawing/2010/slicer" name="An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0974" y="3414711"/>
                <a:ext cx="1238251" cy="142398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30B90761-F2BD-BC40-09BC-CC20B65F4ABC}"/>
              </a:ext>
            </a:extLst>
          </xdr:cNvPr>
          <xdr:cNvSpPr txBox="1"/>
        </xdr:nvSpPr>
        <xdr:spPr>
          <a:xfrm>
            <a:off x="200025" y="3028950"/>
            <a:ext cx="1200150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chemeClr val="bg1"/>
                </a:solidFill>
              </a:rPr>
              <a:t>An</a:t>
            </a:r>
            <a:r>
              <a:rPr lang="pt-BR" sz="1200" b="1">
                <a:solidFill>
                  <a:schemeClr val="bg1"/>
                </a:solidFill>
              </a:rPr>
              <a:t>o de Analise</a:t>
            </a:r>
          </a:p>
        </xdr:txBody>
      </xdr:sp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id="{42063AB3-106A-FFB4-0896-D040B835149B}"/>
              </a:ext>
            </a:extLst>
          </xdr:cNvPr>
          <xdr:cNvSpPr txBox="1"/>
        </xdr:nvSpPr>
        <xdr:spPr>
          <a:xfrm>
            <a:off x="114300" y="4743450"/>
            <a:ext cx="1390650" cy="276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 b="1">
                <a:solidFill>
                  <a:schemeClr val="bg1"/>
                </a:solidFill>
              </a:rPr>
              <a:t>Periodo de Analise</a:t>
            </a:r>
          </a:p>
        </xdr:txBody>
      </xdr:sp>
    </xdr:grpSp>
    <xdr:clientData/>
  </xdr:twoCellAnchor>
  <xdr:twoCellAnchor>
    <xdr:from>
      <xdr:col>2</xdr:col>
      <xdr:colOff>400050</xdr:colOff>
      <xdr:row>0</xdr:row>
      <xdr:rowOff>0</xdr:rowOff>
    </xdr:from>
    <xdr:to>
      <xdr:col>10</xdr:col>
      <xdr:colOff>397043</xdr:colOff>
      <xdr:row>16</xdr:row>
      <xdr:rowOff>9525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58E61FD6-679B-C281-778A-7DCCDE5ED17D}"/>
            </a:ext>
            <a:ext uri="{147F2762-F138-4A5C-976F-8EAC2B608ADB}">
              <a16:predDERef xmlns:a16="http://schemas.microsoft.com/office/drawing/2014/main" pred="{AE0E492A-3544-E788-A9A8-6AA8197CCA71}"/>
            </a:ext>
          </a:extLst>
        </xdr:cNvPr>
        <xdr:cNvGrpSpPr/>
      </xdr:nvGrpSpPr>
      <xdr:grpSpPr>
        <a:xfrm>
          <a:off x="1619250" y="0"/>
          <a:ext cx="4873793" cy="3057525"/>
          <a:chOff x="1704975" y="0"/>
          <a:chExt cx="5162550" cy="3124200"/>
        </a:xfrm>
        <a:solidFill>
          <a:srgbClr val="789D1B"/>
        </a:solidFill>
      </xdr:grpSpPr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2C0D8CD0-BD8D-0395-394E-A2039FA8C0A6}"/>
              </a:ext>
            </a:extLst>
          </xdr:cNvPr>
          <xdr:cNvSpPr/>
        </xdr:nvSpPr>
        <xdr:spPr>
          <a:xfrm>
            <a:off x="1704975" y="95250"/>
            <a:ext cx="5162550" cy="3028950"/>
          </a:xfrm>
          <a:prstGeom prst="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57C4AA56-AE7B-C0AC-97D9-AB717308D82F}"/>
              </a:ext>
            </a:extLst>
          </xdr:cNvPr>
          <xdr:cNvGrpSpPr/>
        </xdr:nvGrpSpPr>
        <xdr:grpSpPr>
          <a:xfrm>
            <a:off x="1743074" y="0"/>
            <a:ext cx="5076825" cy="3067050"/>
            <a:chOff x="1743074" y="0"/>
            <a:chExt cx="5076825" cy="3067050"/>
          </a:xfrm>
          <a:grpFill/>
        </xdr:grpSpPr>
        <xdr:graphicFrame macro="">
          <xdr:nvGraphicFramePr>
            <xdr:cNvPr id="25" name="Gráfico 24">
              <a:extLst>
                <a:ext uri="{FF2B5EF4-FFF2-40B4-BE49-F238E27FC236}">
                  <a16:creationId xmlns:a16="http://schemas.microsoft.com/office/drawing/2014/main" id="{3E317ECC-5296-46FD-BB17-A129E717FB40}"/>
                </a:ext>
              </a:extLst>
            </xdr:cNvPr>
            <xdr:cNvGraphicFramePr>
              <a:graphicFrameLocks/>
            </xdr:cNvGraphicFramePr>
          </xdr:nvGraphicFramePr>
          <xdr:xfrm>
            <a:off x="1743074" y="457200"/>
            <a:ext cx="5076825" cy="26098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6956BCE6-0B5D-3D7D-F6FF-018C3905BF9D}"/>
                </a:ext>
              </a:extLst>
            </xdr:cNvPr>
            <xdr:cNvSpPr txBox="1"/>
          </xdr:nvSpPr>
          <xdr:spPr>
            <a:xfrm>
              <a:off x="2447925" y="0"/>
              <a:ext cx="3800476" cy="5143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</a:rPr>
                <a:t>Total de Problemas Durante</a:t>
              </a:r>
              <a:r>
                <a:rPr lang="pt-BR" sz="1600" b="1" baseline="0">
                  <a:solidFill>
                    <a:schemeClr val="bg1"/>
                  </a:solidFill>
                </a:rPr>
                <a:t> a Semana </a:t>
              </a:r>
              <a:endParaRPr lang="pt-BR" sz="16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2</xdr:col>
      <xdr:colOff>338261</xdr:colOff>
      <xdr:row>16</xdr:row>
      <xdr:rowOff>85725</xdr:rowOff>
    </xdr:from>
    <xdr:to>
      <xdr:col>10</xdr:col>
      <xdr:colOff>447675</xdr:colOff>
      <xdr:row>33</xdr:row>
      <xdr:rowOff>66675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A947BCB7-013E-FEF4-0F5C-372E550D9C75}"/>
            </a:ext>
            <a:ext uri="{147F2762-F138-4A5C-976F-8EAC2B608ADB}">
              <a16:predDERef xmlns:a16="http://schemas.microsoft.com/office/drawing/2014/main" pred="{58E61FD6-679B-C281-778A-7DCCDE5ED17D}"/>
            </a:ext>
          </a:extLst>
        </xdr:cNvPr>
        <xdr:cNvGrpSpPr/>
      </xdr:nvGrpSpPr>
      <xdr:grpSpPr>
        <a:xfrm>
          <a:off x="1557461" y="3133725"/>
          <a:ext cx="4986214" cy="3219450"/>
          <a:chOff x="1618677" y="3305176"/>
          <a:chExt cx="5281631" cy="2997200"/>
        </a:xfrm>
        <a:solidFill>
          <a:srgbClr val="789D1B"/>
        </a:solidFill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6BF53DEE-5EDD-4B71-ECC7-7343B9372065}"/>
              </a:ext>
            </a:extLst>
          </xdr:cNvPr>
          <xdr:cNvSpPr/>
        </xdr:nvSpPr>
        <xdr:spPr>
          <a:xfrm>
            <a:off x="1685925" y="3305176"/>
            <a:ext cx="5162550" cy="2997200"/>
          </a:xfrm>
          <a:prstGeom prst="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4A3F6173-B79D-2711-1157-1DF7C65A4E4B}"/>
              </a:ext>
            </a:extLst>
          </xdr:cNvPr>
          <xdr:cNvGrpSpPr/>
        </xdr:nvGrpSpPr>
        <xdr:grpSpPr>
          <a:xfrm>
            <a:off x="1618677" y="3324225"/>
            <a:ext cx="5281631" cy="2921778"/>
            <a:chOff x="1618677" y="3324225"/>
            <a:chExt cx="5281631" cy="2921778"/>
          </a:xfrm>
          <a:grpFill/>
        </xdr:grpSpPr>
        <xdr:graphicFrame macro="">
          <xdr:nvGraphicFramePr>
            <xdr:cNvPr id="29" name="Gráfico 28">
              <a:extLst>
                <a:ext uri="{FF2B5EF4-FFF2-40B4-BE49-F238E27FC236}">
                  <a16:creationId xmlns:a16="http://schemas.microsoft.com/office/drawing/2014/main" id="{B99E976C-D238-4D55-B058-07ABE4B1FD40}"/>
                </a:ext>
              </a:extLst>
            </xdr:cNvPr>
            <xdr:cNvGraphicFramePr>
              <a:graphicFrameLocks/>
            </xdr:cNvGraphicFramePr>
          </xdr:nvGraphicFramePr>
          <xdr:xfrm>
            <a:off x="1724025" y="3686175"/>
            <a:ext cx="5086349" cy="25598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B0C102B9-0118-EC4D-10B1-5FAF127972B0}"/>
                </a:ext>
              </a:extLst>
            </xdr:cNvPr>
            <xdr:cNvSpPr txBox="1"/>
          </xdr:nvSpPr>
          <xdr:spPr>
            <a:xfrm>
              <a:off x="1618677" y="3324225"/>
              <a:ext cx="5281631" cy="3333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</a:rPr>
                <a:t>Total de Problemas Durante o Ano e Periodo Analisado</a:t>
              </a:r>
            </a:p>
          </xdr:txBody>
        </xdr:sp>
      </xdr:grpSp>
    </xdr:grpSp>
    <xdr:clientData/>
  </xdr:twoCellAnchor>
  <xdr:twoCellAnchor>
    <xdr:from>
      <xdr:col>10</xdr:col>
      <xdr:colOff>476250</xdr:colOff>
      <xdr:row>0</xdr:row>
      <xdr:rowOff>66675</xdr:rowOff>
    </xdr:from>
    <xdr:to>
      <xdr:col>18</xdr:col>
      <xdr:colOff>371475</xdr:colOff>
      <xdr:row>16</xdr:row>
      <xdr:rowOff>9525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3FD64F9E-6272-BA99-2ABF-4FF4869D6139}"/>
            </a:ext>
            <a:ext uri="{147F2762-F138-4A5C-976F-8EAC2B608ADB}">
              <a16:predDERef xmlns:a16="http://schemas.microsoft.com/office/drawing/2014/main" pred="{A947BCB7-013E-FEF4-0F5C-372E550D9C75}"/>
            </a:ext>
          </a:extLst>
        </xdr:cNvPr>
        <xdr:cNvGrpSpPr/>
      </xdr:nvGrpSpPr>
      <xdr:grpSpPr>
        <a:xfrm>
          <a:off x="6572250" y="66675"/>
          <a:ext cx="4772025" cy="2990850"/>
          <a:chOff x="7086599" y="85725"/>
          <a:chExt cx="4124325" cy="3038475"/>
        </a:xfrm>
      </xdr:grpSpPr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F3DBC7AC-9ACB-4669-8FF5-259732133653}"/>
              </a:ext>
            </a:extLst>
          </xdr:cNvPr>
          <xdr:cNvSpPr/>
        </xdr:nvSpPr>
        <xdr:spPr>
          <a:xfrm>
            <a:off x="7086599" y="95250"/>
            <a:ext cx="4124325" cy="3028950"/>
          </a:xfrm>
          <a:prstGeom prst="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6445CB38-02E7-1D8B-653D-ED6215450C69}"/>
              </a:ext>
            </a:extLst>
          </xdr:cNvPr>
          <xdr:cNvGrpSpPr/>
        </xdr:nvGrpSpPr>
        <xdr:grpSpPr>
          <a:xfrm>
            <a:off x="7124701" y="85725"/>
            <a:ext cx="4029075" cy="2981324"/>
            <a:chOff x="7124701" y="85725"/>
            <a:chExt cx="4029075" cy="2981324"/>
          </a:xfrm>
        </xdr:grpSpPr>
        <xdr:graphicFrame macro="">
          <xdr:nvGraphicFramePr>
            <xdr:cNvPr id="28" name="Gráfico 27">
              <a:extLst>
                <a:ext uri="{FF2B5EF4-FFF2-40B4-BE49-F238E27FC236}">
                  <a16:creationId xmlns:a16="http://schemas.microsoft.com/office/drawing/2014/main" id="{EF53E217-6DD7-4019-89CC-EA4998EE6FC4}"/>
                </a:ext>
              </a:extLst>
            </xdr:cNvPr>
            <xdr:cNvGraphicFramePr>
              <a:graphicFrameLocks/>
            </xdr:cNvGraphicFramePr>
          </xdr:nvGraphicFramePr>
          <xdr:xfrm>
            <a:off x="7124701" y="438150"/>
            <a:ext cx="4029075" cy="26288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A09AD8B3-E9CB-A884-F7B6-423AD37DE0B1}"/>
                </a:ext>
              </a:extLst>
            </xdr:cNvPr>
            <xdr:cNvSpPr txBox="1"/>
          </xdr:nvSpPr>
          <xdr:spPr>
            <a:xfrm>
              <a:off x="7981949" y="85725"/>
              <a:ext cx="2381251" cy="3238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</a:rPr>
                <a:t>Analise Percentual Semanal</a:t>
              </a:r>
            </a:p>
          </xdr:txBody>
        </xdr:sp>
      </xdr:grpSp>
    </xdr:grpSp>
    <xdr:clientData/>
  </xdr:twoCellAnchor>
  <xdr:twoCellAnchor>
    <xdr:from>
      <xdr:col>10</xdr:col>
      <xdr:colOff>476250</xdr:colOff>
      <xdr:row>15</xdr:row>
      <xdr:rowOff>190492</xdr:rowOff>
    </xdr:from>
    <xdr:to>
      <xdr:col>18</xdr:col>
      <xdr:colOff>381000</xdr:colOff>
      <xdr:row>33</xdr:row>
      <xdr:rowOff>76192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37D5E23E-FCBB-DC4E-4882-E3834CF9135E}"/>
            </a:ext>
            <a:ext uri="{147F2762-F138-4A5C-976F-8EAC2B608ADB}">
              <a16:predDERef xmlns:a16="http://schemas.microsoft.com/office/drawing/2014/main" pred="{3FD64F9E-6272-BA99-2ABF-4FF4869D6139}"/>
            </a:ext>
          </a:extLst>
        </xdr:cNvPr>
        <xdr:cNvGrpSpPr/>
      </xdr:nvGrpSpPr>
      <xdr:grpSpPr>
        <a:xfrm>
          <a:off x="6572250" y="3047992"/>
          <a:ext cx="4781550" cy="3314700"/>
          <a:chOff x="6581774" y="3243427"/>
          <a:chExt cx="4467226" cy="3100223"/>
        </a:xfrm>
      </xdr:grpSpPr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8F1DB691-CE5F-4EF5-BE10-8E80F5B046C3}"/>
              </a:ext>
            </a:extLst>
          </xdr:cNvPr>
          <xdr:cNvSpPr/>
        </xdr:nvSpPr>
        <xdr:spPr>
          <a:xfrm>
            <a:off x="6581774" y="3314700"/>
            <a:ext cx="4467226" cy="3028950"/>
          </a:xfrm>
          <a:prstGeom prst="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E9E5DD0D-40C1-4844-B983-A6BE9124B9E3}"/>
              </a:ext>
            </a:extLst>
          </xdr:cNvPr>
          <xdr:cNvGrpSpPr/>
        </xdr:nvGrpSpPr>
        <xdr:grpSpPr>
          <a:xfrm>
            <a:off x="6610351" y="3243427"/>
            <a:ext cx="4381500" cy="3043072"/>
            <a:chOff x="6610351" y="3243427"/>
            <a:chExt cx="4381500" cy="3043072"/>
          </a:xfrm>
        </xdr:grpSpPr>
        <xdr:graphicFrame macro="">
          <xdr:nvGraphicFramePr>
            <xdr:cNvPr id="31" name="Gráfico 30">
              <a:extLst>
                <a:ext uri="{FF2B5EF4-FFF2-40B4-BE49-F238E27FC236}">
                  <a16:creationId xmlns:a16="http://schemas.microsoft.com/office/drawing/2014/main" id="{BE06342C-E076-40D5-8EFA-EB4629E5AB78}"/>
                </a:ext>
              </a:extLst>
            </xdr:cNvPr>
            <xdr:cNvGraphicFramePr>
              <a:graphicFrameLocks/>
            </xdr:cNvGraphicFramePr>
          </xdr:nvGraphicFramePr>
          <xdr:xfrm>
            <a:off x="6610351" y="3599782"/>
            <a:ext cx="4381500" cy="268671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82C2B07C-5D84-26D3-EDAA-86DF5FBAD1FF}"/>
                </a:ext>
              </a:extLst>
            </xdr:cNvPr>
            <xdr:cNvSpPr txBox="1"/>
          </xdr:nvSpPr>
          <xdr:spPr>
            <a:xfrm>
              <a:off x="7496174" y="3243427"/>
              <a:ext cx="2724151" cy="3905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</a:rPr>
                <a:t>Analise Percentual</a:t>
              </a:r>
              <a:r>
                <a:rPr lang="pt-BR" sz="1600" b="1" baseline="0">
                  <a:solidFill>
                    <a:schemeClr val="bg1"/>
                  </a:solidFill>
                </a:rPr>
                <a:t> Total</a:t>
              </a:r>
              <a:endParaRPr lang="pt-BR" sz="16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18</xdr:col>
      <xdr:colOff>357868</xdr:colOff>
      <xdr:row>0</xdr:row>
      <xdr:rowOff>142875</xdr:rowOff>
    </xdr:from>
    <xdr:to>
      <xdr:col>20</xdr:col>
      <xdr:colOff>555625</xdr:colOff>
      <xdr:row>33</xdr:row>
      <xdr:rowOff>63500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DBCA5C66-BF98-0DC4-C7FC-6B09211F9033}"/>
            </a:ext>
          </a:extLst>
        </xdr:cNvPr>
        <xdr:cNvGrpSpPr/>
      </xdr:nvGrpSpPr>
      <xdr:grpSpPr>
        <a:xfrm>
          <a:off x="11330668" y="142875"/>
          <a:ext cx="1416957" cy="6207125"/>
          <a:chOff x="11244943" y="85725"/>
          <a:chExt cx="1416957" cy="6207125"/>
        </a:xfrm>
      </xdr:grpSpPr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9FA0EC93-CDFF-DE8B-F15F-168EDD356AE0}"/>
              </a:ext>
            </a:extLst>
          </xdr:cNvPr>
          <xdr:cNvGrpSpPr/>
        </xdr:nvGrpSpPr>
        <xdr:grpSpPr>
          <a:xfrm>
            <a:off x="11244943" y="85725"/>
            <a:ext cx="1416957" cy="6207125"/>
            <a:chOff x="11244943" y="95250"/>
            <a:chExt cx="1416957" cy="6207125"/>
          </a:xfrm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2117131F-5922-49FD-9013-76A91216E0AE}"/>
                </a:ext>
              </a:extLst>
            </xdr:cNvPr>
            <xdr:cNvSpPr/>
          </xdr:nvSpPr>
          <xdr:spPr>
            <a:xfrm>
              <a:off x="11315700" y="95250"/>
              <a:ext cx="1346200" cy="6207125"/>
            </a:xfrm>
            <a:prstGeom prst="round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07622EB6-9C56-B3FC-2933-28B58BE292C5}"/>
                </a:ext>
              </a:extLst>
            </xdr:cNvPr>
            <xdr:cNvSpPr txBox="1"/>
          </xdr:nvSpPr>
          <xdr:spPr>
            <a:xfrm>
              <a:off x="11244943" y="285749"/>
              <a:ext cx="1355271" cy="3946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Semana</a:t>
              </a:r>
            </a:p>
          </xdr:txBody>
        </xdr:sp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Semana 1">
                <a:extLst>
                  <a:ext uri="{FF2B5EF4-FFF2-40B4-BE49-F238E27FC236}">
                    <a16:creationId xmlns:a16="http://schemas.microsoft.com/office/drawing/2014/main" id="{41331D93-D4DB-4BD4-8CC1-60D05E9CB376}"/>
                  </a:ext>
                </a:extLst>
              </xdr:cNvPr>
              <xdr:cNvGraphicFramePr/>
            </xdr:nvGraphicFramePr>
            <xdr:xfrm>
              <a:off x="11430000" y="819150"/>
              <a:ext cx="1190625" cy="4972049"/>
            </xdr:xfrm>
            <a:graphic>
              <a:graphicData uri="http://schemas.microsoft.com/office/drawing/2010/slicer">
                <sle:slicer xmlns:sle="http://schemas.microsoft.com/office/drawing/2010/slicer" name="Semana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353800" y="876300"/>
                <a:ext cx="1352550" cy="497204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ito Silva" refreshedDate="44979.661543287039" createdVersion="8" refreshedVersion="8" minRefreshableVersion="3" recordCount="680" xr:uid="{8BF7BF73-A9A5-45CD-B308-F97CBB764CEF}">
  <cacheSource type="worksheet">
    <worksheetSource name="Base_de_Dados"/>
  </cacheSource>
  <cacheFields count="7">
    <cacheField name="Parâmetros" numFmtId="0">
      <sharedItems containsMixedTypes="1" containsNumber="1" containsInteger="1" minValue="22" maxValue="22" count="20">
        <s v="Pulverização"/>
        <s v="Adubação"/>
        <s v="Transplantio"/>
        <s v="Colheita Tabaco"/>
        <s v="Plantio"/>
        <s v="Erosão"/>
        <s v="Mecânico/Trator"/>
        <s v="Operação Ferti"/>
        <s v="Pivô Atolado"/>
        <s v="Entrega do Produto"/>
        <s v="Erosão/Rastro"/>
        <s v="Transporte"/>
        <s v="Limpeza e aferições"/>
        <s v="Falta de Água"/>
        <s v="Desponte"/>
        <s v="Gerador"/>
        <s v="Injeferd"/>
        <s v="Entupimento"/>
        <s v="Syngenta"/>
        <n v="22" u="1"/>
      </sharedItems>
    </cacheField>
    <cacheField name="Contagem" numFmtId="0">
      <sharedItems containsSemiMixedTypes="0" containsString="0" containsNumber="1" containsInteger="1" minValue="0" maxValue="23"/>
    </cacheField>
    <cacheField name="Porcentagem" numFmtId="9">
      <sharedItems containsSemiMixedTypes="0" containsString="0" containsNumber="1" minValue="0" maxValue="1"/>
    </cacheField>
    <cacheField name="Semana" numFmtId="14">
      <sharedItems containsSemiMixedTypes="0" containsNonDate="0" containsDate="1" containsString="0" minDate="1900-01-21T00:00:00" maxDate="2023-02-21T00:00:00" count="48"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8T00:00:00"/>
        <d v="2022-12-05T00:00:00"/>
        <d v="2023-01-02T00:00:00"/>
        <d v="2023-01-16T00:00:00"/>
        <d v="2023-01-23T00:00:00"/>
        <d v="2023-01-30T00:00:00"/>
        <d v="2023-02-06T00:00:00"/>
        <d v="2023-02-13T00:00:00"/>
        <d v="2023-02-20T00:00:00"/>
        <d v="1900-01-21T00:00:00" u="1"/>
      </sharedItems>
    </cacheField>
    <cacheField name="Mês" numFmtId="14">
      <sharedItems/>
    </cacheField>
    <cacheField name="Ano" numFmtId="0">
      <sharedItems containsSemiMixedTypes="0" containsString="0" containsNumber="1" containsInteger="1" minValue="2022" maxValue="2023" count="2">
        <n v="2022"/>
        <n v="2023"/>
      </sharedItems>
    </cacheField>
    <cacheField name="Periodo" numFmtId="0">
      <sharedItems containsBlank="1" count="3">
        <s v="1ª Semestre"/>
        <s v="2ª Semestre"/>
        <m u="1"/>
      </sharedItems>
    </cacheField>
  </cacheFields>
  <extLst>
    <ext xmlns:x14="http://schemas.microsoft.com/office/spreadsheetml/2009/9/main" uri="{725AE2AE-9491-48be-B2B4-4EB974FC3084}">
      <x14:pivotCacheDefinition pivotCacheId="20823171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0">
  <r>
    <x v="0"/>
    <n v="0"/>
    <n v="0"/>
    <x v="0"/>
    <s v="fevereiro"/>
    <x v="0"/>
    <x v="0"/>
  </r>
  <r>
    <x v="1"/>
    <n v="0"/>
    <n v="0"/>
    <x v="0"/>
    <s v="fevereiro"/>
    <x v="0"/>
    <x v="0"/>
  </r>
  <r>
    <x v="2"/>
    <n v="0"/>
    <n v="0"/>
    <x v="0"/>
    <s v="fevereiro"/>
    <x v="0"/>
    <x v="0"/>
  </r>
  <r>
    <x v="3"/>
    <n v="0"/>
    <n v="0"/>
    <x v="0"/>
    <s v="fevereiro"/>
    <x v="0"/>
    <x v="0"/>
  </r>
  <r>
    <x v="4"/>
    <n v="0"/>
    <n v="0"/>
    <x v="0"/>
    <s v="fevereiro"/>
    <x v="0"/>
    <x v="0"/>
  </r>
  <r>
    <x v="5"/>
    <n v="0"/>
    <n v="0"/>
    <x v="0"/>
    <s v="fevereiro"/>
    <x v="0"/>
    <x v="0"/>
  </r>
  <r>
    <x v="6"/>
    <n v="4"/>
    <n v="0.5714285714285714"/>
    <x v="0"/>
    <s v="fevereiro"/>
    <x v="0"/>
    <x v="0"/>
  </r>
  <r>
    <x v="7"/>
    <n v="0"/>
    <n v="0"/>
    <x v="0"/>
    <s v="fevereiro"/>
    <x v="0"/>
    <x v="0"/>
  </r>
  <r>
    <x v="8"/>
    <n v="3"/>
    <n v="0.42857142857142855"/>
    <x v="0"/>
    <s v="fevereiro"/>
    <x v="0"/>
    <x v="0"/>
  </r>
  <r>
    <x v="9"/>
    <n v="0"/>
    <n v="0"/>
    <x v="0"/>
    <s v="fevereiro"/>
    <x v="0"/>
    <x v="0"/>
  </r>
  <r>
    <x v="0"/>
    <n v="0"/>
    <n v="0"/>
    <x v="1"/>
    <s v="fevereiro"/>
    <x v="0"/>
    <x v="0"/>
  </r>
  <r>
    <x v="1"/>
    <n v="4"/>
    <n v="0.25"/>
    <x v="1"/>
    <s v="fevereiro"/>
    <x v="0"/>
    <x v="0"/>
  </r>
  <r>
    <x v="2"/>
    <n v="0"/>
    <n v="0"/>
    <x v="1"/>
    <s v="fevereiro"/>
    <x v="0"/>
    <x v="0"/>
  </r>
  <r>
    <x v="3"/>
    <n v="0"/>
    <n v="0"/>
    <x v="1"/>
    <s v="fevereiro"/>
    <x v="0"/>
    <x v="0"/>
  </r>
  <r>
    <x v="4"/>
    <n v="0"/>
    <n v="0"/>
    <x v="1"/>
    <s v="fevereiro"/>
    <x v="0"/>
    <x v="0"/>
  </r>
  <r>
    <x v="10"/>
    <n v="5"/>
    <n v="0.3125"/>
    <x v="1"/>
    <s v="fevereiro"/>
    <x v="0"/>
    <x v="0"/>
  </r>
  <r>
    <x v="6"/>
    <n v="1"/>
    <n v="6.25E-2"/>
    <x v="1"/>
    <s v="fevereiro"/>
    <x v="0"/>
    <x v="0"/>
  </r>
  <r>
    <x v="7"/>
    <n v="1"/>
    <n v="6.25E-2"/>
    <x v="1"/>
    <s v="fevereiro"/>
    <x v="0"/>
    <x v="0"/>
  </r>
  <r>
    <x v="8"/>
    <n v="4"/>
    <n v="0.25"/>
    <x v="1"/>
    <s v="fevereiro"/>
    <x v="0"/>
    <x v="0"/>
  </r>
  <r>
    <x v="9"/>
    <n v="1"/>
    <n v="6.25E-2"/>
    <x v="1"/>
    <s v="fevereiro"/>
    <x v="0"/>
    <x v="0"/>
  </r>
  <r>
    <x v="0"/>
    <n v="5"/>
    <n v="0.26315789473684209"/>
    <x v="2"/>
    <s v="março"/>
    <x v="0"/>
    <x v="0"/>
  </r>
  <r>
    <x v="1"/>
    <n v="2"/>
    <n v="0.10526315789473684"/>
    <x v="2"/>
    <s v="março"/>
    <x v="0"/>
    <x v="0"/>
  </r>
  <r>
    <x v="2"/>
    <n v="1"/>
    <n v="5.2631578947368418E-2"/>
    <x v="2"/>
    <s v="março"/>
    <x v="0"/>
    <x v="0"/>
  </r>
  <r>
    <x v="3"/>
    <n v="0"/>
    <n v="0"/>
    <x v="2"/>
    <s v="março"/>
    <x v="0"/>
    <x v="0"/>
  </r>
  <r>
    <x v="4"/>
    <n v="0"/>
    <n v="0"/>
    <x v="2"/>
    <s v="março"/>
    <x v="0"/>
    <x v="0"/>
  </r>
  <r>
    <x v="10"/>
    <n v="2"/>
    <n v="0.10526315789473684"/>
    <x v="2"/>
    <s v="março"/>
    <x v="0"/>
    <x v="0"/>
  </r>
  <r>
    <x v="6"/>
    <n v="1"/>
    <n v="5.2631578947368418E-2"/>
    <x v="2"/>
    <s v="março"/>
    <x v="0"/>
    <x v="0"/>
  </r>
  <r>
    <x v="11"/>
    <n v="0"/>
    <n v="0"/>
    <x v="2"/>
    <s v="março"/>
    <x v="0"/>
    <x v="0"/>
  </r>
  <r>
    <x v="8"/>
    <n v="2"/>
    <n v="0.10526315789473684"/>
    <x v="2"/>
    <s v="março"/>
    <x v="0"/>
    <x v="0"/>
  </r>
  <r>
    <x v="9"/>
    <n v="5"/>
    <n v="0.26315789473684209"/>
    <x v="2"/>
    <s v="março"/>
    <x v="0"/>
    <x v="0"/>
  </r>
  <r>
    <x v="12"/>
    <n v="1"/>
    <n v="5.2631578947368418E-2"/>
    <x v="2"/>
    <s v="março"/>
    <x v="0"/>
    <x v="0"/>
  </r>
  <r>
    <x v="0"/>
    <n v="3"/>
    <n v="0.375"/>
    <x v="3"/>
    <s v="março"/>
    <x v="0"/>
    <x v="0"/>
  </r>
  <r>
    <x v="1"/>
    <n v="1"/>
    <n v="0.125"/>
    <x v="3"/>
    <s v="março"/>
    <x v="0"/>
    <x v="0"/>
  </r>
  <r>
    <x v="2"/>
    <n v="0"/>
    <n v="0"/>
    <x v="3"/>
    <s v="março"/>
    <x v="0"/>
    <x v="0"/>
  </r>
  <r>
    <x v="3"/>
    <n v="0"/>
    <n v="0"/>
    <x v="3"/>
    <s v="março"/>
    <x v="0"/>
    <x v="0"/>
  </r>
  <r>
    <x v="4"/>
    <n v="0"/>
    <n v="0"/>
    <x v="3"/>
    <s v="março"/>
    <x v="0"/>
    <x v="0"/>
  </r>
  <r>
    <x v="10"/>
    <n v="1"/>
    <n v="0.125"/>
    <x v="3"/>
    <s v="março"/>
    <x v="0"/>
    <x v="0"/>
  </r>
  <r>
    <x v="6"/>
    <n v="0"/>
    <n v="0"/>
    <x v="3"/>
    <s v="março"/>
    <x v="0"/>
    <x v="0"/>
  </r>
  <r>
    <x v="11"/>
    <n v="0"/>
    <n v="0"/>
    <x v="3"/>
    <s v="março"/>
    <x v="0"/>
    <x v="0"/>
  </r>
  <r>
    <x v="8"/>
    <n v="2"/>
    <n v="0.25"/>
    <x v="3"/>
    <s v="março"/>
    <x v="0"/>
    <x v="0"/>
  </r>
  <r>
    <x v="9"/>
    <n v="1"/>
    <n v="0.125"/>
    <x v="3"/>
    <s v="março"/>
    <x v="0"/>
    <x v="0"/>
  </r>
  <r>
    <x v="12"/>
    <n v="0"/>
    <n v="0"/>
    <x v="3"/>
    <s v="março"/>
    <x v="0"/>
    <x v="0"/>
  </r>
  <r>
    <x v="0"/>
    <n v="3"/>
    <n v="0.27272727272727271"/>
    <x v="4"/>
    <s v="março"/>
    <x v="0"/>
    <x v="0"/>
  </r>
  <r>
    <x v="1"/>
    <n v="0"/>
    <n v="0"/>
    <x v="4"/>
    <s v="março"/>
    <x v="0"/>
    <x v="0"/>
  </r>
  <r>
    <x v="2"/>
    <n v="1"/>
    <n v="9.0909090909090912E-2"/>
    <x v="4"/>
    <s v="março"/>
    <x v="0"/>
    <x v="0"/>
  </r>
  <r>
    <x v="3"/>
    <n v="0"/>
    <n v="0"/>
    <x v="4"/>
    <s v="março"/>
    <x v="0"/>
    <x v="0"/>
  </r>
  <r>
    <x v="4"/>
    <n v="0"/>
    <n v="0"/>
    <x v="4"/>
    <s v="março"/>
    <x v="0"/>
    <x v="0"/>
  </r>
  <r>
    <x v="10"/>
    <n v="1"/>
    <n v="9.0909090909090912E-2"/>
    <x v="4"/>
    <s v="março"/>
    <x v="0"/>
    <x v="0"/>
  </r>
  <r>
    <x v="6"/>
    <n v="0"/>
    <n v="0"/>
    <x v="4"/>
    <s v="março"/>
    <x v="0"/>
    <x v="0"/>
  </r>
  <r>
    <x v="11"/>
    <n v="3"/>
    <n v="0.27272727272727271"/>
    <x v="4"/>
    <s v="março"/>
    <x v="0"/>
    <x v="0"/>
  </r>
  <r>
    <x v="8"/>
    <n v="1"/>
    <n v="9.0909090909090912E-2"/>
    <x v="4"/>
    <s v="março"/>
    <x v="0"/>
    <x v="0"/>
  </r>
  <r>
    <x v="9"/>
    <n v="2"/>
    <n v="0.18181818181818182"/>
    <x v="4"/>
    <s v="março"/>
    <x v="0"/>
    <x v="0"/>
  </r>
  <r>
    <x v="12"/>
    <n v="0"/>
    <n v="0"/>
    <x v="4"/>
    <s v="março"/>
    <x v="0"/>
    <x v="0"/>
  </r>
  <r>
    <x v="0"/>
    <n v="3"/>
    <n v="0.5"/>
    <x v="5"/>
    <s v="março"/>
    <x v="0"/>
    <x v="0"/>
  </r>
  <r>
    <x v="1"/>
    <n v="0"/>
    <n v="0"/>
    <x v="5"/>
    <s v="março"/>
    <x v="0"/>
    <x v="0"/>
  </r>
  <r>
    <x v="2"/>
    <n v="0"/>
    <n v="0"/>
    <x v="5"/>
    <s v="março"/>
    <x v="0"/>
    <x v="0"/>
  </r>
  <r>
    <x v="3"/>
    <n v="0"/>
    <n v="0"/>
    <x v="5"/>
    <s v="março"/>
    <x v="0"/>
    <x v="0"/>
  </r>
  <r>
    <x v="4"/>
    <n v="0"/>
    <n v="0"/>
    <x v="5"/>
    <s v="março"/>
    <x v="0"/>
    <x v="0"/>
  </r>
  <r>
    <x v="10"/>
    <n v="0"/>
    <n v="0"/>
    <x v="5"/>
    <s v="março"/>
    <x v="0"/>
    <x v="0"/>
  </r>
  <r>
    <x v="6"/>
    <n v="0"/>
    <n v="0"/>
    <x v="5"/>
    <s v="março"/>
    <x v="0"/>
    <x v="0"/>
  </r>
  <r>
    <x v="11"/>
    <n v="0"/>
    <n v="0"/>
    <x v="5"/>
    <s v="março"/>
    <x v="0"/>
    <x v="0"/>
  </r>
  <r>
    <x v="8"/>
    <n v="0"/>
    <n v="0"/>
    <x v="5"/>
    <s v="março"/>
    <x v="0"/>
    <x v="0"/>
  </r>
  <r>
    <x v="9"/>
    <n v="3"/>
    <n v="0.5"/>
    <x v="5"/>
    <s v="março"/>
    <x v="0"/>
    <x v="0"/>
  </r>
  <r>
    <x v="12"/>
    <n v="0"/>
    <n v="0"/>
    <x v="5"/>
    <s v="março"/>
    <x v="0"/>
    <x v="0"/>
  </r>
  <r>
    <x v="0"/>
    <n v="1"/>
    <n v="0.16666666666666666"/>
    <x v="6"/>
    <s v="abril"/>
    <x v="0"/>
    <x v="0"/>
  </r>
  <r>
    <x v="1"/>
    <n v="3"/>
    <n v="0.5"/>
    <x v="6"/>
    <s v="abril"/>
    <x v="0"/>
    <x v="0"/>
  </r>
  <r>
    <x v="2"/>
    <n v="0"/>
    <n v="0"/>
    <x v="6"/>
    <s v="abril"/>
    <x v="0"/>
    <x v="0"/>
  </r>
  <r>
    <x v="3"/>
    <n v="0"/>
    <n v="0"/>
    <x v="6"/>
    <s v="abril"/>
    <x v="0"/>
    <x v="0"/>
  </r>
  <r>
    <x v="4"/>
    <n v="1"/>
    <n v="0.16666666666666666"/>
    <x v="6"/>
    <s v="abril"/>
    <x v="0"/>
    <x v="0"/>
  </r>
  <r>
    <x v="10"/>
    <n v="0"/>
    <n v="0"/>
    <x v="6"/>
    <s v="abril"/>
    <x v="0"/>
    <x v="0"/>
  </r>
  <r>
    <x v="6"/>
    <n v="0"/>
    <n v="0"/>
    <x v="6"/>
    <s v="abril"/>
    <x v="0"/>
    <x v="0"/>
  </r>
  <r>
    <x v="11"/>
    <n v="0"/>
    <n v="0"/>
    <x v="6"/>
    <s v="abril"/>
    <x v="0"/>
    <x v="0"/>
  </r>
  <r>
    <x v="8"/>
    <n v="1"/>
    <n v="0.16666666666666666"/>
    <x v="6"/>
    <s v="abril"/>
    <x v="0"/>
    <x v="0"/>
  </r>
  <r>
    <x v="9"/>
    <n v="0"/>
    <n v="0"/>
    <x v="6"/>
    <s v="abril"/>
    <x v="0"/>
    <x v="0"/>
  </r>
  <r>
    <x v="12"/>
    <n v="0"/>
    <n v="0"/>
    <x v="6"/>
    <s v="abril"/>
    <x v="0"/>
    <x v="0"/>
  </r>
  <r>
    <x v="0"/>
    <n v="2"/>
    <n v="0.66666666666666663"/>
    <x v="7"/>
    <s v="abril"/>
    <x v="0"/>
    <x v="0"/>
  </r>
  <r>
    <x v="1"/>
    <n v="1"/>
    <n v="0.33333333333333331"/>
    <x v="7"/>
    <s v="abril"/>
    <x v="0"/>
    <x v="0"/>
  </r>
  <r>
    <x v="2"/>
    <n v="0"/>
    <n v="0"/>
    <x v="7"/>
    <s v="abril"/>
    <x v="0"/>
    <x v="0"/>
  </r>
  <r>
    <x v="3"/>
    <n v="0"/>
    <n v="0"/>
    <x v="7"/>
    <s v="abril"/>
    <x v="0"/>
    <x v="0"/>
  </r>
  <r>
    <x v="4"/>
    <n v="0"/>
    <n v="0"/>
    <x v="7"/>
    <s v="abril"/>
    <x v="0"/>
    <x v="0"/>
  </r>
  <r>
    <x v="10"/>
    <n v="0"/>
    <n v="0"/>
    <x v="7"/>
    <s v="abril"/>
    <x v="0"/>
    <x v="0"/>
  </r>
  <r>
    <x v="6"/>
    <n v="0"/>
    <n v="0"/>
    <x v="7"/>
    <s v="abril"/>
    <x v="0"/>
    <x v="0"/>
  </r>
  <r>
    <x v="11"/>
    <n v="0"/>
    <n v="0"/>
    <x v="7"/>
    <s v="abril"/>
    <x v="0"/>
    <x v="0"/>
  </r>
  <r>
    <x v="8"/>
    <n v="0"/>
    <n v="0"/>
    <x v="7"/>
    <s v="abril"/>
    <x v="0"/>
    <x v="0"/>
  </r>
  <r>
    <x v="9"/>
    <n v="0"/>
    <n v="0"/>
    <x v="7"/>
    <s v="abril"/>
    <x v="0"/>
    <x v="0"/>
  </r>
  <r>
    <x v="12"/>
    <n v="0"/>
    <n v="0"/>
    <x v="7"/>
    <s v="abril"/>
    <x v="0"/>
    <x v="0"/>
  </r>
  <r>
    <x v="0"/>
    <n v="1"/>
    <n v="1"/>
    <x v="8"/>
    <s v="abril"/>
    <x v="0"/>
    <x v="0"/>
  </r>
  <r>
    <x v="1"/>
    <n v="0"/>
    <n v="0"/>
    <x v="8"/>
    <s v="abril"/>
    <x v="0"/>
    <x v="0"/>
  </r>
  <r>
    <x v="2"/>
    <n v="0"/>
    <n v="0"/>
    <x v="8"/>
    <s v="abril"/>
    <x v="0"/>
    <x v="0"/>
  </r>
  <r>
    <x v="3"/>
    <n v="0"/>
    <n v="0"/>
    <x v="8"/>
    <s v="abril"/>
    <x v="0"/>
    <x v="0"/>
  </r>
  <r>
    <x v="4"/>
    <n v="0"/>
    <n v="0"/>
    <x v="8"/>
    <s v="abril"/>
    <x v="0"/>
    <x v="0"/>
  </r>
  <r>
    <x v="10"/>
    <n v="0"/>
    <n v="0"/>
    <x v="8"/>
    <s v="abril"/>
    <x v="0"/>
    <x v="0"/>
  </r>
  <r>
    <x v="6"/>
    <n v="0"/>
    <n v="0"/>
    <x v="8"/>
    <s v="abril"/>
    <x v="0"/>
    <x v="0"/>
  </r>
  <r>
    <x v="11"/>
    <n v="0"/>
    <n v="0"/>
    <x v="8"/>
    <s v="abril"/>
    <x v="0"/>
    <x v="0"/>
  </r>
  <r>
    <x v="8"/>
    <n v="0"/>
    <n v="0"/>
    <x v="8"/>
    <s v="abril"/>
    <x v="0"/>
    <x v="0"/>
  </r>
  <r>
    <x v="9"/>
    <n v="0"/>
    <n v="0"/>
    <x v="8"/>
    <s v="abril"/>
    <x v="0"/>
    <x v="0"/>
  </r>
  <r>
    <x v="12"/>
    <n v="0"/>
    <n v="0"/>
    <x v="8"/>
    <s v="abril"/>
    <x v="0"/>
    <x v="0"/>
  </r>
  <r>
    <x v="0"/>
    <n v="3"/>
    <n v="0.6"/>
    <x v="9"/>
    <s v="abril"/>
    <x v="0"/>
    <x v="0"/>
  </r>
  <r>
    <x v="1"/>
    <n v="1"/>
    <n v="0.2"/>
    <x v="9"/>
    <s v="abril"/>
    <x v="0"/>
    <x v="0"/>
  </r>
  <r>
    <x v="2"/>
    <n v="0"/>
    <n v="0"/>
    <x v="9"/>
    <s v="abril"/>
    <x v="0"/>
    <x v="0"/>
  </r>
  <r>
    <x v="3"/>
    <n v="0"/>
    <n v="0"/>
    <x v="9"/>
    <s v="abril"/>
    <x v="0"/>
    <x v="0"/>
  </r>
  <r>
    <x v="4"/>
    <n v="0"/>
    <n v="0"/>
    <x v="9"/>
    <s v="abril"/>
    <x v="0"/>
    <x v="0"/>
  </r>
  <r>
    <x v="10"/>
    <n v="0"/>
    <n v="0"/>
    <x v="9"/>
    <s v="abril"/>
    <x v="0"/>
    <x v="0"/>
  </r>
  <r>
    <x v="6"/>
    <n v="1"/>
    <n v="0.2"/>
    <x v="9"/>
    <s v="abril"/>
    <x v="0"/>
    <x v="0"/>
  </r>
  <r>
    <x v="11"/>
    <n v="0"/>
    <n v="0"/>
    <x v="9"/>
    <s v="abril"/>
    <x v="0"/>
    <x v="0"/>
  </r>
  <r>
    <x v="8"/>
    <n v="0"/>
    <n v="0"/>
    <x v="9"/>
    <s v="abril"/>
    <x v="0"/>
    <x v="0"/>
  </r>
  <r>
    <x v="9"/>
    <n v="0"/>
    <n v="0"/>
    <x v="9"/>
    <s v="abril"/>
    <x v="0"/>
    <x v="0"/>
  </r>
  <r>
    <x v="12"/>
    <n v="0"/>
    <n v="0"/>
    <x v="9"/>
    <s v="abril"/>
    <x v="0"/>
    <x v="0"/>
  </r>
  <r>
    <x v="13"/>
    <n v="3"/>
    <n v="0.6"/>
    <x v="9"/>
    <s v="abril"/>
    <x v="0"/>
    <x v="0"/>
  </r>
  <r>
    <x v="0"/>
    <n v="3"/>
    <n v="0.17647058823529413"/>
    <x v="10"/>
    <s v="maio"/>
    <x v="0"/>
    <x v="0"/>
  </r>
  <r>
    <x v="1"/>
    <n v="0"/>
    <n v="0"/>
    <x v="10"/>
    <s v="maio"/>
    <x v="0"/>
    <x v="0"/>
  </r>
  <r>
    <x v="2"/>
    <n v="1"/>
    <n v="5.8823529411764705E-2"/>
    <x v="10"/>
    <s v="maio"/>
    <x v="0"/>
    <x v="0"/>
  </r>
  <r>
    <x v="3"/>
    <n v="0"/>
    <n v="0"/>
    <x v="10"/>
    <s v="maio"/>
    <x v="0"/>
    <x v="0"/>
  </r>
  <r>
    <x v="4"/>
    <n v="0"/>
    <n v="0"/>
    <x v="10"/>
    <s v="maio"/>
    <x v="0"/>
    <x v="0"/>
  </r>
  <r>
    <x v="10"/>
    <n v="0"/>
    <n v="0"/>
    <x v="10"/>
    <s v="maio"/>
    <x v="0"/>
    <x v="0"/>
  </r>
  <r>
    <x v="6"/>
    <n v="3"/>
    <n v="0.17647058823529413"/>
    <x v="10"/>
    <s v="maio"/>
    <x v="0"/>
    <x v="0"/>
  </r>
  <r>
    <x v="11"/>
    <n v="1"/>
    <n v="5.8823529411764705E-2"/>
    <x v="10"/>
    <s v="maio"/>
    <x v="0"/>
    <x v="0"/>
  </r>
  <r>
    <x v="8"/>
    <n v="0"/>
    <n v="0"/>
    <x v="10"/>
    <s v="maio"/>
    <x v="0"/>
    <x v="0"/>
  </r>
  <r>
    <x v="9"/>
    <n v="0"/>
    <n v="0"/>
    <x v="10"/>
    <s v="maio"/>
    <x v="0"/>
    <x v="0"/>
  </r>
  <r>
    <x v="12"/>
    <n v="0"/>
    <n v="0"/>
    <x v="10"/>
    <s v="maio"/>
    <x v="0"/>
    <x v="0"/>
  </r>
  <r>
    <x v="13"/>
    <n v="9"/>
    <n v="0.52941176470588236"/>
    <x v="10"/>
    <s v="maio"/>
    <x v="0"/>
    <x v="0"/>
  </r>
  <r>
    <x v="0"/>
    <n v="3"/>
    <n v="0.27272727272727271"/>
    <x v="11"/>
    <s v="maio"/>
    <x v="0"/>
    <x v="0"/>
  </r>
  <r>
    <x v="1"/>
    <n v="0"/>
    <n v="0"/>
    <x v="11"/>
    <s v="maio"/>
    <x v="0"/>
    <x v="0"/>
  </r>
  <r>
    <x v="2"/>
    <n v="0"/>
    <n v="0"/>
    <x v="11"/>
    <s v="maio"/>
    <x v="0"/>
    <x v="0"/>
  </r>
  <r>
    <x v="3"/>
    <n v="0"/>
    <n v="0"/>
    <x v="11"/>
    <s v="maio"/>
    <x v="0"/>
    <x v="0"/>
  </r>
  <r>
    <x v="4"/>
    <n v="0"/>
    <n v="0"/>
    <x v="11"/>
    <s v="maio"/>
    <x v="0"/>
    <x v="0"/>
  </r>
  <r>
    <x v="10"/>
    <n v="0"/>
    <n v="0"/>
    <x v="11"/>
    <s v="maio"/>
    <x v="0"/>
    <x v="0"/>
  </r>
  <r>
    <x v="6"/>
    <n v="0"/>
    <n v="0"/>
    <x v="11"/>
    <s v="maio"/>
    <x v="0"/>
    <x v="0"/>
  </r>
  <r>
    <x v="11"/>
    <n v="0"/>
    <n v="0"/>
    <x v="11"/>
    <s v="maio"/>
    <x v="0"/>
    <x v="0"/>
  </r>
  <r>
    <x v="8"/>
    <n v="1"/>
    <n v="9.0909090909090912E-2"/>
    <x v="11"/>
    <s v="maio"/>
    <x v="0"/>
    <x v="0"/>
  </r>
  <r>
    <x v="9"/>
    <n v="0"/>
    <n v="0"/>
    <x v="11"/>
    <s v="maio"/>
    <x v="0"/>
    <x v="0"/>
  </r>
  <r>
    <x v="12"/>
    <n v="0"/>
    <n v="0"/>
    <x v="11"/>
    <s v="maio"/>
    <x v="0"/>
    <x v="0"/>
  </r>
  <r>
    <x v="13"/>
    <n v="7"/>
    <n v="0.63636363636363635"/>
    <x v="11"/>
    <s v="maio"/>
    <x v="0"/>
    <x v="0"/>
  </r>
  <r>
    <x v="0"/>
    <n v="4"/>
    <n v="0.4"/>
    <x v="12"/>
    <s v="maio"/>
    <x v="0"/>
    <x v="0"/>
  </r>
  <r>
    <x v="1"/>
    <n v="1"/>
    <n v="0.1"/>
    <x v="12"/>
    <s v="maio"/>
    <x v="0"/>
    <x v="0"/>
  </r>
  <r>
    <x v="2"/>
    <n v="1"/>
    <n v="0.1"/>
    <x v="12"/>
    <s v="maio"/>
    <x v="0"/>
    <x v="0"/>
  </r>
  <r>
    <x v="3"/>
    <n v="0"/>
    <n v="0"/>
    <x v="12"/>
    <s v="maio"/>
    <x v="0"/>
    <x v="0"/>
  </r>
  <r>
    <x v="4"/>
    <n v="0"/>
    <n v="0"/>
    <x v="12"/>
    <s v="maio"/>
    <x v="0"/>
    <x v="0"/>
  </r>
  <r>
    <x v="10"/>
    <n v="0"/>
    <n v="0"/>
    <x v="12"/>
    <s v="maio"/>
    <x v="0"/>
    <x v="0"/>
  </r>
  <r>
    <x v="6"/>
    <n v="0"/>
    <n v="0"/>
    <x v="12"/>
    <s v="maio"/>
    <x v="0"/>
    <x v="0"/>
  </r>
  <r>
    <x v="11"/>
    <n v="0"/>
    <n v="0"/>
    <x v="12"/>
    <s v="maio"/>
    <x v="0"/>
    <x v="0"/>
  </r>
  <r>
    <x v="8"/>
    <n v="3"/>
    <n v="0.3"/>
    <x v="12"/>
    <s v="maio"/>
    <x v="0"/>
    <x v="0"/>
  </r>
  <r>
    <x v="9"/>
    <n v="0"/>
    <n v="0"/>
    <x v="12"/>
    <s v="maio"/>
    <x v="0"/>
    <x v="0"/>
  </r>
  <r>
    <x v="12"/>
    <n v="0"/>
    <n v="0"/>
    <x v="12"/>
    <s v="maio"/>
    <x v="0"/>
    <x v="0"/>
  </r>
  <r>
    <x v="13"/>
    <n v="0"/>
    <n v="0"/>
    <x v="12"/>
    <s v="maio"/>
    <x v="0"/>
    <x v="0"/>
  </r>
  <r>
    <x v="14"/>
    <n v="1"/>
    <n v="0.1"/>
    <x v="12"/>
    <s v="maio"/>
    <x v="0"/>
    <x v="0"/>
  </r>
  <r>
    <x v="0"/>
    <n v="2"/>
    <n v="0.33333333333333331"/>
    <x v="13"/>
    <s v="maio"/>
    <x v="0"/>
    <x v="0"/>
  </r>
  <r>
    <x v="1"/>
    <n v="0"/>
    <n v="0"/>
    <x v="13"/>
    <s v="maio"/>
    <x v="0"/>
    <x v="0"/>
  </r>
  <r>
    <x v="2"/>
    <n v="0"/>
    <n v="0"/>
    <x v="13"/>
    <s v="maio"/>
    <x v="0"/>
    <x v="0"/>
  </r>
  <r>
    <x v="3"/>
    <n v="0"/>
    <n v="0"/>
    <x v="13"/>
    <s v="maio"/>
    <x v="0"/>
    <x v="0"/>
  </r>
  <r>
    <x v="4"/>
    <n v="0"/>
    <n v="0"/>
    <x v="13"/>
    <s v="maio"/>
    <x v="0"/>
    <x v="0"/>
  </r>
  <r>
    <x v="10"/>
    <n v="0"/>
    <n v="0"/>
    <x v="13"/>
    <s v="maio"/>
    <x v="0"/>
    <x v="0"/>
  </r>
  <r>
    <x v="6"/>
    <n v="0"/>
    <n v="0"/>
    <x v="13"/>
    <s v="maio"/>
    <x v="0"/>
    <x v="0"/>
  </r>
  <r>
    <x v="11"/>
    <n v="0"/>
    <n v="0"/>
    <x v="13"/>
    <s v="maio"/>
    <x v="0"/>
    <x v="0"/>
  </r>
  <r>
    <x v="8"/>
    <n v="2"/>
    <n v="0.33333333333333331"/>
    <x v="13"/>
    <s v="maio"/>
    <x v="0"/>
    <x v="0"/>
  </r>
  <r>
    <x v="9"/>
    <n v="2"/>
    <n v="0.33333333333333331"/>
    <x v="13"/>
    <s v="maio"/>
    <x v="0"/>
    <x v="0"/>
  </r>
  <r>
    <x v="12"/>
    <n v="0"/>
    <n v="0"/>
    <x v="13"/>
    <s v="maio"/>
    <x v="0"/>
    <x v="0"/>
  </r>
  <r>
    <x v="13"/>
    <n v="0"/>
    <n v="0"/>
    <x v="13"/>
    <s v="maio"/>
    <x v="0"/>
    <x v="0"/>
  </r>
  <r>
    <x v="14"/>
    <n v="0"/>
    <n v="0"/>
    <x v="13"/>
    <s v="maio"/>
    <x v="0"/>
    <x v="0"/>
  </r>
  <r>
    <x v="0"/>
    <n v="2"/>
    <n v="0.4"/>
    <x v="14"/>
    <s v="junho"/>
    <x v="0"/>
    <x v="0"/>
  </r>
  <r>
    <x v="1"/>
    <n v="0"/>
    <n v="0"/>
    <x v="14"/>
    <s v="junho"/>
    <x v="0"/>
    <x v="0"/>
  </r>
  <r>
    <x v="2"/>
    <n v="1"/>
    <n v="0.2"/>
    <x v="14"/>
    <s v="junho"/>
    <x v="0"/>
    <x v="0"/>
  </r>
  <r>
    <x v="3"/>
    <n v="0"/>
    <n v="0"/>
    <x v="14"/>
    <s v="junho"/>
    <x v="0"/>
    <x v="0"/>
  </r>
  <r>
    <x v="4"/>
    <n v="0"/>
    <n v="0"/>
    <x v="14"/>
    <s v="junho"/>
    <x v="0"/>
    <x v="0"/>
  </r>
  <r>
    <x v="10"/>
    <n v="0"/>
    <n v="0"/>
    <x v="14"/>
    <s v="junho"/>
    <x v="0"/>
    <x v="0"/>
  </r>
  <r>
    <x v="6"/>
    <n v="1"/>
    <n v="0.2"/>
    <x v="14"/>
    <s v="junho"/>
    <x v="0"/>
    <x v="0"/>
  </r>
  <r>
    <x v="11"/>
    <n v="0"/>
    <n v="0"/>
    <x v="14"/>
    <s v="junho"/>
    <x v="0"/>
    <x v="0"/>
  </r>
  <r>
    <x v="8"/>
    <n v="0"/>
    <n v="0"/>
    <x v="14"/>
    <s v="junho"/>
    <x v="0"/>
    <x v="0"/>
  </r>
  <r>
    <x v="9"/>
    <n v="0"/>
    <n v="0"/>
    <x v="14"/>
    <s v="junho"/>
    <x v="0"/>
    <x v="0"/>
  </r>
  <r>
    <x v="12"/>
    <n v="1"/>
    <n v="0.2"/>
    <x v="14"/>
    <s v="junho"/>
    <x v="0"/>
    <x v="0"/>
  </r>
  <r>
    <x v="13"/>
    <n v="0"/>
    <n v="0"/>
    <x v="14"/>
    <s v="junho"/>
    <x v="0"/>
    <x v="0"/>
  </r>
  <r>
    <x v="14"/>
    <n v="0"/>
    <n v="0"/>
    <x v="14"/>
    <s v="junho"/>
    <x v="0"/>
    <x v="0"/>
  </r>
  <r>
    <x v="0"/>
    <n v="4"/>
    <n v="0.5"/>
    <x v="15"/>
    <s v="junho"/>
    <x v="0"/>
    <x v="0"/>
  </r>
  <r>
    <x v="1"/>
    <n v="0"/>
    <n v="0"/>
    <x v="15"/>
    <s v="junho"/>
    <x v="0"/>
    <x v="0"/>
  </r>
  <r>
    <x v="2"/>
    <n v="3"/>
    <n v="0.375"/>
    <x v="15"/>
    <s v="junho"/>
    <x v="0"/>
    <x v="0"/>
  </r>
  <r>
    <x v="3"/>
    <n v="0"/>
    <n v="0"/>
    <x v="15"/>
    <s v="junho"/>
    <x v="0"/>
    <x v="0"/>
  </r>
  <r>
    <x v="4"/>
    <n v="0"/>
    <n v="0"/>
    <x v="15"/>
    <s v="junho"/>
    <x v="0"/>
    <x v="0"/>
  </r>
  <r>
    <x v="10"/>
    <n v="0"/>
    <n v="0"/>
    <x v="15"/>
    <s v="junho"/>
    <x v="0"/>
    <x v="0"/>
  </r>
  <r>
    <x v="6"/>
    <n v="0"/>
    <n v="0"/>
    <x v="15"/>
    <s v="junho"/>
    <x v="0"/>
    <x v="0"/>
  </r>
  <r>
    <x v="11"/>
    <n v="0"/>
    <n v="0"/>
    <x v="15"/>
    <s v="junho"/>
    <x v="0"/>
    <x v="0"/>
  </r>
  <r>
    <x v="8"/>
    <n v="1"/>
    <n v="0.125"/>
    <x v="15"/>
    <s v="junho"/>
    <x v="0"/>
    <x v="0"/>
  </r>
  <r>
    <x v="9"/>
    <n v="0"/>
    <n v="0"/>
    <x v="15"/>
    <s v="junho"/>
    <x v="0"/>
    <x v="0"/>
  </r>
  <r>
    <x v="12"/>
    <n v="0"/>
    <n v="0"/>
    <x v="15"/>
    <s v="junho"/>
    <x v="0"/>
    <x v="0"/>
  </r>
  <r>
    <x v="13"/>
    <n v="0"/>
    <n v="0"/>
    <x v="15"/>
    <s v="junho"/>
    <x v="0"/>
    <x v="0"/>
  </r>
  <r>
    <x v="14"/>
    <n v="0"/>
    <n v="0"/>
    <x v="15"/>
    <s v="junho"/>
    <x v="0"/>
    <x v="0"/>
  </r>
  <r>
    <x v="0"/>
    <n v="0"/>
    <n v="0"/>
    <x v="16"/>
    <s v="junho"/>
    <x v="0"/>
    <x v="0"/>
  </r>
  <r>
    <x v="1"/>
    <n v="0"/>
    <n v="0"/>
    <x v="16"/>
    <s v="junho"/>
    <x v="0"/>
    <x v="0"/>
  </r>
  <r>
    <x v="2"/>
    <n v="2"/>
    <n v="0.66666666666666663"/>
    <x v="16"/>
    <s v="junho"/>
    <x v="0"/>
    <x v="0"/>
  </r>
  <r>
    <x v="3"/>
    <n v="1"/>
    <n v="0.33333333333333331"/>
    <x v="16"/>
    <s v="junho"/>
    <x v="0"/>
    <x v="0"/>
  </r>
  <r>
    <x v="4"/>
    <n v="0"/>
    <n v="0"/>
    <x v="16"/>
    <s v="junho"/>
    <x v="0"/>
    <x v="0"/>
  </r>
  <r>
    <x v="10"/>
    <n v="0"/>
    <n v="0"/>
    <x v="16"/>
    <s v="junho"/>
    <x v="0"/>
    <x v="0"/>
  </r>
  <r>
    <x v="6"/>
    <n v="0"/>
    <n v="0"/>
    <x v="16"/>
    <s v="junho"/>
    <x v="0"/>
    <x v="0"/>
  </r>
  <r>
    <x v="11"/>
    <n v="0"/>
    <n v="0"/>
    <x v="16"/>
    <s v="junho"/>
    <x v="0"/>
    <x v="0"/>
  </r>
  <r>
    <x v="8"/>
    <n v="0"/>
    <n v="0"/>
    <x v="16"/>
    <s v="junho"/>
    <x v="0"/>
    <x v="0"/>
  </r>
  <r>
    <x v="9"/>
    <n v="0"/>
    <n v="0"/>
    <x v="16"/>
    <s v="junho"/>
    <x v="0"/>
    <x v="0"/>
  </r>
  <r>
    <x v="12"/>
    <n v="0"/>
    <n v="0"/>
    <x v="16"/>
    <s v="junho"/>
    <x v="0"/>
    <x v="0"/>
  </r>
  <r>
    <x v="13"/>
    <n v="0"/>
    <n v="0"/>
    <x v="16"/>
    <s v="junho"/>
    <x v="0"/>
    <x v="0"/>
  </r>
  <r>
    <x v="14"/>
    <n v="0"/>
    <n v="0"/>
    <x v="16"/>
    <s v="junho"/>
    <x v="0"/>
    <x v="0"/>
  </r>
  <r>
    <x v="0"/>
    <n v="4"/>
    <n v="0.5"/>
    <x v="17"/>
    <s v="junho"/>
    <x v="0"/>
    <x v="0"/>
  </r>
  <r>
    <x v="1"/>
    <n v="0"/>
    <n v="0"/>
    <x v="17"/>
    <s v="junho"/>
    <x v="0"/>
    <x v="0"/>
  </r>
  <r>
    <x v="2"/>
    <n v="1"/>
    <n v="0.125"/>
    <x v="17"/>
    <s v="junho"/>
    <x v="0"/>
    <x v="0"/>
  </r>
  <r>
    <x v="3"/>
    <n v="0"/>
    <n v="0"/>
    <x v="17"/>
    <s v="junho"/>
    <x v="0"/>
    <x v="0"/>
  </r>
  <r>
    <x v="4"/>
    <n v="0"/>
    <n v="0"/>
    <x v="17"/>
    <s v="junho"/>
    <x v="0"/>
    <x v="0"/>
  </r>
  <r>
    <x v="10"/>
    <n v="0"/>
    <n v="0"/>
    <x v="17"/>
    <s v="junho"/>
    <x v="0"/>
    <x v="0"/>
  </r>
  <r>
    <x v="6"/>
    <n v="0"/>
    <n v="0"/>
    <x v="17"/>
    <s v="junho"/>
    <x v="0"/>
    <x v="0"/>
  </r>
  <r>
    <x v="11"/>
    <n v="0"/>
    <n v="0"/>
    <x v="17"/>
    <s v="junho"/>
    <x v="0"/>
    <x v="0"/>
  </r>
  <r>
    <x v="8"/>
    <n v="0"/>
    <n v="0"/>
    <x v="17"/>
    <s v="junho"/>
    <x v="0"/>
    <x v="0"/>
  </r>
  <r>
    <x v="9"/>
    <n v="0"/>
    <n v="0"/>
    <x v="17"/>
    <s v="junho"/>
    <x v="0"/>
    <x v="0"/>
  </r>
  <r>
    <x v="12"/>
    <n v="0"/>
    <n v="0"/>
    <x v="17"/>
    <s v="junho"/>
    <x v="0"/>
    <x v="0"/>
  </r>
  <r>
    <x v="13"/>
    <n v="0"/>
    <n v="0"/>
    <x v="17"/>
    <s v="junho"/>
    <x v="0"/>
    <x v="0"/>
  </r>
  <r>
    <x v="14"/>
    <n v="3"/>
    <n v="0.375"/>
    <x v="17"/>
    <s v="junho"/>
    <x v="0"/>
    <x v="0"/>
  </r>
  <r>
    <x v="0"/>
    <n v="1"/>
    <n v="0.2"/>
    <x v="18"/>
    <s v="julho"/>
    <x v="0"/>
    <x v="1"/>
  </r>
  <r>
    <x v="1"/>
    <n v="0"/>
    <n v="0"/>
    <x v="18"/>
    <s v="julho"/>
    <x v="0"/>
    <x v="1"/>
  </r>
  <r>
    <x v="2"/>
    <n v="0"/>
    <n v="0"/>
    <x v="18"/>
    <s v="julho"/>
    <x v="0"/>
    <x v="1"/>
  </r>
  <r>
    <x v="3"/>
    <n v="1"/>
    <n v="0.2"/>
    <x v="18"/>
    <s v="julho"/>
    <x v="0"/>
    <x v="1"/>
  </r>
  <r>
    <x v="4"/>
    <n v="0"/>
    <n v="0"/>
    <x v="18"/>
    <s v="julho"/>
    <x v="0"/>
    <x v="1"/>
  </r>
  <r>
    <x v="10"/>
    <n v="0"/>
    <n v="0"/>
    <x v="18"/>
    <s v="julho"/>
    <x v="0"/>
    <x v="1"/>
  </r>
  <r>
    <x v="6"/>
    <n v="1"/>
    <n v="0.2"/>
    <x v="18"/>
    <s v="julho"/>
    <x v="0"/>
    <x v="1"/>
  </r>
  <r>
    <x v="11"/>
    <n v="0"/>
    <n v="0"/>
    <x v="18"/>
    <s v="julho"/>
    <x v="0"/>
    <x v="1"/>
  </r>
  <r>
    <x v="8"/>
    <n v="0"/>
    <n v="0"/>
    <x v="18"/>
    <s v="julho"/>
    <x v="0"/>
    <x v="1"/>
  </r>
  <r>
    <x v="9"/>
    <n v="1"/>
    <n v="0.2"/>
    <x v="18"/>
    <s v="julho"/>
    <x v="0"/>
    <x v="1"/>
  </r>
  <r>
    <x v="12"/>
    <n v="0"/>
    <n v="0"/>
    <x v="18"/>
    <s v="julho"/>
    <x v="0"/>
    <x v="1"/>
  </r>
  <r>
    <x v="13"/>
    <n v="0"/>
    <n v="0"/>
    <x v="18"/>
    <s v="julho"/>
    <x v="0"/>
    <x v="1"/>
  </r>
  <r>
    <x v="14"/>
    <n v="1"/>
    <n v="0.2"/>
    <x v="18"/>
    <s v="julho"/>
    <x v="0"/>
    <x v="1"/>
  </r>
  <r>
    <x v="0"/>
    <n v="3"/>
    <n v="0.2"/>
    <x v="19"/>
    <s v="julho"/>
    <x v="0"/>
    <x v="1"/>
  </r>
  <r>
    <x v="1"/>
    <n v="3"/>
    <n v="0.2"/>
    <x v="19"/>
    <s v="julho"/>
    <x v="0"/>
    <x v="1"/>
  </r>
  <r>
    <x v="2"/>
    <n v="1"/>
    <n v="6.6666666666666666E-2"/>
    <x v="19"/>
    <s v="julho"/>
    <x v="0"/>
    <x v="1"/>
  </r>
  <r>
    <x v="3"/>
    <n v="1"/>
    <n v="6.6666666666666666E-2"/>
    <x v="19"/>
    <s v="julho"/>
    <x v="0"/>
    <x v="1"/>
  </r>
  <r>
    <x v="4"/>
    <n v="4"/>
    <n v="0.26666666666666666"/>
    <x v="19"/>
    <s v="julho"/>
    <x v="0"/>
    <x v="1"/>
  </r>
  <r>
    <x v="10"/>
    <n v="3"/>
    <n v="0.2"/>
    <x v="19"/>
    <s v="julho"/>
    <x v="0"/>
    <x v="1"/>
  </r>
  <r>
    <x v="6"/>
    <n v="0"/>
    <n v="0"/>
    <x v="19"/>
    <s v="julho"/>
    <x v="0"/>
    <x v="1"/>
  </r>
  <r>
    <x v="11"/>
    <n v="0"/>
    <n v="0"/>
    <x v="19"/>
    <s v="julho"/>
    <x v="0"/>
    <x v="1"/>
  </r>
  <r>
    <x v="8"/>
    <n v="0"/>
    <n v="0"/>
    <x v="19"/>
    <s v="julho"/>
    <x v="0"/>
    <x v="1"/>
  </r>
  <r>
    <x v="9"/>
    <n v="0"/>
    <n v="0"/>
    <x v="19"/>
    <s v="julho"/>
    <x v="0"/>
    <x v="1"/>
  </r>
  <r>
    <x v="12"/>
    <n v="0"/>
    <n v="0"/>
    <x v="19"/>
    <s v="julho"/>
    <x v="0"/>
    <x v="1"/>
  </r>
  <r>
    <x v="13"/>
    <n v="0"/>
    <n v="0"/>
    <x v="19"/>
    <s v="julho"/>
    <x v="0"/>
    <x v="1"/>
  </r>
  <r>
    <x v="14"/>
    <n v="0"/>
    <n v="0"/>
    <x v="19"/>
    <s v="julho"/>
    <x v="0"/>
    <x v="1"/>
  </r>
  <r>
    <x v="0"/>
    <n v="1"/>
    <n v="0.14285714285714285"/>
    <x v="20"/>
    <s v="julho"/>
    <x v="0"/>
    <x v="1"/>
  </r>
  <r>
    <x v="1"/>
    <n v="1"/>
    <n v="0.14285714285714285"/>
    <x v="20"/>
    <s v="julho"/>
    <x v="0"/>
    <x v="1"/>
  </r>
  <r>
    <x v="2"/>
    <n v="1"/>
    <n v="0.14285714285714285"/>
    <x v="20"/>
    <s v="julho"/>
    <x v="0"/>
    <x v="1"/>
  </r>
  <r>
    <x v="3"/>
    <n v="0"/>
    <n v="0"/>
    <x v="20"/>
    <s v="julho"/>
    <x v="0"/>
    <x v="1"/>
  </r>
  <r>
    <x v="4"/>
    <n v="2"/>
    <n v="0.2857142857142857"/>
    <x v="20"/>
    <s v="julho"/>
    <x v="0"/>
    <x v="1"/>
  </r>
  <r>
    <x v="10"/>
    <n v="0"/>
    <n v="0"/>
    <x v="20"/>
    <s v="julho"/>
    <x v="0"/>
    <x v="1"/>
  </r>
  <r>
    <x v="6"/>
    <n v="0"/>
    <n v="0"/>
    <x v="20"/>
    <s v="julho"/>
    <x v="0"/>
    <x v="1"/>
  </r>
  <r>
    <x v="11"/>
    <n v="0"/>
    <n v="0"/>
    <x v="20"/>
    <s v="julho"/>
    <x v="0"/>
    <x v="1"/>
  </r>
  <r>
    <x v="8"/>
    <n v="0"/>
    <n v="0"/>
    <x v="20"/>
    <s v="julho"/>
    <x v="0"/>
    <x v="1"/>
  </r>
  <r>
    <x v="9"/>
    <n v="0"/>
    <n v="0"/>
    <x v="20"/>
    <s v="julho"/>
    <x v="0"/>
    <x v="1"/>
  </r>
  <r>
    <x v="12"/>
    <n v="2"/>
    <n v="0.2857142857142857"/>
    <x v="20"/>
    <s v="julho"/>
    <x v="0"/>
    <x v="1"/>
  </r>
  <r>
    <x v="13"/>
    <n v="0"/>
    <n v="0"/>
    <x v="20"/>
    <s v="julho"/>
    <x v="0"/>
    <x v="1"/>
  </r>
  <r>
    <x v="14"/>
    <n v="0"/>
    <n v="0"/>
    <x v="20"/>
    <s v="julho"/>
    <x v="0"/>
    <x v="1"/>
  </r>
  <r>
    <x v="15"/>
    <n v="0"/>
    <n v="0"/>
    <x v="20"/>
    <s v="julho"/>
    <x v="0"/>
    <x v="1"/>
  </r>
  <r>
    <x v="0"/>
    <n v="3"/>
    <n v="0.2"/>
    <x v="21"/>
    <s v="julho"/>
    <x v="0"/>
    <x v="1"/>
  </r>
  <r>
    <x v="1"/>
    <n v="2"/>
    <n v="0.13333333333333333"/>
    <x v="21"/>
    <s v="julho"/>
    <x v="0"/>
    <x v="1"/>
  </r>
  <r>
    <x v="2"/>
    <n v="0"/>
    <n v="0"/>
    <x v="21"/>
    <s v="julho"/>
    <x v="0"/>
    <x v="1"/>
  </r>
  <r>
    <x v="3"/>
    <n v="2"/>
    <n v="0.13333333333333333"/>
    <x v="21"/>
    <s v="julho"/>
    <x v="0"/>
    <x v="1"/>
  </r>
  <r>
    <x v="4"/>
    <n v="4"/>
    <n v="0.26666666666666666"/>
    <x v="21"/>
    <s v="julho"/>
    <x v="0"/>
    <x v="1"/>
  </r>
  <r>
    <x v="10"/>
    <n v="1"/>
    <n v="6.6666666666666666E-2"/>
    <x v="21"/>
    <s v="julho"/>
    <x v="0"/>
    <x v="1"/>
  </r>
  <r>
    <x v="6"/>
    <n v="0"/>
    <n v="0"/>
    <x v="21"/>
    <s v="julho"/>
    <x v="0"/>
    <x v="1"/>
  </r>
  <r>
    <x v="11"/>
    <n v="0"/>
    <n v="0"/>
    <x v="21"/>
    <s v="julho"/>
    <x v="0"/>
    <x v="1"/>
  </r>
  <r>
    <x v="8"/>
    <n v="0"/>
    <n v="0"/>
    <x v="21"/>
    <s v="julho"/>
    <x v="0"/>
    <x v="1"/>
  </r>
  <r>
    <x v="9"/>
    <n v="0"/>
    <n v="0"/>
    <x v="21"/>
    <s v="julho"/>
    <x v="0"/>
    <x v="1"/>
  </r>
  <r>
    <x v="12"/>
    <n v="0"/>
    <n v="0"/>
    <x v="21"/>
    <s v="julho"/>
    <x v="0"/>
    <x v="1"/>
  </r>
  <r>
    <x v="13"/>
    <n v="0"/>
    <n v="0"/>
    <x v="21"/>
    <s v="julho"/>
    <x v="0"/>
    <x v="1"/>
  </r>
  <r>
    <x v="14"/>
    <n v="1"/>
    <n v="6.6666666666666666E-2"/>
    <x v="21"/>
    <s v="julho"/>
    <x v="0"/>
    <x v="1"/>
  </r>
  <r>
    <x v="15"/>
    <n v="2"/>
    <n v="0.13333333333333333"/>
    <x v="21"/>
    <s v="julho"/>
    <x v="0"/>
    <x v="1"/>
  </r>
  <r>
    <x v="0"/>
    <n v="4"/>
    <n v="0.4"/>
    <x v="22"/>
    <s v="agosto"/>
    <x v="0"/>
    <x v="1"/>
  </r>
  <r>
    <x v="1"/>
    <n v="0"/>
    <n v="0"/>
    <x v="22"/>
    <s v="agosto"/>
    <x v="0"/>
    <x v="1"/>
  </r>
  <r>
    <x v="2"/>
    <n v="1"/>
    <n v="0.1"/>
    <x v="22"/>
    <s v="agosto"/>
    <x v="0"/>
    <x v="1"/>
  </r>
  <r>
    <x v="3"/>
    <n v="0"/>
    <n v="0"/>
    <x v="22"/>
    <s v="agosto"/>
    <x v="0"/>
    <x v="1"/>
  </r>
  <r>
    <x v="4"/>
    <n v="2"/>
    <n v="0.2"/>
    <x v="22"/>
    <s v="agosto"/>
    <x v="0"/>
    <x v="1"/>
  </r>
  <r>
    <x v="10"/>
    <n v="2"/>
    <n v="0.2"/>
    <x v="22"/>
    <s v="agosto"/>
    <x v="0"/>
    <x v="1"/>
  </r>
  <r>
    <x v="6"/>
    <n v="1"/>
    <n v="0.1"/>
    <x v="22"/>
    <s v="agosto"/>
    <x v="0"/>
    <x v="1"/>
  </r>
  <r>
    <x v="11"/>
    <n v="0"/>
    <n v="0"/>
    <x v="22"/>
    <s v="agosto"/>
    <x v="0"/>
    <x v="1"/>
  </r>
  <r>
    <x v="8"/>
    <n v="0"/>
    <n v="0"/>
    <x v="22"/>
    <s v="agosto"/>
    <x v="0"/>
    <x v="1"/>
  </r>
  <r>
    <x v="9"/>
    <n v="0"/>
    <n v="0"/>
    <x v="22"/>
    <s v="agosto"/>
    <x v="0"/>
    <x v="1"/>
  </r>
  <r>
    <x v="12"/>
    <n v="0"/>
    <n v="0"/>
    <x v="22"/>
    <s v="agosto"/>
    <x v="0"/>
    <x v="1"/>
  </r>
  <r>
    <x v="13"/>
    <n v="0"/>
    <n v="0"/>
    <x v="22"/>
    <s v="agosto"/>
    <x v="0"/>
    <x v="1"/>
  </r>
  <r>
    <x v="14"/>
    <n v="0"/>
    <n v="0"/>
    <x v="22"/>
    <s v="agosto"/>
    <x v="0"/>
    <x v="1"/>
  </r>
  <r>
    <x v="15"/>
    <n v="0"/>
    <n v="0"/>
    <x v="22"/>
    <s v="agosto"/>
    <x v="0"/>
    <x v="1"/>
  </r>
  <r>
    <x v="16"/>
    <n v="1"/>
    <n v="0.1"/>
    <x v="22"/>
    <s v="agosto"/>
    <x v="0"/>
    <x v="1"/>
  </r>
  <r>
    <x v="0"/>
    <n v="2"/>
    <n v="0.18181818181818182"/>
    <x v="23"/>
    <s v="agosto"/>
    <x v="0"/>
    <x v="1"/>
  </r>
  <r>
    <x v="1"/>
    <n v="2"/>
    <n v="0.18181818181818182"/>
    <x v="23"/>
    <s v="agosto"/>
    <x v="0"/>
    <x v="1"/>
  </r>
  <r>
    <x v="2"/>
    <n v="0"/>
    <n v="0"/>
    <x v="23"/>
    <s v="agosto"/>
    <x v="0"/>
    <x v="1"/>
  </r>
  <r>
    <x v="3"/>
    <n v="1"/>
    <n v="9.0909090909090912E-2"/>
    <x v="23"/>
    <s v="agosto"/>
    <x v="0"/>
    <x v="1"/>
  </r>
  <r>
    <x v="4"/>
    <n v="1"/>
    <n v="9.0909090909090912E-2"/>
    <x v="23"/>
    <s v="agosto"/>
    <x v="0"/>
    <x v="1"/>
  </r>
  <r>
    <x v="10"/>
    <n v="0"/>
    <n v="0"/>
    <x v="23"/>
    <s v="agosto"/>
    <x v="0"/>
    <x v="1"/>
  </r>
  <r>
    <x v="6"/>
    <n v="2"/>
    <n v="0.18181818181818182"/>
    <x v="23"/>
    <s v="agosto"/>
    <x v="0"/>
    <x v="1"/>
  </r>
  <r>
    <x v="11"/>
    <n v="0"/>
    <n v="0"/>
    <x v="23"/>
    <s v="agosto"/>
    <x v="0"/>
    <x v="1"/>
  </r>
  <r>
    <x v="8"/>
    <n v="0"/>
    <n v="0"/>
    <x v="23"/>
    <s v="agosto"/>
    <x v="0"/>
    <x v="1"/>
  </r>
  <r>
    <x v="9"/>
    <n v="1"/>
    <n v="9.0909090909090912E-2"/>
    <x v="23"/>
    <s v="agosto"/>
    <x v="0"/>
    <x v="1"/>
  </r>
  <r>
    <x v="12"/>
    <n v="0"/>
    <n v="0"/>
    <x v="23"/>
    <s v="agosto"/>
    <x v="0"/>
    <x v="1"/>
  </r>
  <r>
    <x v="13"/>
    <n v="1"/>
    <n v="9.0909090909090912E-2"/>
    <x v="23"/>
    <s v="agosto"/>
    <x v="0"/>
    <x v="1"/>
  </r>
  <r>
    <x v="14"/>
    <n v="1"/>
    <n v="9.0909090909090912E-2"/>
    <x v="23"/>
    <s v="agosto"/>
    <x v="0"/>
    <x v="1"/>
  </r>
  <r>
    <x v="15"/>
    <n v="0"/>
    <n v="0"/>
    <x v="23"/>
    <s v="agosto"/>
    <x v="0"/>
    <x v="1"/>
  </r>
  <r>
    <x v="16"/>
    <n v="0"/>
    <n v="0"/>
    <x v="23"/>
    <s v="agosto"/>
    <x v="0"/>
    <x v="1"/>
  </r>
  <r>
    <x v="0"/>
    <n v="0"/>
    <n v="0"/>
    <x v="24"/>
    <s v="agosto"/>
    <x v="0"/>
    <x v="1"/>
  </r>
  <r>
    <x v="1"/>
    <n v="3"/>
    <n v="0.25"/>
    <x v="24"/>
    <s v="agosto"/>
    <x v="0"/>
    <x v="1"/>
  </r>
  <r>
    <x v="2"/>
    <n v="0"/>
    <n v="0"/>
    <x v="24"/>
    <s v="agosto"/>
    <x v="0"/>
    <x v="1"/>
  </r>
  <r>
    <x v="3"/>
    <n v="1"/>
    <n v="8.3333333333333329E-2"/>
    <x v="24"/>
    <s v="agosto"/>
    <x v="0"/>
    <x v="1"/>
  </r>
  <r>
    <x v="4"/>
    <n v="3"/>
    <n v="0.25"/>
    <x v="24"/>
    <s v="agosto"/>
    <x v="0"/>
    <x v="1"/>
  </r>
  <r>
    <x v="10"/>
    <n v="0"/>
    <n v="0"/>
    <x v="24"/>
    <s v="agosto"/>
    <x v="0"/>
    <x v="1"/>
  </r>
  <r>
    <x v="6"/>
    <n v="0"/>
    <n v="0"/>
    <x v="24"/>
    <s v="agosto"/>
    <x v="0"/>
    <x v="1"/>
  </r>
  <r>
    <x v="11"/>
    <n v="0"/>
    <n v="0"/>
    <x v="24"/>
    <s v="agosto"/>
    <x v="0"/>
    <x v="1"/>
  </r>
  <r>
    <x v="8"/>
    <n v="0"/>
    <n v="0"/>
    <x v="24"/>
    <s v="agosto"/>
    <x v="0"/>
    <x v="1"/>
  </r>
  <r>
    <x v="9"/>
    <n v="0"/>
    <n v="0"/>
    <x v="24"/>
    <s v="agosto"/>
    <x v="0"/>
    <x v="1"/>
  </r>
  <r>
    <x v="12"/>
    <n v="2"/>
    <n v="0.16666666666666666"/>
    <x v="24"/>
    <s v="agosto"/>
    <x v="0"/>
    <x v="1"/>
  </r>
  <r>
    <x v="13"/>
    <n v="1"/>
    <n v="8.3333333333333329E-2"/>
    <x v="24"/>
    <s v="agosto"/>
    <x v="0"/>
    <x v="1"/>
  </r>
  <r>
    <x v="14"/>
    <n v="2"/>
    <n v="0.16666666666666666"/>
    <x v="24"/>
    <s v="agosto"/>
    <x v="0"/>
    <x v="1"/>
  </r>
  <r>
    <x v="15"/>
    <n v="0"/>
    <n v="0"/>
    <x v="24"/>
    <s v="agosto"/>
    <x v="0"/>
    <x v="1"/>
  </r>
  <r>
    <x v="16"/>
    <n v="0"/>
    <n v="0"/>
    <x v="24"/>
    <s v="agosto"/>
    <x v="0"/>
    <x v="1"/>
  </r>
  <r>
    <x v="0"/>
    <n v="3"/>
    <n v="0.21428571428571427"/>
    <x v="25"/>
    <s v="agosto"/>
    <x v="0"/>
    <x v="1"/>
  </r>
  <r>
    <x v="1"/>
    <n v="2"/>
    <n v="0.14285714285714285"/>
    <x v="25"/>
    <s v="agosto"/>
    <x v="0"/>
    <x v="1"/>
  </r>
  <r>
    <x v="2"/>
    <n v="0"/>
    <n v="0"/>
    <x v="25"/>
    <s v="agosto"/>
    <x v="0"/>
    <x v="1"/>
  </r>
  <r>
    <x v="3"/>
    <n v="3"/>
    <n v="0.21428571428571427"/>
    <x v="25"/>
    <s v="agosto"/>
    <x v="0"/>
    <x v="1"/>
  </r>
  <r>
    <x v="4"/>
    <n v="2"/>
    <n v="0.14285714285714285"/>
    <x v="25"/>
    <s v="agosto"/>
    <x v="0"/>
    <x v="1"/>
  </r>
  <r>
    <x v="10"/>
    <n v="0"/>
    <n v="0"/>
    <x v="25"/>
    <s v="agosto"/>
    <x v="0"/>
    <x v="1"/>
  </r>
  <r>
    <x v="6"/>
    <n v="0"/>
    <n v="0"/>
    <x v="25"/>
    <s v="agosto"/>
    <x v="0"/>
    <x v="1"/>
  </r>
  <r>
    <x v="11"/>
    <n v="0"/>
    <n v="0"/>
    <x v="25"/>
    <s v="agosto"/>
    <x v="0"/>
    <x v="1"/>
  </r>
  <r>
    <x v="8"/>
    <n v="0"/>
    <n v="0"/>
    <x v="25"/>
    <s v="agosto"/>
    <x v="0"/>
    <x v="1"/>
  </r>
  <r>
    <x v="9"/>
    <n v="0"/>
    <n v="0"/>
    <x v="25"/>
    <s v="agosto"/>
    <x v="0"/>
    <x v="1"/>
  </r>
  <r>
    <x v="12"/>
    <n v="0"/>
    <n v="0"/>
    <x v="25"/>
    <s v="agosto"/>
    <x v="0"/>
    <x v="1"/>
  </r>
  <r>
    <x v="13"/>
    <n v="1"/>
    <n v="7.1428571428571425E-2"/>
    <x v="25"/>
    <s v="agosto"/>
    <x v="0"/>
    <x v="1"/>
  </r>
  <r>
    <x v="14"/>
    <n v="2"/>
    <n v="0.14285714285714285"/>
    <x v="25"/>
    <s v="agosto"/>
    <x v="0"/>
    <x v="1"/>
  </r>
  <r>
    <x v="15"/>
    <n v="0"/>
    <n v="0"/>
    <x v="25"/>
    <s v="agosto"/>
    <x v="0"/>
    <x v="1"/>
  </r>
  <r>
    <x v="16"/>
    <n v="1"/>
    <n v="7.1428571428571425E-2"/>
    <x v="25"/>
    <s v="agosto"/>
    <x v="0"/>
    <x v="1"/>
  </r>
  <r>
    <x v="0"/>
    <n v="1"/>
    <n v="4.5454545454545456E-2"/>
    <x v="26"/>
    <s v="agosto"/>
    <x v="0"/>
    <x v="1"/>
  </r>
  <r>
    <x v="1"/>
    <n v="1"/>
    <n v="4.5454545454545456E-2"/>
    <x v="26"/>
    <s v="agosto"/>
    <x v="0"/>
    <x v="1"/>
  </r>
  <r>
    <x v="2"/>
    <n v="0"/>
    <n v="0"/>
    <x v="26"/>
    <s v="agosto"/>
    <x v="0"/>
    <x v="1"/>
  </r>
  <r>
    <x v="3"/>
    <n v="1"/>
    <n v="4.5454545454545456E-2"/>
    <x v="26"/>
    <s v="agosto"/>
    <x v="0"/>
    <x v="1"/>
  </r>
  <r>
    <x v="4"/>
    <n v="1"/>
    <n v="4.5454545454545456E-2"/>
    <x v="26"/>
    <s v="agosto"/>
    <x v="0"/>
    <x v="1"/>
  </r>
  <r>
    <x v="10"/>
    <n v="2"/>
    <n v="9.0909090909090912E-2"/>
    <x v="26"/>
    <s v="agosto"/>
    <x v="0"/>
    <x v="1"/>
  </r>
  <r>
    <x v="6"/>
    <n v="0"/>
    <n v="0"/>
    <x v="26"/>
    <s v="agosto"/>
    <x v="0"/>
    <x v="1"/>
  </r>
  <r>
    <x v="11"/>
    <n v="0"/>
    <n v="0"/>
    <x v="26"/>
    <s v="agosto"/>
    <x v="0"/>
    <x v="1"/>
  </r>
  <r>
    <x v="8"/>
    <n v="1"/>
    <n v="4.5454545454545456E-2"/>
    <x v="26"/>
    <s v="agosto"/>
    <x v="0"/>
    <x v="1"/>
  </r>
  <r>
    <x v="9"/>
    <n v="2"/>
    <n v="9.0909090909090912E-2"/>
    <x v="26"/>
    <s v="agosto"/>
    <x v="0"/>
    <x v="1"/>
  </r>
  <r>
    <x v="12"/>
    <n v="0"/>
    <n v="0"/>
    <x v="26"/>
    <s v="agosto"/>
    <x v="0"/>
    <x v="1"/>
  </r>
  <r>
    <x v="13"/>
    <n v="5"/>
    <n v="0.22727272727272727"/>
    <x v="26"/>
    <s v="agosto"/>
    <x v="0"/>
    <x v="1"/>
  </r>
  <r>
    <x v="14"/>
    <n v="1"/>
    <n v="4.5454545454545456E-2"/>
    <x v="26"/>
    <s v="agosto"/>
    <x v="0"/>
    <x v="1"/>
  </r>
  <r>
    <x v="15"/>
    <n v="0"/>
    <n v="0"/>
    <x v="26"/>
    <s v="agosto"/>
    <x v="0"/>
    <x v="1"/>
  </r>
  <r>
    <x v="16"/>
    <n v="0"/>
    <n v="0"/>
    <x v="26"/>
    <s v="agosto"/>
    <x v="0"/>
    <x v="1"/>
  </r>
  <r>
    <x v="17"/>
    <n v="7"/>
    <n v="0.31818181818181818"/>
    <x v="26"/>
    <s v="agosto"/>
    <x v="0"/>
    <x v="1"/>
  </r>
  <r>
    <x v="0"/>
    <n v="0"/>
    <n v="0"/>
    <x v="27"/>
    <s v="setembro"/>
    <x v="0"/>
    <x v="1"/>
  </r>
  <r>
    <x v="1"/>
    <n v="0"/>
    <n v="0"/>
    <x v="27"/>
    <s v="setembro"/>
    <x v="0"/>
    <x v="1"/>
  </r>
  <r>
    <x v="2"/>
    <n v="0"/>
    <n v="0"/>
    <x v="27"/>
    <s v="setembro"/>
    <x v="0"/>
    <x v="1"/>
  </r>
  <r>
    <x v="3"/>
    <n v="2"/>
    <n v="0.15384615384615385"/>
    <x v="27"/>
    <s v="setembro"/>
    <x v="0"/>
    <x v="1"/>
  </r>
  <r>
    <x v="4"/>
    <n v="0"/>
    <n v="0"/>
    <x v="27"/>
    <s v="setembro"/>
    <x v="0"/>
    <x v="1"/>
  </r>
  <r>
    <x v="10"/>
    <n v="2"/>
    <n v="0.15384615384615385"/>
    <x v="27"/>
    <s v="setembro"/>
    <x v="0"/>
    <x v="1"/>
  </r>
  <r>
    <x v="6"/>
    <n v="0"/>
    <n v="0"/>
    <x v="27"/>
    <s v="setembro"/>
    <x v="0"/>
    <x v="1"/>
  </r>
  <r>
    <x v="11"/>
    <n v="0"/>
    <n v="0"/>
    <x v="27"/>
    <s v="setembro"/>
    <x v="0"/>
    <x v="1"/>
  </r>
  <r>
    <x v="8"/>
    <n v="0"/>
    <n v="0"/>
    <x v="27"/>
    <s v="setembro"/>
    <x v="0"/>
    <x v="1"/>
  </r>
  <r>
    <x v="9"/>
    <n v="3"/>
    <n v="0.23076923076923078"/>
    <x v="27"/>
    <s v="setembro"/>
    <x v="0"/>
    <x v="1"/>
  </r>
  <r>
    <x v="12"/>
    <n v="1"/>
    <n v="7.6923076923076927E-2"/>
    <x v="27"/>
    <s v="setembro"/>
    <x v="0"/>
    <x v="1"/>
  </r>
  <r>
    <x v="13"/>
    <n v="0"/>
    <n v="0"/>
    <x v="27"/>
    <s v="setembro"/>
    <x v="0"/>
    <x v="1"/>
  </r>
  <r>
    <x v="14"/>
    <n v="1"/>
    <n v="7.6923076923076927E-2"/>
    <x v="27"/>
    <s v="setembro"/>
    <x v="0"/>
    <x v="1"/>
  </r>
  <r>
    <x v="15"/>
    <n v="0"/>
    <n v="0"/>
    <x v="27"/>
    <s v="setembro"/>
    <x v="0"/>
    <x v="1"/>
  </r>
  <r>
    <x v="16"/>
    <n v="0"/>
    <n v="0"/>
    <x v="27"/>
    <s v="setembro"/>
    <x v="0"/>
    <x v="1"/>
  </r>
  <r>
    <x v="17"/>
    <n v="4"/>
    <n v="0.30769230769230771"/>
    <x v="27"/>
    <s v="setembro"/>
    <x v="0"/>
    <x v="1"/>
  </r>
  <r>
    <x v="0"/>
    <n v="5"/>
    <n v="0.21739130434782608"/>
    <x v="28"/>
    <s v="setembro"/>
    <x v="0"/>
    <x v="1"/>
  </r>
  <r>
    <x v="1"/>
    <n v="2"/>
    <n v="8.6956521739130432E-2"/>
    <x v="28"/>
    <s v="setembro"/>
    <x v="0"/>
    <x v="1"/>
  </r>
  <r>
    <x v="2"/>
    <n v="0"/>
    <n v="0"/>
    <x v="28"/>
    <s v="setembro"/>
    <x v="0"/>
    <x v="1"/>
  </r>
  <r>
    <x v="3"/>
    <n v="0"/>
    <n v="0"/>
    <x v="28"/>
    <s v="setembro"/>
    <x v="0"/>
    <x v="1"/>
  </r>
  <r>
    <x v="4"/>
    <n v="0"/>
    <n v="0"/>
    <x v="28"/>
    <s v="setembro"/>
    <x v="0"/>
    <x v="1"/>
  </r>
  <r>
    <x v="10"/>
    <n v="0"/>
    <n v="0"/>
    <x v="28"/>
    <s v="setembro"/>
    <x v="0"/>
    <x v="1"/>
  </r>
  <r>
    <x v="6"/>
    <n v="0"/>
    <n v="0"/>
    <x v="28"/>
    <s v="setembro"/>
    <x v="0"/>
    <x v="1"/>
  </r>
  <r>
    <x v="11"/>
    <n v="0"/>
    <n v="0"/>
    <x v="28"/>
    <s v="setembro"/>
    <x v="0"/>
    <x v="1"/>
  </r>
  <r>
    <x v="8"/>
    <n v="3"/>
    <n v="0.13043478260869565"/>
    <x v="28"/>
    <s v="setembro"/>
    <x v="0"/>
    <x v="1"/>
  </r>
  <r>
    <x v="9"/>
    <n v="1"/>
    <n v="4.3478260869565216E-2"/>
    <x v="28"/>
    <s v="setembro"/>
    <x v="0"/>
    <x v="1"/>
  </r>
  <r>
    <x v="12"/>
    <n v="1"/>
    <n v="4.3478260869565216E-2"/>
    <x v="28"/>
    <s v="setembro"/>
    <x v="0"/>
    <x v="1"/>
  </r>
  <r>
    <x v="13"/>
    <n v="0"/>
    <n v="0"/>
    <x v="28"/>
    <s v="setembro"/>
    <x v="0"/>
    <x v="1"/>
  </r>
  <r>
    <x v="14"/>
    <n v="0"/>
    <n v="0"/>
    <x v="28"/>
    <s v="setembro"/>
    <x v="0"/>
    <x v="1"/>
  </r>
  <r>
    <x v="15"/>
    <n v="0"/>
    <n v="0"/>
    <x v="28"/>
    <s v="setembro"/>
    <x v="0"/>
    <x v="1"/>
  </r>
  <r>
    <x v="16"/>
    <n v="1"/>
    <n v="4.3478260869565216E-2"/>
    <x v="28"/>
    <s v="setembro"/>
    <x v="0"/>
    <x v="1"/>
  </r>
  <r>
    <x v="18"/>
    <n v="10"/>
    <n v="0.43478260869565216"/>
    <x v="28"/>
    <s v="setembro"/>
    <x v="0"/>
    <x v="1"/>
  </r>
  <r>
    <x v="17"/>
    <n v="0"/>
    <n v="0"/>
    <x v="28"/>
    <s v="setembro"/>
    <x v="0"/>
    <x v="1"/>
  </r>
  <r>
    <x v="0"/>
    <n v="3"/>
    <n v="0.13636363636363635"/>
    <x v="29"/>
    <s v="setembro"/>
    <x v="0"/>
    <x v="1"/>
  </r>
  <r>
    <x v="1"/>
    <n v="1"/>
    <n v="4.5454545454545456E-2"/>
    <x v="29"/>
    <s v="setembro"/>
    <x v="0"/>
    <x v="1"/>
  </r>
  <r>
    <x v="2"/>
    <n v="0"/>
    <n v="0"/>
    <x v="29"/>
    <s v="setembro"/>
    <x v="0"/>
    <x v="1"/>
  </r>
  <r>
    <x v="3"/>
    <n v="1"/>
    <n v="4.5454545454545456E-2"/>
    <x v="29"/>
    <s v="setembro"/>
    <x v="0"/>
    <x v="1"/>
  </r>
  <r>
    <x v="4"/>
    <n v="0"/>
    <n v="0"/>
    <x v="29"/>
    <s v="setembro"/>
    <x v="0"/>
    <x v="1"/>
  </r>
  <r>
    <x v="10"/>
    <n v="0"/>
    <n v="0"/>
    <x v="29"/>
    <s v="setembro"/>
    <x v="0"/>
    <x v="1"/>
  </r>
  <r>
    <x v="6"/>
    <n v="0"/>
    <n v="0"/>
    <x v="29"/>
    <s v="setembro"/>
    <x v="0"/>
    <x v="1"/>
  </r>
  <r>
    <x v="11"/>
    <n v="0"/>
    <n v="0"/>
    <x v="29"/>
    <s v="setembro"/>
    <x v="0"/>
    <x v="1"/>
  </r>
  <r>
    <x v="8"/>
    <n v="0"/>
    <n v="0"/>
    <x v="29"/>
    <s v="setembro"/>
    <x v="0"/>
    <x v="1"/>
  </r>
  <r>
    <x v="9"/>
    <n v="2"/>
    <n v="9.0909090909090912E-2"/>
    <x v="29"/>
    <s v="setembro"/>
    <x v="0"/>
    <x v="1"/>
  </r>
  <r>
    <x v="12"/>
    <n v="0"/>
    <n v="0"/>
    <x v="29"/>
    <s v="setembro"/>
    <x v="0"/>
    <x v="1"/>
  </r>
  <r>
    <x v="13"/>
    <n v="0"/>
    <n v="0"/>
    <x v="29"/>
    <s v="setembro"/>
    <x v="0"/>
    <x v="1"/>
  </r>
  <r>
    <x v="14"/>
    <n v="1"/>
    <n v="4.5454545454545456E-2"/>
    <x v="29"/>
    <s v="setembro"/>
    <x v="0"/>
    <x v="1"/>
  </r>
  <r>
    <x v="15"/>
    <n v="0"/>
    <n v="0"/>
    <x v="29"/>
    <s v="setembro"/>
    <x v="0"/>
    <x v="1"/>
  </r>
  <r>
    <x v="16"/>
    <n v="0"/>
    <n v="0"/>
    <x v="29"/>
    <s v="setembro"/>
    <x v="0"/>
    <x v="1"/>
  </r>
  <r>
    <x v="18"/>
    <n v="14"/>
    <n v="0.63636363636363635"/>
    <x v="29"/>
    <s v="setembro"/>
    <x v="0"/>
    <x v="1"/>
  </r>
  <r>
    <x v="17"/>
    <n v="0"/>
    <n v="0"/>
    <x v="29"/>
    <s v="setembro"/>
    <x v="0"/>
    <x v="1"/>
  </r>
  <r>
    <x v="0"/>
    <n v="5"/>
    <n v="0.33333333333333331"/>
    <x v="30"/>
    <s v="setembro"/>
    <x v="0"/>
    <x v="1"/>
  </r>
  <r>
    <x v="1"/>
    <n v="2"/>
    <n v="0.13333333333333333"/>
    <x v="30"/>
    <s v="setembro"/>
    <x v="0"/>
    <x v="1"/>
  </r>
  <r>
    <x v="2"/>
    <n v="1"/>
    <n v="6.6666666666666666E-2"/>
    <x v="30"/>
    <s v="setembro"/>
    <x v="0"/>
    <x v="1"/>
  </r>
  <r>
    <x v="3"/>
    <n v="0"/>
    <n v="0"/>
    <x v="30"/>
    <s v="setembro"/>
    <x v="0"/>
    <x v="1"/>
  </r>
  <r>
    <x v="4"/>
    <n v="0"/>
    <n v="0"/>
    <x v="30"/>
    <s v="setembro"/>
    <x v="0"/>
    <x v="1"/>
  </r>
  <r>
    <x v="10"/>
    <n v="2"/>
    <n v="0.13333333333333333"/>
    <x v="30"/>
    <s v="setembro"/>
    <x v="0"/>
    <x v="1"/>
  </r>
  <r>
    <x v="6"/>
    <n v="0"/>
    <n v="0"/>
    <x v="30"/>
    <s v="setembro"/>
    <x v="0"/>
    <x v="1"/>
  </r>
  <r>
    <x v="11"/>
    <n v="0"/>
    <n v="0"/>
    <x v="30"/>
    <s v="setembro"/>
    <x v="0"/>
    <x v="1"/>
  </r>
  <r>
    <x v="8"/>
    <n v="0"/>
    <n v="0"/>
    <x v="30"/>
    <s v="setembro"/>
    <x v="0"/>
    <x v="1"/>
  </r>
  <r>
    <x v="9"/>
    <n v="2"/>
    <n v="0.13333333333333333"/>
    <x v="30"/>
    <s v="setembro"/>
    <x v="0"/>
    <x v="1"/>
  </r>
  <r>
    <x v="12"/>
    <n v="0"/>
    <n v="0"/>
    <x v="30"/>
    <s v="setembro"/>
    <x v="0"/>
    <x v="1"/>
  </r>
  <r>
    <x v="13"/>
    <n v="0"/>
    <n v="0"/>
    <x v="30"/>
    <s v="setembro"/>
    <x v="0"/>
    <x v="1"/>
  </r>
  <r>
    <x v="14"/>
    <n v="0"/>
    <n v="0"/>
    <x v="30"/>
    <s v="setembro"/>
    <x v="0"/>
    <x v="1"/>
  </r>
  <r>
    <x v="15"/>
    <n v="0"/>
    <n v="0"/>
    <x v="30"/>
    <s v="setembro"/>
    <x v="0"/>
    <x v="1"/>
  </r>
  <r>
    <x v="16"/>
    <n v="0"/>
    <n v="0"/>
    <x v="30"/>
    <s v="setembro"/>
    <x v="0"/>
    <x v="1"/>
  </r>
  <r>
    <x v="18"/>
    <n v="2"/>
    <n v="0.13333333333333333"/>
    <x v="30"/>
    <s v="setembro"/>
    <x v="0"/>
    <x v="1"/>
  </r>
  <r>
    <x v="17"/>
    <n v="1"/>
    <n v="6.6666666666666666E-2"/>
    <x v="30"/>
    <s v="setembro"/>
    <x v="0"/>
    <x v="1"/>
  </r>
  <r>
    <x v="0"/>
    <n v="6"/>
    <n v="0.3"/>
    <x v="31"/>
    <s v="outubro"/>
    <x v="0"/>
    <x v="1"/>
  </r>
  <r>
    <x v="1"/>
    <n v="1"/>
    <n v="0.05"/>
    <x v="31"/>
    <s v="outubro"/>
    <x v="0"/>
    <x v="1"/>
  </r>
  <r>
    <x v="2"/>
    <n v="0"/>
    <n v="0"/>
    <x v="31"/>
    <s v="outubro"/>
    <x v="0"/>
    <x v="1"/>
  </r>
  <r>
    <x v="3"/>
    <n v="1"/>
    <n v="0.05"/>
    <x v="31"/>
    <s v="outubro"/>
    <x v="0"/>
    <x v="1"/>
  </r>
  <r>
    <x v="4"/>
    <n v="0"/>
    <n v="0"/>
    <x v="31"/>
    <s v="outubro"/>
    <x v="0"/>
    <x v="1"/>
  </r>
  <r>
    <x v="10"/>
    <n v="0"/>
    <n v="0"/>
    <x v="31"/>
    <s v="outubro"/>
    <x v="0"/>
    <x v="1"/>
  </r>
  <r>
    <x v="6"/>
    <n v="1"/>
    <n v="0.05"/>
    <x v="31"/>
    <s v="outubro"/>
    <x v="0"/>
    <x v="1"/>
  </r>
  <r>
    <x v="11"/>
    <n v="0"/>
    <n v="0"/>
    <x v="31"/>
    <s v="outubro"/>
    <x v="0"/>
    <x v="1"/>
  </r>
  <r>
    <x v="8"/>
    <n v="0"/>
    <n v="0"/>
    <x v="31"/>
    <s v="outubro"/>
    <x v="0"/>
    <x v="1"/>
  </r>
  <r>
    <x v="9"/>
    <n v="0"/>
    <n v="0"/>
    <x v="31"/>
    <s v="outubro"/>
    <x v="0"/>
    <x v="1"/>
  </r>
  <r>
    <x v="12"/>
    <n v="0"/>
    <n v="0"/>
    <x v="31"/>
    <s v="outubro"/>
    <x v="0"/>
    <x v="1"/>
  </r>
  <r>
    <x v="13"/>
    <n v="5"/>
    <n v="0.25"/>
    <x v="31"/>
    <s v="outubro"/>
    <x v="0"/>
    <x v="1"/>
  </r>
  <r>
    <x v="14"/>
    <n v="0"/>
    <n v="0"/>
    <x v="31"/>
    <s v="outubro"/>
    <x v="0"/>
    <x v="1"/>
  </r>
  <r>
    <x v="15"/>
    <n v="0"/>
    <n v="0"/>
    <x v="31"/>
    <s v="outubro"/>
    <x v="0"/>
    <x v="1"/>
  </r>
  <r>
    <x v="16"/>
    <n v="0"/>
    <n v="0"/>
    <x v="31"/>
    <s v="outubro"/>
    <x v="0"/>
    <x v="1"/>
  </r>
  <r>
    <x v="18"/>
    <n v="5"/>
    <n v="0.25"/>
    <x v="31"/>
    <s v="outubro"/>
    <x v="0"/>
    <x v="1"/>
  </r>
  <r>
    <x v="17"/>
    <n v="1"/>
    <n v="0.05"/>
    <x v="31"/>
    <s v="outubro"/>
    <x v="0"/>
    <x v="1"/>
  </r>
  <r>
    <x v="0"/>
    <n v="3"/>
    <n v="8.8235294117647065E-2"/>
    <x v="32"/>
    <s v="outubro"/>
    <x v="0"/>
    <x v="1"/>
  </r>
  <r>
    <x v="1"/>
    <n v="0"/>
    <n v="0"/>
    <x v="32"/>
    <s v="outubro"/>
    <x v="0"/>
    <x v="1"/>
  </r>
  <r>
    <x v="2"/>
    <n v="0"/>
    <n v="0"/>
    <x v="32"/>
    <s v="outubro"/>
    <x v="0"/>
    <x v="1"/>
  </r>
  <r>
    <x v="3"/>
    <n v="2"/>
    <n v="5.8823529411764705E-2"/>
    <x v="32"/>
    <s v="outubro"/>
    <x v="0"/>
    <x v="1"/>
  </r>
  <r>
    <x v="4"/>
    <n v="0"/>
    <n v="0"/>
    <x v="32"/>
    <s v="outubro"/>
    <x v="0"/>
    <x v="1"/>
  </r>
  <r>
    <x v="10"/>
    <n v="2"/>
    <n v="5.8823529411764705E-2"/>
    <x v="32"/>
    <s v="outubro"/>
    <x v="0"/>
    <x v="1"/>
  </r>
  <r>
    <x v="6"/>
    <n v="0"/>
    <n v="0"/>
    <x v="32"/>
    <s v="outubro"/>
    <x v="0"/>
    <x v="1"/>
  </r>
  <r>
    <x v="11"/>
    <n v="0"/>
    <n v="0"/>
    <x v="32"/>
    <s v="outubro"/>
    <x v="0"/>
    <x v="1"/>
  </r>
  <r>
    <x v="8"/>
    <n v="1"/>
    <n v="2.9411764705882353E-2"/>
    <x v="32"/>
    <s v="outubro"/>
    <x v="0"/>
    <x v="1"/>
  </r>
  <r>
    <x v="9"/>
    <n v="0"/>
    <n v="0"/>
    <x v="32"/>
    <s v="outubro"/>
    <x v="0"/>
    <x v="1"/>
  </r>
  <r>
    <x v="12"/>
    <n v="0"/>
    <n v="0"/>
    <x v="32"/>
    <s v="outubro"/>
    <x v="0"/>
    <x v="1"/>
  </r>
  <r>
    <x v="13"/>
    <n v="16"/>
    <n v="0.47058823529411764"/>
    <x v="32"/>
    <s v="outubro"/>
    <x v="0"/>
    <x v="1"/>
  </r>
  <r>
    <x v="14"/>
    <n v="1"/>
    <n v="2.9411764705882353E-2"/>
    <x v="32"/>
    <s v="outubro"/>
    <x v="0"/>
    <x v="1"/>
  </r>
  <r>
    <x v="15"/>
    <n v="0"/>
    <n v="0"/>
    <x v="32"/>
    <s v="outubro"/>
    <x v="0"/>
    <x v="1"/>
  </r>
  <r>
    <x v="16"/>
    <n v="0"/>
    <n v="0"/>
    <x v="32"/>
    <s v="outubro"/>
    <x v="0"/>
    <x v="1"/>
  </r>
  <r>
    <x v="18"/>
    <n v="9"/>
    <n v="0.26470588235294118"/>
    <x v="32"/>
    <s v="outubro"/>
    <x v="0"/>
    <x v="1"/>
  </r>
  <r>
    <x v="17"/>
    <n v="0"/>
    <n v="0"/>
    <x v="32"/>
    <s v="outubro"/>
    <x v="0"/>
    <x v="1"/>
  </r>
  <r>
    <x v="0"/>
    <n v="0"/>
    <n v="0"/>
    <x v="33"/>
    <s v="outubro"/>
    <x v="0"/>
    <x v="1"/>
  </r>
  <r>
    <x v="1"/>
    <n v="1"/>
    <n v="3.0303030303030304E-2"/>
    <x v="33"/>
    <s v="outubro"/>
    <x v="0"/>
    <x v="1"/>
  </r>
  <r>
    <x v="2"/>
    <n v="0"/>
    <n v="0"/>
    <x v="33"/>
    <s v="outubro"/>
    <x v="0"/>
    <x v="1"/>
  </r>
  <r>
    <x v="3"/>
    <n v="3"/>
    <n v="9.0909090909090912E-2"/>
    <x v="33"/>
    <s v="outubro"/>
    <x v="0"/>
    <x v="1"/>
  </r>
  <r>
    <x v="4"/>
    <n v="0"/>
    <n v="0"/>
    <x v="33"/>
    <s v="outubro"/>
    <x v="0"/>
    <x v="1"/>
  </r>
  <r>
    <x v="10"/>
    <n v="2"/>
    <n v="6.0606060606060608E-2"/>
    <x v="33"/>
    <s v="outubro"/>
    <x v="0"/>
    <x v="1"/>
  </r>
  <r>
    <x v="6"/>
    <n v="0"/>
    <n v="0"/>
    <x v="33"/>
    <s v="outubro"/>
    <x v="0"/>
    <x v="1"/>
  </r>
  <r>
    <x v="11"/>
    <n v="0"/>
    <n v="0"/>
    <x v="33"/>
    <s v="outubro"/>
    <x v="0"/>
    <x v="1"/>
  </r>
  <r>
    <x v="8"/>
    <n v="0"/>
    <n v="0"/>
    <x v="33"/>
    <s v="outubro"/>
    <x v="0"/>
    <x v="1"/>
  </r>
  <r>
    <x v="9"/>
    <n v="5"/>
    <n v="0.15151515151515152"/>
    <x v="33"/>
    <s v="outubro"/>
    <x v="0"/>
    <x v="1"/>
  </r>
  <r>
    <x v="12"/>
    <n v="0"/>
    <n v="0"/>
    <x v="33"/>
    <s v="outubro"/>
    <x v="0"/>
    <x v="1"/>
  </r>
  <r>
    <x v="13"/>
    <n v="14"/>
    <n v="0.42424242424242425"/>
    <x v="33"/>
    <s v="outubro"/>
    <x v="0"/>
    <x v="1"/>
  </r>
  <r>
    <x v="14"/>
    <n v="0"/>
    <n v="0"/>
    <x v="33"/>
    <s v="outubro"/>
    <x v="0"/>
    <x v="1"/>
  </r>
  <r>
    <x v="15"/>
    <n v="0"/>
    <n v="0"/>
    <x v="33"/>
    <s v="outubro"/>
    <x v="0"/>
    <x v="1"/>
  </r>
  <r>
    <x v="16"/>
    <n v="0"/>
    <n v="0"/>
    <x v="33"/>
    <s v="outubro"/>
    <x v="0"/>
    <x v="1"/>
  </r>
  <r>
    <x v="18"/>
    <n v="8"/>
    <n v="0.24242424242424243"/>
    <x v="33"/>
    <s v="outubro"/>
    <x v="0"/>
    <x v="1"/>
  </r>
  <r>
    <x v="17"/>
    <n v="0"/>
    <n v="0"/>
    <x v="33"/>
    <s v="outubro"/>
    <x v="0"/>
    <x v="1"/>
  </r>
  <r>
    <x v="0"/>
    <n v="1"/>
    <n v="4.3478260869565216E-2"/>
    <x v="34"/>
    <s v="outubro"/>
    <x v="0"/>
    <x v="1"/>
  </r>
  <r>
    <x v="1"/>
    <n v="5"/>
    <n v="0.21739130434782608"/>
    <x v="34"/>
    <s v="outubro"/>
    <x v="0"/>
    <x v="1"/>
  </r>
  <r>
    <x v="2"/>
    <n v="0"/>
    <n v="0"/>
    <x v="34"/>
    <s v="outubro"/>
    <x v="0"/>
    <x v="1"/>
  </r>
  <r>
    <x v="3"/>
    <n v="1"/>
    <n v="4.3478260869565216E-2"/>
    <x v="34"/>
    <s v="outubro"/>
    <x v="0"/>
    <x v="1"/>
  </r>
  <r>
    <x v="4"/>
    <n v="0"/>
    <n v="0"/>
    <x v="34"/>
    <s v="outubro"/>
    <x v="0"/>
    <x v="1"/>
  </r>
  <r>
    <x v="10"/>
    <n v="0"/>
    <n v="0"/>
    <x v="34"/>
    <s v="outubro"/>
    <x v="0"/>
    <x v="1"/>
  </r>
  <r>
    <x v="6"/>
    <n v="0"/>
    <n v="0"/>
    <x v="34"/>
    <s v="outubro"/>
    <x v="0"/>
    <x v="1"/>
  </r>
  <r>
    <x v="11"/>
    <n v="0"/>
    <n v="0"/>
    <x v="34"/>
    <s v="outubro"/>
    <x v="0"/>
    <x v="1"/>
  </r>
  <r>
    <x v="8"/>
    <n v="0"/>
    <n v="0"/>
    <x v="34"/>
    <s v="outubro"/>
    <x v="0"/>
    <x v="1"/>
  </r>
  <r>
    <x v="9"/>
    <n v="3"/>
    <n v="0.13043478260869565"/>
    <x v="34"/>
    <s v="outubro"/>
    <x v="0"/>
    <x v="1"/>
  </r>
  <r>
    <x v="12"/>
    <n v="0"/>
    <n v="0"/>
    <x v="34"/>
    <s v="outubro"/>
    <x v="0"/>
    <x v="1"/>
  </r>
  <r>
    <x v="13"/>
    <n v="7"/>
    <n v="0.30434782608695654"/>
    <x v="34"/>
    <s v="outubro"/>
    <x v="0"/>
    <x v="1"/>
  </r>
  <r>
    <x v="14"/>
    <n v="0"/>
    <n v="0"/>
    <x v="34"/>
    <s v="outubro"/>
    <x v="0"/>
    <x v="1"/>
  </r>
  <r>
    <x v="15"/>
    <n v="0"/>
    <n v="0"/>
    <x v="34"/>
    <s v="outubro"/>
    <x v="0"/>
    <x v="1"/>
  </r>
  <r>
    <x v="16"/>
    <n v="0"/>
    <n v="0"/>
    <x v="34"/>
    <s v="outubro"/>
    <x v="0"/>
    <x v="1"/>
  </r>
  <r>
    <x v="18"/>
    <n v="6"/>
    <n v="0.2608695652173913"/>
    <x v="34"/>
    <s v="outubro"/>
    <x v="0"/>
    <x v="1"/>
  </r>
  <r>
    <x v="17"/>
    <n v="0"/>
    <n v="0"/>
    <x v="34"/>
    <s v="outubro"/>
    <x v="0"/>
    <x v="1"/>
  </r>
  <r>
    <x v="0"/>
    <n v="4"/>
    <n v="0.66666666666666663"/>
    <x v="35"/>
    <s v="outubro"/>
    <x v="0"/>
    <x v="1"/>
  </r>
  <r>
    <x v="1"/>
    <n v="0"/>
    <n v="0"/>
    <x v="35"/>
    <s v="outubro"/>
    <x v="0"/>
    <x v="1"/>
  </r>
  <r>
    <x v="2"/>
    <n v="0"/>
    <n v="0"/>
    <x v="35"/>
    <s v="outubro"/>
    <x v="0"/>
    <x v="1"/>
  </r>
  <r>
    <x v="3"/>
    <n v="0"/>
    <n v="0"/>
    <x v="35"/>
    <s v="outubro"/>
    <x v="0"/>
    <x v="1"/>
  </r>
  <r>
    <x v="4"/>
    <n v="0"/>
    <n v="0"/>
    <x v="35"/>
    <s v="outubro"/>
    <x v="0"/>
    <x v="1"/>
  </r>
  <r>
    <x v="10"/>
    <n v="0"/>
    <n v="0"/>
    <x v="35"/>
    <s v="outubro"/>
    <x v="0"/>
    <x v="1"/>
  </r>
  <r>
    <x v="6"/>
    <n v="0"/>
    <n v="0"/>
    <x v="35"/>
    <s v="outubro"/>
    <x v="0"/>
    <x v="1"/>
  </r>
  <r>
    <x v="11"/>
    <n v="0"/>
    <n v="0"/>
    <x v="35"/>
    <s v="outubro"/>
    <x v="0"/>
    <x v="1"/>
  </r>
  <r>
    <x v="8"/>
    <n v="0"/>
    <n v="0"/>
    <x v="35"/>
    <s v="outubro"/>
    <x v="0"/>
    <x v="1"/>
  </r>
  <r>
    <x v="9"/>
    <n v="0"/>
    <n v="0"/>
    <x v="35"/>
    <s v="outubro"/>
    <x v="0"/>
    <x v="1"/>
  </r>
  <r>
    <x v="12"/>
    <n v="0"/>
    <n v="0"/>
    <x v="35"/>
    <s v="outubro"/>
    <x v="0"/>
    <x v="1"/>
  </r>
  <r>
    <x v="13"/>
    <n v="0"/>
    <n v="0"/>
    <x v="35"/>
    <s v="outubro"/>
    <x v="0"/>
    <x v="1"/>
  </r>
  <r>
    <x v="14"/>
    <n v="0"/>
    <n v="0"/>
    <x v="35"/>
    <s v="outubro"/>
    <x v="0"/>
    <x v="1"/>
  </r>
  <r>
    <x v="15"/>
    <n v="0"/>
    <n v="0"/>
    <x v="35"/>
    <s v="outubro"/>
    <x v="0"/>
    <x v="1"/>
  </r>
  <r>
    <x v="16"/>
    <n v="0"/>
    <n v="0"/>
    <x v="35"/>
    <s v="outubro"/>
    <x v="0"/>
    <x v="1"/>
  </r>
  <r>
    <x v="18"/>
    <n v="2"/>
    <n v="0.33333333333333331"/>
    <x v="35"/>
    <s v="outubro"/>
    <x v="0"/>
    <x v="1"/>
  </r>
  <r>
    <x v="17"/>
    <n v="0"/>
    <n v="0"/>
    <x v="35"/>
    <s v="outubro"/>
    <x v="0"/>
    <x v="1"/>
  </r>
  <r>
    <x v="0"/>
    <n v="0"/>
    <n v="0"/>
    <x v="36"/>
    <s v="novembro"/>
    <x v="0"/>
    <x v="1"/>
  </r>
  <r>
    <x v="1"/>
    <n v="0"/>
    <n v="0"/>
    <x v="36"/>
    <s v="novembro"/>
    <x v="0"/>
    <x v="1"/>
  </r>
  <r>
    <x v="2"/>
    <n v="0"/>
    <n v="0"/>
    <x v="36"/>
    <s v="novembro"/>
    <x v="0"/>
    <x v="1"/>
  </r>
  <r>
    <x v="3"/>
    <n v="0"/>
    <n v="0"/>
    <x v="36"/>
    <s v="novembro"/>
    <x v="0"/>
    <x v="1"/>
  </r>
  <r>
    <x v="4"/>
    <n v="0"/>
    <n v="0"/>
    <x v="36"/>
    <s v="novembro"/>
    <x v="0"/>
    <x v="1"/>
  </r>
  <r>
    <x v="10"/>
    <n v="5"/>
    <n v="0.38461538461538464"/>
    <x v="36"/>
    <s v="novembro"/>
    <x v="0"/>
    <x v="1"/>
  </r>
  <r>
    <x v="6"/>
    <n v="0"/>
    <n v="0"/>
    <x v="36"/>
    <s v="novembro"/>
    <x v="0"/>
    <x v="1"/>
  </r>
  <r>
    <x v="11"/>
    <n v="0"/>
    <n v="0"/>
    <x v="36"/>
    <s v="novembro"/>
    <x v="0"/>
    <x v="1"/>
  </r>
  <r>
    <x v="8"/>
    <n v="1"/>
    <n v="7.6923076923076927E-2"/>
    <x v="36"/>
    <s v="novembro"/>
    <x v="0"/>
    <x v="1"/>
  </r>
  <r>
    <x v="9"/>
    <n v="2"/>
    <n v="0.15384615384615385"/>
    <x v="36"/>
    <s v="novembro"/>
    <x v="0"/>
    <x v="1"/>
  </r>
  <r>
    <x v="12"/>
    <n v="0"/>
    <n v="0"/>
    <x v="36"/>
    <s v="novembro"/>
    <x v="0"/>
    <x v="1"/>
  </r>
  <r>
    <x v="13"/>
    <n v="2"/>
    <n v="0.15384615384615385"/>
    <x v="36"/>
    <s v="novembro"/>
    <x v="0"/>
    <x v="1"/>
  </r>
  <r>
    <x v="14"/>
    <n v="1"/>
    <n v="7.6923076923076927E-2"/>
    <x v="36"/>
    <s v="novembro"/>
    <x v="0"/>
    <x v="1"/>
  </r>
  <r>
    <x v="15"/>
    <n v="0"/>
    <n v="0"/>
    <x v="36"/>
    <s v="novembro"/>
    <x v="0"/>
    <x v="1"/>
  </r>
  <r>
    <x v="16"/>
    <n v="0"/>
    <n v="0"/>
    <x v="36"/>
    <s v="novembro"/>
    <x v="0"/>
    <x v="1"/>
  </r>
  <r>
    <x v="18"/>
    <n v="2"/>
    <n v="0.15384615384615385"/>
    <x v="36"/>
    <s v="novembro"/>
    <x v="0"/>
    <x v="1"/>
  </r>
  <r>
    <x v="17"/>
    <n v="0"/>
    <n v="0"/>
    <x v="36"/>
    <s v="novembro"/>
    <x v="0"/>
    <x v="1"/>
  </r>
  <r>
    <x v="0"/>
    <n v="0"/>
    <n v="0"/>
    <x v="37"/>
    <s v="novembro"/>
    <x v="0"/>
    <x v="1"/>
  </r>
  <r>
    <x v="1"/>
    <n v="0"/>
    <n v="0"/>
    <x v="37"/>
    <s v="novembro"/>
    <x v="0"/>
    <x v="1"/>
  </r>
  <r>
    <x v="2"/>
    <n v="0"/>
    <n v="0"/>
    <x v="37"/>
    <s v="novembro"/>
    <x v="0"/>
    <x v="1"/>
  </r>
  <r>
    <x v="3"/>
    <n v="0"/>
    <n v="0"/>
    <x v="37"/>
    <s v="novembro"/>
    <x v="0"/>
    <x v="1"/>
  </r>
  <r>
    <x v="4"/>
    <n v="0"/>
    <n v="0"/>
    <x v="37"/>
    <s v="novembro"/>
    <x v="0"/>
    <x v="1"/>
  </r>
  <r>
    <x v="10"/>
    <n v="1"/>
    <n v="0.5"/>
    <x v="37"/>
    <s v="novembro"/>
    <x v="0"/>
    <x v="1"/>
  </r>
  <r>
    <x v="6"/>
    <n v="0"/>
    <n v="0"/>
    <x v="37"/>
    <s v="novembro"/>
    <x v="0"/>
    <x v="1"/>
  </r>
  <r>
    <x v="11"/>
    <n v="0"/>
    <n v="0"/>
    <x v="37"/>
    <s v="novembro"/>
    <x v="0"/>
    <x v="1"/>
  </r>
  <r>
    <x v="8"/>
    <n v="1"/>
    <n v="0.5"/>
    <x v="37"/>
    <s v="novembro"/>
    <x v="0"/>
    <x v="1"/>
  </r>
  <r>
    <x v="9"/>
    <n v="0"/>
    <n v="0"/>
    <x v="37"/>
    <s v="novembro"/>
    <x v="0"/>
    <x v="1"/>
  </r>
  <r>
    <x v="12"/>
    <n v="0"/>
    <n v="0"/>
    <x v="37"/>
    <s v="novembro"/>
    <x v="0"/>
    <x v="1"/>
  </r>
  <r>
    <x v="13"/>
    <n v="0"/>
    <n v="0"/>
    <x v="37"/>
    <s v="novembro"/>
    <x v="0"/>
    <x v="1"/>
  </r>
  <r>
    <x v="14"/>
    <n v="0"/>
    <n v="0"/>
    <x v="37"/>
    <s v="novembro"/>
    <x v="0"/>
    <x v="1"/>
  </r>
  <r>
    <x v="15"/>
    <n v="0"/>
    <n v="0"/>
    <x v="37"/>
    <s v="novembro"/>
    <x v="0"/>
    <x v="1"/>
  </r>
  <r>
    <x v="16"/>
    <n v="0"/>
    <n v="0"/>
    <x v="37"/>
    <s v="novembro"/>
    <x v="0"/>
    <x v="1"/>
  </r>
  <r>
    <x v="18"/>
    <n v="0"/>
    <n v="0"/>
    <x v="37"/>
    <s v="novembro"/>
    <x v="0"/>
    <x v="1"/>
  </r>
  <r>
    <x v="17"/>
    <n v="0"/>
    <n v="0"/>
    <x v="37"/>
    <s v="novembro"/>
    <x v="0"/>
    <x v="1"/>
  </r>
  <r>
    <x v="0"/>
    <n v="0"/>
    <n v="0"/>
    <x v="38"/>
    <s v="novembro"/>
    <x v="0"/>
    <x v="1"/>
  </r>
  <r>
    <x v="1"/>
    <n v="0"/>
    <n v="0"/>
    <x v="38"/>
    <s v="novembro"/>
    <x v="0"/>
    <x v="1"/>
  </r>
  <r>
    <x v="2"/>
    <n v="0"/>
    <n v="0"/>
    <x v="38"/>
    <s v="novembro"/>
    <x v="0"/>
    <x v="1"/>
  </r>
  <r>
    <x v="3"/>
    <n v="0"/>
    <n v="0"/>
    <x v="38"/>
    <s v="novembro"/>
    <x v="0"/>
    <x v="1"/>
  </r>
  <r>
    <x v="4"/>
    <n v="0"/>
    <n v="0"/>
    <x v="38"/>
    <s v="novembro"/>
    <x v="0"/>
    <x v="1"/>
  </r>
  <r>
    <x v="10"/>
    <n v="0"/>
    <n v="0"/>
    <x v="38"/>
    <s v="novembro"/>
    <x v="0"/>
    <x v="1"/>
  </r>
  <r>
    <x v="6"/>
    <n v="0"/>
    <n v="0"/>
    <x v="38"/>
    <s v="novembro"/>
    <x v="0"/>
    <x v="1"/>
  </r>
  <r>
    <x v="11"/>
    <n v="0"/>
    <n v="0"/>
    <x v="38"/>
    <s v="novembro"/>
    <x v="0"/>
    <x v="1"/>
  </r>
  <r>
    <x v="8"/>
    <n v="0"/>
    <n v="0"/>
    <x v="38"/>
    <s v="novembro"/>
    <x v="0"/>
    <x v="1"/>
  </r>
  <r>
    <x v="9"/>
    <n v="1"/>
    <n v="1"/>
    <x v="38"/>
    <s v="novembro"/>
    <x v="0"/>
    <x v="1"/>
  </r>
  <r>
    <x v="12"/>
    <n v="0"/>
    <n v="0"/>
    <x v="38"/>
    <s v="novembro"/>
    <x v="0"/>
    <x v="1"/>
  </r>
  <r>
    <x v="13"/>
    <n v="0"/>
    <n v="0"/>
    <x v="38"/>
    <s v="novembro"/>
    <x v="0"/>
    <x v="1"/>
  </r>
  <r>
    <x v="14"/>
    <n v="0"/>
    <n v="0"/>
    <x v="38"/>
    <s v="novembro"/>
    <x v="0"/>
    <x v="1"/>
  </r>
  <r>
    <x v="15"/>
    <n v="0"/>
    <n v="0"/>
    <x v="38"/>
    <s v="novembro"/>
    <x v="0"/>
    <x v="1"/>
  </r>
  <r>
    <x v="16"/>
    <n v="0"/>
    <n v="0"/>
    <x v="38"/>
    <s v="novembro"/>
    <x v="0"/>
    <x v="1"/>
  </r>
  <r>
    <x v="18"/>
    <n v="0"/>
    <n v="0"/>
    <x v="38"/>
    <s v="novembro"/>
    <x v="0"/>
    <x v="1"/>
  </r>
  <r>
    <x v="17"/>
    <n v="0"/>
    <n v="0"/>
    <x v="38"/>
    <s v="novembro"/>
    <x v="0"/>
    <x v="1"/>
  </r>
  <r>
    <x v="0"/>
    <n v="1"/>
    <n v="0.25"/>
    <x v="39"/>
    <s v="dezembro"/>
    <x v="0"/>
    <x v="1"/>
  </r>
  <r>
    <x v="1"/>
    <n v="0"/>
    <n v="0"/>
    <x v="39"/>
    <s v="dezembro"/>
    <x v="0"/>
    <x v="1"/>
  </r>
  <r>
    <x v="2"/>
    <n v="0"/>
    <n v="0"/>
    <x v="39"/>
    <s v="dezembro"/>
    <x v="0"/>
    <x v="1"/>
  </r>
  <r>
    <x v="3"/>
    <n v="0"/>
    <n v="0"/>
    <x v="39"/>
    <s v="dezembro"/>
    <x v="0"/>
    <x v="1"/>
  </r>
  <r>
    <x v="4"/>
    <n v="0"/>
    <n v="0"/>
    <x v="39"/>
    <s v="dezembro"/>
    <x v="0"/>
    <x v="1"/>
  </r>
  <r>
    <x v="10"/>
    <n v="0"/>
    <n v="0"/>
    <x v="39"/>
    <s v="dezembro"/>
    <x v="0"/>
    <x v="1"/>
  </r>
  <r>
    <x v="6"/>
    <n v="1"/>
    <n v="0.25"/>
    <x v="39"/>
    <s v="dezembro"/>
    <x v="0"/>
    <x v="1"/>
  </r>
  <r>
    <x v="11"/>
    <n v="0"/>
    <n v="0"/>
    <x v="39"/>
    <s v="dezembro"/>
    <x v="0"/>
    <x v="1"/>
  </r>
  <r>
    <x v="8"/>
    <n v="1"/>
    <n v="0.25"/>
    <x v="39"/>
    <s v="dezembro"/>
    <x v="0"/>
    <x v="1"/>
  </r>
  <r>
    <x v="9"/>
    <n v="1"/>
    <n v="0.25"/>
    <x v="39"/>
    <s v="dezembro"/>
    <x v="0"/>
    <x v="1"/>
  </r>
  <r>
    <x v="12"/>
    <n v="0"/>
    <n v="0"/>
    <x v="39"/>
    <s v="dezembro"/>
    <x v="0"/>
    <x v="1"/>
  </r>
  <r>
    <x v="13"/>
    <n v="0"/>
    <n v="0"/>
    <x v="39"/>
    <s v="dezembro"/>
    <x v="0"/>
    <x v="1"/>
  </r>
  <r>
    <x v="14"/>
    <n v="0"/>
    <n v="0"/>
    <x v="39"/>
    <s v="dezembro"/>
    <x v="0"/>
    <x v="1"/>
  </r>
  <r>
    <x v="15"/>
    <n v="0"/>
    <n v="0"/>
    <x v="39"/>
    <s v="dezembro"/>
    <x v="0"/>
    <x v="1"/>
  </r>
  <r>
    <x v="16"/>
    <n v="0"/>
    <n v="0"/>
    <x v="39"/>
    <s v="dezembro"/>
    <x v="0"/>
    <x v="1"/>
  </r>
  <r>
    <x v="18"/>
    <n v="0"/>
    <n v="0"/>
    <x v="39"/>
    <s v="dezembro"/>
    <x v="0"/>
    <x v="1"/>
  </r>
  <r>
    <x v="17"/>
    <n v="0"/>
    <n v="0"/>
    <x v="39"/>
    <s v="dezembro"/>
    <x v="0"/>
    <x v="1"/>
  </r>
  <r>
    <x v="0"/>
    <n v="2"/>
    <n v="0.22222222222222221"/>
    <x v="40"/>
    <s v="janeiro"/>
    <x v="1"/>
    <x v="0"/>
  </r>
  <r>
    <x v="1"/>
    <n v="0"/>
    <n v="0"/>
    <x v="40"/>
    <s v="janeiro"/>
    <x v="1"/>
    <x v="0"/>
  </r>
  <r>
    <x v="2"/>
    <n v="0"/>
    <n v="0"/>
    <x v="40"/>
    <s v="janeiro"/>
    <x v="1"/>
    <x v="0"/>
  </r>
  <r>
    <x v="3"/>
    <n v="0"/>
    <n v="0"/>
    <x v="40"/>
    <s v="janeiro"/>
    <x v="1"/>
    <x v="0"/>
  </r>
  <r>
    <x v="4"/>
    <n v="1"/>
    <n v="0.1111111111111111"/>
    <x v="40"/>
    <s v="janeiro"/>
    <x v="1"/>
    <x v="0"/>
  </r>
  <r>
    <x v="10"/>
    <n v="4"/>
    <n v="0.44444444444444442"/>
    <x v="40"/>
    <s v="janeiro"/>
    <x v="1"/>
    <x v="0"/>
  </r>
  <r>
    <x v="6"/>
    <n v="0"/>
    <n v="0"/>
    <x v="40"/>
    <s v="janeiro"/>
    <x v="1"/>
    <x v="0"/>
  </r>
  <r>
    <x v="11"/>
    <n v="0"/>
    <n v="0"/>
    <x v="40"/>
    <s v="janeiro"/>
    <x v="1"/>
    <x v="0"/>
  </r>
  <r>
    <x v="8"/>
    <n v="0"/>
    <n v="0"/>
    <x v="40"/>
    <s v="janeiro"/>
    <x v="1"/>
    <x v="0"/>
  </r>
  <r>
    <x v="9"/>
    <n v="1"/>
    <n v="0.1111111111111111"/>
    <x v="40"/>
    <s v="janeiro"/>
    <x v="1"/>
    <x v="0"/>
  </r>
  <r>
    <x v="12"/>
    <n v="0"/>
    <n v="0"/>
    <x v="40"/>
    <s v="janeiro"/>
    <x v="1"/>
    <x v="0"/>
  </r>
  <r>
    <x v="13"/>
    <n v="0"/>
    <n v="0"/>
    <x v="40"/>
    <s v="janeiro"/>
    <x v="1"/>
    <x v="0"/>
  </r>
  <r>
    <x v="14"/>
    <n v="0"/>
    <n v="0"/>
    <x v="40"/>
    <s v="janeiro"/>
    <x v="1"/>
    <x v="0"/>
  </r>
  <r>
    <x v="15"/>
    <n v="1"/>
    <n v="0.1111111111111111"/>
    <x v="40"/>
    <s v="janeiro"/>
    <x v="1"/>
    <x v="0"/>
  </r>
  <r>
    <x v="16"/>
    <n v="0"/>
    <n v="0"/>
    <x v="40"/>
    <s v="janeiro"/>
    <x v="1"/>
    <x v="0"/>
  </r>
  <r>
    <x v="18"/>
    <n v="0"/>
    <n v="0"/>
    <x v="40"/>
    <s v="janeiro"/>
    <x v="1"/>
    <x v="0"/>
  </r>
  <r>
    <x v="17"/>
    <n v="0"/>
    <n v="0"/>
    <x v="40"/>
    <s v="janeiro"/>
    <x v="1"/>
    <x v="0"/>
  </r>
  <r>
    <x v="0"/>
    <n v="3"/>
    <n v="0.25"/>
    <x v="41"/>
    <s v="janeiro"/>
    <x v="1"/>
    <x v="0"/>
  </r>
  <r>
    <x v="1"/>
    <n v="0"/>
    <n v="0"/>
    <x v="41"/>
    <s v="janeiro"/>
    <x v="1"/>
    <x v="0"/>
  </r>
  <r>
    <x v="2"/>
    <n v="0"/>
    <n v="0"/>
    <x v="41"/>
    <s v="janeiro"/>
    <x v="1"/>
    <x v="0"/>
  </r>
  <r>
    <x v="3"/>
    <n v="0"/>
    <n v="0"/>
    <x v="41"/>
    <s v="janeiro"/>
    <x v="1"/>
    <x v="0"/>
  </r>
  <r>
    <x v="4"/>
    <n v="1"/>
    <n v="8.3333333333333329E-2"/>
    <x v="41"/>
    <s v="janeiro"/>
    <x v="1"/>
    <x v="0"/>
  </r>
  <r>
    <x v="10"/>
    <n v="2"/>
    <n v="0.16666666666666666"/>
    <x v="41"/>
    <s v="janeiro"/>
    <x v="1"/>
    <x v="0"/>
  </r>
  <r>
    <x v="6"/>
    <n v="0"/>
    <n v="0"/>
    <x v="41"/>
    <s v="janeiro"/>
    <x v="1"/>
    <x v="0"/>
  </r>
  <r>
    <x v="11"/>
    <n v="0"/>
    <n v="0"/>
    <x v="41"/>
    <s v="janeiro"/>
    <x v="1"/>
    <x v="0"/>
  </r>
  <r>
    <x v="8"/>
    <n v="1"/>
    <n v="8.3333333333333329E-2"/>
    <x v="41"/>
    <s v="janeiro"/>
    <x v="1"/>
    <x v="0"/>
  </r>
  <r>
    <x v="9"/>
    <n v="0"/>
    <n v="0"/>
    <x v="41"/>
    <s v="janeiro"/>
    <x v="1"/>
    <x v="0"/>
  </r>
  <r>
    <x v="12"/>
    <n v="2"/>
    <n v="0.16666666666666666"/>
    <x v="41"/>
    <s v="janeiro"/>
    <x v="1"/>
    <x v="0"/>
  </r>
  <r>
    <x v="13"/>
    <n v="3"/>
    <n v="0.25"/>
    <x v="41"/>
    <s v="janeiro"/>
    <x v="1"/>
    <x v="0"/>
  </r>
  <r>
    <x v="14"/>
    <n v="0"/>
    <n v="0"/>
    <x v="41"/>
    <s v="janeiro"/>
    <x v="1"/>
    <x v="0"/>
  </r>
  <r>
    <x v="15"/>
    <n v="0"/>
    <n v="0"/>
    <x v="41"/>
    <s v="janeiro"/>
    <x v="1"/>
    <x v="0"/>
  </r>
  <r>
    <x v="16"/>
    <n v="0"/>
    <n v="0"/>
    <x v="41"/>
    <s v="janeiro"/>
    <x v="1"/>
    <x v="0"/>
  </r>
  <r>
    <x v="18"/>
    <n v="0"/>
    <n v="0"/>
    <x v="41"/>
    <s v="janeiro"/>
    <x v="1"/>
    <x v="0"/>
  </r>
  <r>
    <x v="17"/>
    <n v="0"/>
    <n v="0"/>
    <x v="41"/>
    <s v="janeiro"/>
    <x v="1"/>
    <x v="0"/>
  </r>
  <r>
    <x v="0"/>
    <n v="0"/>
    <n v="0"/>
    <x v="42"/>
    <s v="janeiro"/>
    <x v="1"/>
    <x v="0"/>
  </r>
  <r>
    <x v="1"/>
    <n v="0"/>
    <n v="0"/>
    <x v="42"/>
    <s v="janeiro"/>
    <x v="1"/>
    <x v="0"/>
  </r>
  <r>
    <x v="2"/>
    <n v="1"/>
    <n v="1"/>
    <x v="42"/>
    <s v="janeiro"/>
    <x v="1"/>
    <x v="0"/>
  </r>
  <r>
    <x v="3"/>
    <n v="0"/>
    <n v="0"/>
    <x v="42"/>
    <s v="janeiro"/>
    <x v="1"/>
    <x v="0"/>
  </r>
  <r>
    <x v="4"/>
    <n v="0"/>
    <n v="0"/>
    <x v="42"/>
    <s v="janeiro"/>
    <x v="1"/>
    <x v="0"/>
  </r>
  <r>
    <x v="10"/>
    <n v="0"/>
    <n v="0"/>
    <x v="42"/>
    <s v="janeiro"/>
    <x v="1"/>
    <x v="0"/>
  </r>
  <r>
    <x v="6"/>
    <n v="0"/>
    <n v="0"/>
    <x v="42"/>
    <s v="janeiro"/>
    <x v="1"/>
    <x v="0"/>
  </r>
  <r>
    <x v="11"/>
    <n v="0"/>
    <n v="0"/>
    <x v="42"/>
    <s v="janeiro"/>
    <x v="1"/>
    <x v="0"/>
  </r>
  <r>
    <x v="8"/>
    <n v="0"/>
    <n v="0"/>
    <x v="42"/>
    <s v="janeiro"/>
    <x v="1"/>
    <x v="0"/>
  </r>
  <r>
    <x v="9"/>
    <n v="0"/>
    <n v="0"/>
    <x v="42"/>
    <s v="janeiro"/>
    <x v="1"/>
    <x v="0"/>
  </r>
  <r>
    <x v="12"/>
    <n v="0"/>
    <n v="0"/>
    <x v="42"/>
    <s v="janeiro"/>
    <x v="1"/>
    <x v="0"/>
  </r>
  <r>
    <x v="13"/>
    <n v="0"/>
    <n v="0"/>
    <x v="42"/>
    <s v="janeiro"/>
    <x v="1"/>
    <x v="0"/>
  </r>
  <r>
    <x v="14"/>
    <n v="0"/>
    <n v="0"/>
    <x v="42"/>
    <s v="janeiro"/>
    <x v="1"/>
    <x v="0"/>
  </r>
  <r>
    <x v="15"/>
    <n v="0"/>
    <n v="0"/>
    <x v="42"/>
    <s v="janeiro"/>
    <x v="1"/>
    <x v="0"/>
  </r>
  <r>
    <x v="16"/>
    <n v="0"/>
    <n v="0"/>
    <x v="42"/>
    <s v="janeiro"/>
    <x v="1"/>
    <x v="0"/>
  </r>
  <r>
    <x v="18"/>
    <n v="0"/>
    <n v="0"/>
    <x v="42"/>
    <s v="janeiro"/>
    <x v="1"/>
    <x v="0"/>
  </r>
  <r>
    <x v="17"/>
    <n v="0"/>
    <n v="0"/>
    <x v="42"/>
    <s v="janeiro"/>
    <x v="1"/>
    <x v="0"/>
  </r>
  <r>
    <x v="0"/>
    <n v="0"/>
    <n v="0"/>
    <x v="43"/>
    <s v="janeiro"/>
    <x v="1"/>
    <x v="0"/>
  </r>
  <r>
    <x v="1"/>
    <n v="0"/>
    <n v="0"/>
    <x v="43"/>
    <s v="janeiro"/>
    <x v="1"/>
    <x v="0"/>
  </r>
  <r>
    <x v="2"/>
    <n v="0"/>
    <n v="0"/>
    <x v="43"/>
    <s v="janeiro"/>
    <x v="1"/>
    <x v="0"/>
  </r>
  <r>
    <x v="3"/>
    <n v="0"/>
    <n v="0"/>
    <x v="43"/>
    <s v="janeiro"/>
    <x v="1"/>
    <x v="0"/>
  </r>
  <r>
    <x v="4"/>
    <n v="0"/>
    <n v="0"/>
    <x v="43"/>
    <s v="janeiro"/>
    <x v="1"/>
    <x v="0"/>
  </r>
  <r>
    <x v="10"/>
    <n v="10"/>
    <n v="0.27027027027027029"/>
    <x v="43"/>
    <s v="janeiro"/>
    <x v="1"/>
    <x v="0"/>
  </r>
  <r>
    <x v="6"/>
    <n v="0"/>
    <n v="0"/>
    <x v="43"/>
    <s v="janeiro"/>
    <x v="1"/>
    <x v="0"/>
  </r>
  <r>
    <x v="11"/>
    <n v="0"/>
    <n v="0"/>
    <x v="43"/>
    <s v="janeiro"/>
    <x v="1"/>
    <x v="0"/>
  </r>
  <r>
    <x v="8"/>
    <n v="0"/>
    <n v="0"/>
    <x v="43"/>
    <s v="janeiro"/>
    <x v="1"/>
    <x v="0"/>
  </r>
  <r>
    <x v="9"/>
    <n v="0"/>
    <n v="0"/>
    <x v="43"/>
    <s v="janeiro"/>
    <x v="1"/>
    <x v="0"/>
  </r>
  <r>
    <x v="12"/>
    <n v="0"/>
    <n v="0"/>
    <x v="43"/>
    <s v="janeiro"/>
    <x v="1"/>
    <x v="0"/>
  </r>
  <r>
    <x v="13"/>
    <n v="23"/>
    <n v="0.6216216216216216"/>
    <x v="43"/>
    <s v="janeiro"/>
    <x v="1"/>
    <x v="0"/>
  </r>
  <r>
    <x v="14"/>
    <n v="0"/>
    <n v="0"/>
    <x v="43"/>
    <s v="janeiro"/>
    <x v="1"/>
    <x v="0"/>
  </r>
  <r>
    <x v="15"/>
    <n v="4"/>
    <n v="0.10810810810810811"/>
    <x v="43"/>
    <s v="janeiro"/>
    <x v="1"/>
    <x v="0"/>
  </r>
  <r>
    <x v="16"/>
    <n v="0"/>
    <n v="0"/>
    <x v="43"/>
    <s v="janeiro"/>
    <x v="1"/>
    <x v="0"/>
  </r>
  <r>
    <x v="18"/>
    <n v="0"/>
    <n v="0"/>
    <x v="43"/>
    <s v="janeiro"/>
    <x v="1"/>
    <x v="0"/>
  </r>
  <r>
    <x v="17"/>
    <n v="0"/>
    <n v="0"/>
    <x v="43"/>
    <s v="janeiro"/>
    <x v="1"/>
    <x v="0"/>
  </r>
  <r>
    <x v="0"/>
    <n v="1"/>
    <n v="2.9411764705882353E-2"/>
    <x v="44"/>
    <s v="fevereiro"/>
    <x v="1"/>
    <x v="0"/>
  </r>
  <r>
    <x v="1"/>
    <n v="2"/>
    <n v="5.8823529411764705E-2"/>
    <x v="44"/>
    <s v="fevereiro"/>
    <x v="1"/>
    <x v="0"/>
  </r>
  <r>
    <x v="2"/>
    <n v="0"/>
    <n v="0"/>
    <x v="44"/>
    <s v="fevereiro"/>
    <x v="1"/>
    <x v="0"/>
  </r>
  <r>
    <x v="3"/>
    <n v="0"/>
    <n v="0"/>
    <x v="44"/>
    <s v="fevereiro"/>
    <x v="1"/>
    <x v="0"/>
  </r>
  <r>
    <x v="4"/>
    <n v="0"/>
    <n v="0"/>
    <x v="44"/>
    <s v="fevereiro"/>
    <x v="1"/>
    <x v="0"/>
  </r>
  <r>
    <x v="10"/>
    <n v="1"/>
    <n v="2.9411764705882353E-2"/>
    <x v="44"/>
    <s v="fevereiro"/>
    <x v="1"/>
    <x v="0"/>
  </r>
  <r>
    <x v="6"/>
    <n v="0"/>
    <n v="0"/>
    <x v="44"/>
    <s v="fevereiro"/>
    <x v="1"/>
    <x v="0"/>
  </r>
  <r>
    <x v="11"/>
    <n v="0"/>
    <n v="0"/>
    <x v="44"/>
    <s v="fevereiro"/>
    <x v="1"/>
    <x v="0"/>
  </r>
  <r>
    <x v="8"/>
    <n v="6"/>
    <n v="0.17647058823529413"/>
    <x v="44"/>
    <s v="fevereiro"/>
    <x v="1"/>
    <x v="0"/>
  </r>
  <r>
    <x v="9"/>
    <n v="0"/>
    <n v="0"/>
    <x v="44"/>
    <s v="fevereiro"/>
    <x v="1"/>
    <x v="0"/>
  </r>
  <r>
    <x v="12"/>
    <n v="1"/>
    <n v="2.9411764705882353E-2"/>
    <x v="44"/>
    <s v="fevereiro"/>
    <x v="1"/>
    <x v="0"/>
  </r>
  <r>
    <x v="13"/>
    <n v="20"/>
    <n v="0.58823529411764708"/>
    <x v="44"/>
    <s v="fevereiro"/>
    <x v="1"/>
    <x v="0"/>
  </r>
  <r>
    <x v="14"/>
    <n v="0"/>
    <n v="0"/>
    <x v="44"/>
    <s v="fevereiro"/>
    <x v="1"/>
    <x v="0"/>
  </r>
  <r>
    <x v="15"/>
    <n v="2"/>
    <n v="5.8823529411764705E-2"/>
    <x v="44"/>
    <s v="fevereiro"/>
    <x v="1"/>
    <x v="0"/>
  </r>
  <r>
    <x v="16"/>
    <n v="0"/>
    <n v="0"/>
    <x v="44"/>
    <s v="fevereiro"/>
    <x v="1"/>
    <x v="0"/>
  </r>
  <r>
    <x v="18"/>
    <n v="0"/>
    <n v="0"/>
    <x v="44"/>
    <s v="fevereiro"/>
    <x v="1"/>
    <x v="0"/>
  </r>
  <r>
    <x v="17"/>
    <n v="1"/>
    <n v="2.9411764705882353E-2"/>
    <x v="44"/>
    <s v="fevereiro"/>
    <x v="1"/>
    <x v="0"/>
  </r>
  <r>
    <x v="0"/>
    <n v="0"/>
    <n v="0"/>
    <x v="45"/>
    <s v="fevereiro"/>
    <x v="1"/>
    <x v="0"/>
  </r>
  <r>
    <x v="1"/>
    <n v="2"/>
    <n v="9.5238095238095233E-2"/>
    <x v="45"/>
    <s v="fevereiro"/>
    <x v="1"/>
    <x v="0"/>
  </r>
  <r>
    <x v="2"/>
    <n v="0"/>
    <n v="0"/>
    <x v="45"/>
    <s v="fevereiro"/>
    <x v="1"/>
    <x v="0"/>
  </r>
  <r>
    <x v="3"/>
    <n v="0"/>
    <n v="0"/>
    <x v="45"/>
    <s v="fevereiro"/>
    <x v="1"/>
    <x v="0"/>
  </r>
  <r>
    <x v="4"/>
    <n v="0"/>
    <n v="0"/>
    <x v="45"/>
    <s v="fevereiro"/>
    <x v="1"/>
    <x v="0"/>
  </r>
  <r>
    <x v="10"/>
    <n v="0"/>
    <n v="0"/>
    <x v="45"/>
    <s v="fevereiro"/>
    <x v="1"/>
    <x v="0"/>
  </r>
  <r>
    <x v="6"/>
    <n v="1"/>
    <n v="4.7619047619047616E-2"/>
    <x v="45"/>
    <s v="fevereiro"/>
    <x v="1"/>
    <x v="0"/>
  </r>
  <r>
    <x v="11"/>
    <n v="0"/>
    <n v="0"/>
    <x v="45"/>
    <s v="fevereiro"/>
    <x v="1"/>
    <x v="0"/>
  </r>
  <r>
    <x v="8"/>
    <n v="0"/>
    <n v="0"/>
    <x v="45"/>
    <s v="fevereiro"/>
    <x v="1"/>
    <x v="0"/>
  </r>
  <r>
    <x v="9"/>
    <n v="2"/>
    <n v="9.5238095238095233E-2"/>
    <x v="45"/>
    <s v="fevereiro"/>
    <x v="1"/>
    <x v="0"/>
  </r>
  <r>
    <x v="12"/>
    <n v="1"/>
    <n v="4.7619047619047616E-2"/>
    <x v="45"/>
    <s v="fevereiro"/>
    <x v="1"/>
    <x v="0"/>
  </r>
  <r>
    <x v="13"/>
    <n v="10"/>
    <n v="0.47619047619047616"/>
    <x v="45"/>
    <s v="fevereiro"/>
    <x v="1"/>
    <x v="0"/>
  </r>
  <r>
    <x v="14"/>
    <n v="0"/>
    <n v="0"/>
    <x v="45"/>
    <s v="fevereiro"/>
    <x v="1"/>
    <x v="0"/>
  </r>
  <r>
    <x v="15"/>
    <n v="4"/>
    <n v="0.19047619047619047"/>
    <x v="45"/>
    <s v="fevereiro"/>
    <x v="1"/>
    <x v="0"/>
  </r>
  <r>
    <x v="16"/>
    <n v="0"/>
    <n v="0"/>
    <x v="45"/>
    <s v="fevereiro"/>
    <x v="1"/>
    <x v="0"/>
  </r>
  <r>
    <x v="18"/>
    <n v="0"/>
    <n v="0"/>
    <x v="45"/>
    <s v="fevereiro"/>
    <x v="1"/>
    <x v="0"/>
  </r>
  <r>
    <x v="17"/>
    <n v="1"/>
    <n v="4.7619047619047616E-2"/>
    <x v="45"/>
    <s v="fevereiro"/>
    <x v="1"/>
    <x v="0"/>
  </r>
  <r>
    <x v="0"/>
    <n v="0"/>
    <n v="0"/>
    <x v="46"/>
    <s v="fevereiro"/>
    <x v="1"/>
    <x v="0"/>
  </r>
  <r>
    <x v="1"/>
    <n v="2"/>
    <n v="0.18181818181818182"/>
    <x v="46"/>
    <s v="fevereiro"/>
    <x v="1"/>
    <x v="0"/>
  </r>
  <r>
    <x v="2"/>
    <n v="1"/>
    <n v="9.0909090909090912E-2"/>
    <x v="46"/>
    <s v="fevereiro"/>
    <x v="1"/>
    <x v="0"/>
  </r>
  <r>
    <x v="3"/>
    <n v="0"/>
    <n v="0"/>
    <x v="46"/>
    <s v="fevereiro"/>
    <x v="1"/>
    <x v="0"/>
  </r>
  <r>
    <x v="4"/>
    <n v="0"/>
    <n v="0"/>
    <x v="46"/>
    <s v="fevereiro"/>
    <x v="1"/>
    <x v="0"/>
  </r>
  <r>
    <x v="10"/>
    <n v="0"/>
    <n v="0"/>
    <x v="46"/>
    <s v="fevereiro"/>
    <x v="1"/>
    <x v="0"/>
  </r>
  <r>
    <x v="6"/>
    <n v="0"/>
    <n v="0"/>
    <x v="46"/>
    <s v="fevereiro"/>
    <x v="1"/>
    <x v="0"/>
  </r>
  <r>
    <x v="11"/>
    <n v="0"/>
    <n v="0"/>
    <x v="46"/>
    <s v="fevereiro"/>
    <x v="1"/>
    <x v="0"/>
  </r>
  <r>
    <x v="8"/>
    <n v="0"/>
    <n v="0"/>
    <x v="46"/>
    <s v="fevereiro"/>
    <x v="1"/>
    <x v="0"/>
  </r>
  <r>
    <x v="9"/>
    <n v="0"/>
    <n v="0"/>
    <x v="46"/>
    <s v="fevereiro"/>
    <x v="1"/>
    <x v="0"/>
  </r>
  <r>
    <x v="12"/>
    <n v="0"/>
    <n v="0"/>
    <x v="46"/>
    <s v="fevereiro"/>
    <x v="1"/>
    <x v="0"/>
  </r>
  <r>
    <x v="13"/>
    <n v="7"/>
    <n v="0.63636363636363635"/>
    <x v="46"/>
    <s v="fevereiro"/>
    <x v="1"/>
    <x v="0"/>
  </r>
  <r>
    <x v="14"/>
    <n v="0"/>
    <n v="0"/>
    <x v="46"/>
    <s v="fevereiro"/>
    <x v="1"/>
    <x v="0"/>
  </r>
  <r>
    <x v="15"/>
    <n v="0"/>
    <n v="0"/>
    <x v="46"/>
    <s v="fevereiro"/>
    <x v="1"/>
    <x v="0"/>
  </r>
  <r>
    <x v="16"/>
    <n v="0"/>
    <n v="0"/>
    <x v="46"/>
    <s v="fevereiro"/>
    <x v="1"/>
    <x v="0"/>
  </r>
  <r>
    <x v="18"/>
    <n v="0"/>
    <n v="0"/>
    <x v="46"/>
    <s v="fevereiro"/>
    <x v="1"/>
    <x v="0"/>
  </r>
  <r>
    <x v="17"/>
    <n v="1"/>
    <n v="9.0909090909090912E-2"/>
    <x v="46"/>
    <s v="fevereiro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8E3BE-4B0C-426C-BE30-460B295882F6}" name="Analise1" cacheId="2" applyNumberFormats="0" applyBorderFormats="0" applyFontFormats="0" applyPatternFormats="0" applyAlignmentFormats="0" applyWidthHeightFormats="1" dataCaption="Valores" updatedVersion="8" minRefreshableVersion="3" preserveFormatting="0" rowGrandTotals="0" colGrandTotals="0" itemPrintTitles="1" createdVersion="8" indent="0" outline="1" outlineData="1" multipleFieldFilters="0" chartFormat="15">
  <location ref="A3:B4" firstHeaderRow="1" firstDataRow="1" firstDataCol="1"/>
  <pivotFields count="7">
    <pivotField axis="axisRow" showAll="0" measureFilter="1">
      <items count="21">
        <item x="1"/>
        <item x="3"/>
        <item x="14"/>
        <item x="9"/>
        <item x="5"/>
        <item x="10"/>
        <item x="13"/>
        <item x="12"/>
        <item x="6"/>
        <item x="7"/>
        <item x="8"/>
        <item x="4"/>
        <item x="0"/>
        <item x="2"/>
        <item x="11"/>
        <item x="15"/>
        <item x="16"/>
        <item m="1" x="19"/>
        <item x="17"/>
        <item x="18"/>
        <item t="default"/>
      </items>
    </pivotField>
    <pivotField dataField="1" showAll="0"/>
    <pivotField numFmtId="9" showAll="0"/>
    <pivotField numFmtId="14" showAll="0">
      <items count="49">
        <item h="1" m="1" x="47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x="42"/>
        <item h="1" x="43"/>
        <item h="1" x="44"/>
        <item h="1" x="45"/>
        <item h="1" x="46"/>
        <item t="default"/>
      </items>
    </pivotField>
    <pivotField showAll="0"/>
    <pivotField showAll="0"/>
    <pivotField showAll="0"/>
  </pivotFields>
  <rowFields count="1">
    <field x="0"/>
  </rowFields>
  <rowItems count="1">
    <i>
      <x v="13"/>
    </i>
  </rowItems>
  <colItems count="1">
    <i/>
  </colItems>
  <dataFields count="1">
    <dataField name="Percentual Semanal" fld="1" showDataAs="percentOfTotal" baseField="0" baseItem="0" numFmtId="10"/>
  </dataFields>
  <chartFormats count="19">
    <chartFormat chart="12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2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2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2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2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2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2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2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2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2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2" format="4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0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486E5-05D7-47FC-8081-2663F50F5B93}" name="Analise1b" cacheId="2" applyNumberFormats="0" applyBorderFormats="0" applyFontFormats="0" applyPatternFormats="0" applyAlignmentFormats="0" applyWidthHeightFormats="1" dataCaption="Valores" updatedVersion="8" minRefreshableVersion="3" preserveFormatting="0" rowGrandTotals="0" colGrandTotals="0" itemPrintTitles="1" createdVersion="8" indent="0" outline="1" outlineData="1" multipleFieldFilters="0" chartFormat="25">
  <location ref="D3:E4" firstHeaderRow="1" firstDataRow="1" firstDataCol="1"/>
  <pivotFields count="7">
    <pivotField axis="axisRow" showAll="0" measureFilter="1">
      <items count="21">
        <item x="1"/>
        <item x="3"/>
        <item x="14"/>
        <item x="9"/>
        <item x="5"/>
        <item x="10"/>
        <item x="13"/>
        <item x="12"/>
        <item x="6"/>
        <item x="7"/>
        <item x="8"/>
        <item x="4"/>
        <item x="0"/>
        <item x="2"/>
        <item x="11"/>
        <item x="15"/>
        <item x="16"/>
        <item m="1" x="19"/>
        <item x="17"/>
        <item x="18"/>
        <item t="default"/>
      </items>
    </pivotField>
    <pivotField dataField="1" showAll="0"/>
    <pivotField numFmtId="9" showAll="0"/>
    <pivotField numFmtId="14" showAll="0">
      <items count="49">
        <item h="1" m="1" x="47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x="42"/>
        <item h="1" x="43"/>
        <item h="1" x="44"/>
        <item h="1" x="45"/>
        <item h="1" x="46"/>
        <item t="default"/>
      </items>
    </pivotField>
    <pivotField showAll="0"/>
    <pivotField showAll="0"/>
    <pivotField showAll="0"/>
  </pivotFields>
  <rowFields count="1">
    <field x="0"/>
  </rowFields>
  <rowItems count="1">
    <i>
      <x v="13"/>
    </i>
  </rowItems>
  <colItems count="1">
    <i/>
  </colItems>
  <dataFields count="1">
    <dataField name="Contagem Semanal" fld="1" baseField="0" baseItem="0"/>
  </dataFields>
  <chartFormats count="1"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0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339D1-BDF9-43C0-85D4-65ABE6AD5C1A}" name="Analise2b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>
  <location ref="D3:E15" firstHeaderRow="1" firstDataRow="1" firstDataCol="1"/>
  <pivotFields count="7">
    <pivotField axis="axisRow" showAll="0" measureFilter="1">
      <items count="21">
        <item x="1"/>
        <item x="3"/>
        <item x="14"/>
        <item x="9"/>
        <item x="5"/>
        <item x="10"/>
        <item x="13"/>
        <item x="12"/>
        <item x="6"/>
        <item x="7"/>
        <item x="8"/>
        <item x="4"/>
        <item x="0"/>
        <item x="2"/>
        <item x="11"/>
        <item x="15"/>
        <item x="16"/>
        <item m="1" x="19"/>
        <item x="17"/>
        <item x="18"/>
        <item t="default"/>
      </items>
    </pivotField>
    <pivotField dataField="1" showAll="0"/>
    <pivotField numFmtId="9" showAll="0"/>
    <pivotField numFmtId="14" showAll="0"/>
    <pivotField showAll="0"/>
    <pivotField showAll="0">
      <items count="3">
        <item h="1" x="0"/>
        <item x="1"/>
        <item t="default"/>
      </items>
    </pivotField>
    <pivotField showAll="0">
      <items count="4">
        <item x="0"/>
        <item x="1"/>
        <item m="1" x="2"/>
        <item t="default"/>
      </items>
    </pivotField>
  </pivotFields>
  <rowFields count="1">
    <field x="0"/>
  </rowFields>
  <rowItems count="12">
    <i>
      <x/>
    </i>
    <i>
      <x v="3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5"/>
    </i>
    <i>
      <x v="18"/>
    </i>
  </rowItems>
  <colItems count="1">
    <i/>
  </colItems>
  <dataFields count="1">
    <dataField name="Contagem Anual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5EDF5-55D7-4F78-A517-4E236EEB6193}" name="Analise2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>
  <location ref="A3:B15" firstHeaderRow="1" firstDataRow="1" firstDataCol="1"/>
  <pivotFields count="7">
    <pivotField axis="axisRow" showAll="0" measureFilter="1" sortType="ascending">
      <items count="21">
        <item m="1" x="19"/>
        <item x="1"/>
        <item x="3"/>
        <item x="14"/>
        <item x="9"/>
        <item x="17"/>
        <item x="5"/>
        <item x="10"/>
        <item x="13"/>
        <item x="15"/>
        <item x="16"/>
        <item x="12"/>
        <item x="6"/>
        <item x="7"/>
        <item x="8"/>
        <item x="4"/>
        <item x="0"/>
        <item x="18"/>
        <item x="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9" showAll="0"/>
    <pivotField numFmtId="14" showAll="0"/>
    <pivotField showAll="0"/>
    <pivotField showAll="0">
      <items count="3">
        <item h="1" x="0"/>
        <item x="1"/>
        <item t="default"/>
      </items>
    </pivotField>
    <pivotField showAll="0">
      <items count="4">
        <item x="0"/>
        <item x="1"/>
        <item m="1" x="2"/>
        <item t="default"/>
      </items>
    </pivotField>
  </pivotFields>
  <rowFields count="1">
    <field x="0"/>
  </rowFields>
  <rowItems count="12">
    <i>
      <x v="12"/>
    </i>
    <i>
      <x v="15"/>
    </i>
    <i>
      <x v="18"/>
    </i>
    <i>
      <x v="5"/>
    </i>
    <i>
      <x v="4"/>
    </i>
    <i>
      <x v="11"/>
    </i>
    <i>
      <x v="1"/>
    </i>
    <i>
      <x v="16"/>
    </i>
    <i>
      <x v="14"/>
    </i>
    <i>
      <x v="9"/>
    </i>
    <i>
      <x v="7"/>
    </i>
    <i>
      <x v="8"/>
    </i>
  </rowItems>
  <colItems count="1">
    <i/>
  </colItems>
  <dataFields count="1">
    <dataField name="Percentual Anual" fld="1" showDataAs="percentOfTotal" baseField="0" baseItem="0" numFmtId="10"/>
  </dataFields>
  <chartFormats count="19">
    <chartFormat chart="3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D5068F4-7FC2-4AF8-9D30-E12C6CCF547A}" autoFormatId="16" applyNumberFormats="0" applyBorderFormats="0" applyFontFormats="0" applyPatternFormats="0" applyAlignmentFormats="0" applyWidthHeightFormats="0">
  <queryTableRefresh nextId="20" unboundColumnsRight="3">
    <queryTableFields count="7">
      <queryTableField id="1" name="Parâmetros" tableColumnId="9"/>
      <queryTableField id="2" name="Contagem" tableColumnId="2"/>
      <queryTableField id="3" name="Porcentagem" tableColumnId="3"/>
      <queryTableField id="4" name="Semana.1" tableColumnId="4"/>
      <queryTableField id="19" dataBound="0" tableColumnId="6"/>
      <queryTableField id="13" dataBound="0" tableColumnId="1"/>
      <queryTableField id="14" dataBound="0" tableColumnId="5"/>
    </queryTableFields>
    <queryTableDeletedFields count="12">
      <deletedField name="Semana.3"/>
      <deletedField name="Contegem"/>
      <deletedField name="Semana"/>
      <deletedField name="Semana.2"/>
      <deletedField name="Semana.3"/>
      <deletedField name="Contegem"/>
      <deletedField name="Semana"/>
      <deletedField name="Semana.2"/>
      <deletedField name="Semana.3"/>
      <deletedField name="Contegem"/>
      <deletedField name="Semana"/>
      <deletedField name="Semana.2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1B5BEEA2-7692-420C-801F-E27A2469D34A}" sourceName="Ano">
  <pivotTables>
    <pivotTable tabId="44" name="Analise2"/>
    <pivotTable tabId="44" name="Analise2b"/>
  </pivotTables>
  <data>
    <tabular pivotCacheId="2082317187">
      <items count="2">
        <i x="0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o" xr10:uid="{8FFB35EE-FFF7-465F-B890-950527C32990}" sourceName="Periodo">
  <pivotTables>
    <pivotTable tabId="44" name="Analise2"/>
    <pivotTable tabId="44" name="Analise2b"/>
  </pivotTables>
  <data>
    <tabular pivotCacheId="2082317187">
      <items count="3">
        <i x="0" s="1"/>
        <i x="1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B665D42D-DAC2-4FDC-95C0-708A8675F7DB}" sourceName="Semana">
  <pivotTables>
    <pivotTable tabId="43" name="Analise1b"/>
    <pivotTable tabId="43" name="Analise1"/>
  </pivotTables>
  <data>
    <tabular pivotCacheId="2082317187">
      <items count="48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 s="1"/>
        <i x="43"/>
        <i x="44"/>
        <i x="45"/>
        <i x="46"/>
        <i x="4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" xr10:uid="{432F2730-2789-4B1F-A896-A3EE650B5B2C}" cache="SegmentaçãodeDados_Semana" caption="Semana" startItem="24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D79D163F-12B7-44A2-A7F4-FE90998896C5}" cache="SegmentaçãodeDados_Ano" caption="Ano" style="SlicerStyleLight6" rowHeight="241300"/>
  <slicer name="Periodo" xr10:uid="{E770A78B-1ABB-4FE4-A405-8E79C2319202}" cache="SegmentaçãodeDados_Periodo" caption="Periodo" style="SlicerStyleLight6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0F8283D2-E4D2-41ED-97B0-26707ACA00D1}" cache="SegmentaçãodeDados_Ano" caption="Ano" style="Estilo de Segmentação de Dados 1" rowHeight="241300"/>
  <slicer name="Periodo 1" xr10:uid="{7429D0A8-9F8C-4D92-8C76-CD44476EEC1C}" cache="SegmentaçãodeDados_Periodo" caption="Periodo" style="Estilo de Segmentação de Dados 1" rowHeight="241300"/>
  <slicer name="Semana 1" xr10:uid="{1D5D694B-8EBD-46F8-8981-CE093D859437}" cache="SegmentaçãodeDados_Semana" caption="Semana" startItem="29" showCaption="0" style="Estilo de Segmentação de Dados 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FD6A0-8415-4F28-9288-2B7CD1563704}" name="Base_de_Dados" displayName="Base_de_Dados" ref="A1:G1064" tableType="queryTable" totalsRowShown="0">
  <autoFilter ref="A1:G1064" xr:uid="{AA6FD6A0-8415-4F28-9288-2B7CD1563704}"/>
  <sortState xmlns:xlrd2="http://schemas.microsoft.com/office/spreadsheetml/2017/richdata2" ref="A2:G225">
    <sortCondition ref="D1:D225"/>
  </sortState>
  <tableColumns count="7">
    <tableColumn id="9" xr3:uid="{3695338D-7FBF-4B89-AD64-E48D263869C0}" uniqueName="9" name="Parâmetros" queryTableFieldId="1" dataDxfId="3354"/>
    <tableColumn id="2" xr3:uid="{77CDE750-DDBB-4AC8-8F14-9BD9BC06068E}" uniqueName="2" name="Contagem" queryTableFieldId="2"/>
    <tableColumn id="3" xr3:uid="{BC3F1452-9BBE-438F-A33F-245C18541C5E}" uniqueName="3" name="Porcentagem" queryTableFieldId="3" dataDxfId="3353" dataCellStyle="Porcentagem"/>
    <tableColumn id="4" xr3:uid="{35FDABB4-3E3F-403F-8338-83BD340ED8E4}" uniqueName="4" name="Semana" queryTableFieldId="4" dataDxfId="3352"/>
    <tableColumn id="6" xr3:uid="{26244519-F719-47C9-8720-9170805ACB41}" uniqueName="6" name="Mês" queryTableFieldId="19" dataDxfId="3351">
      <calculatedColumnFormula>TEXT(Base_de_Dados[[#This Row],[Semana]],"Mmmm")</calculatedColumnFormula>
    </tableColumn>
    <tableColumn id="1" xr3:uid="{FA53751C-24DA-4D90-8C1A-A160DAE605FF}" uniqueName="1" name="Ano" queryTableFieldId="13">
      <calculatedColumnFormula>YEAR(D2)</calculatedColumnFormula>
    </tableColumn>
    <tableColumn id="5" xr3:uid="{48F1E5E2-ED38-4500-B9C1-A5238F7A5F13}" uniqueName="5" name="Periodo" queryTableFieldId="14">
      <calculatedColumnFormula>IF(MONTH(Base_de_Dados[[#This Row],[Semana]])&lt;=6,"1ª Semestre","2ª Semestre")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0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1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4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49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0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1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2.xml"/></Relationships>
</file>

<file path=xl/worksheets/_rels/sheet7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1E6D-E0B7-4FB0-AB8E-71451531883A}">
  <sheetPr>
    <tabColor rgb="FF00B050"/>
  </sheetPr>
  <dimension ref="A1:W16"/>
  <sheetViews>
    <sheetView topLeftCell="H16" zoomScale="110" zoomScaleNormal="110" workbookViewId="0">
      <selection activeCell="X2" sqref="X2"/>
    </sheetView>
  </sheetViews>
  <sheetFormatPr defaultRowHeight="15" x14ac:dyDescent="0.25"/>
  <cols>
    <col min="1" max="1" width="16.140625" customWidth="1"/>
    <col min="2" max="3" width="6.7109375" bestFit="1" customWidth="1"/>
    <col min="4" max="4" width="7.28515625" bestFit="1" customWidth="1"/>
    <col min="22" max="22" width="10" customWidth="1"/>
  </cols>
  <sheetData>
    <row r="1" spans="1:23" ht="18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57"/>
      <c r="V1" s="57"/>
    </row>
    <row r="2" spans="1:23" x14ac:dyDescent="0.25">
      <c r="A2" s="32" t="s">
        <v>1</v>
      </c>
      <c r="B2" s="30">
        <v>44613</v>
      </c>
      <c r="C2" s="30">
        <v>44620</v>
      </c>
      <c r="D2" s="30">
        <v>44627</v>
      </c>
      <c r="E2" s="30">
        <v>44634</v>
      </c>
      <c r="F2" s="30">
        <v>44641</v>
      </c>
      <c r="G2" s="30">
        <v>44648</v>
      </c>
      <c r="H2" s="30">
        <v>44655</v>
      </c>
      <c r="I2" s="30">
        <v>44662</v>
      </c>
      <c r="J2" s="30">
        <v>44669</v>
      </c>
      <c r="K2" s="30">
        <v>44676</v>
      </c>
      <c r="L2" s="30">
        <v>44683</v>
      </c>
      <c r="M2" s="30">
        <v>44690</v>
      </c>
      <c r="N2" s="30">
        <v>44697</v>
      </c>
      <c r="O2" s="30">
        <v>44704</v>
      </c>
      <c r="P2" s="30">
        <v>44711</v>
      </c>
      <c r="Q2" s="30">
        <v>44718</v>
      </c>
      <c r="R2" s="30">
        <v>44725</v>
      </c>
      <c r="S2" s="30">
        <v>44732</v>
      </c>
      <c r="T2" s="30">
        <v>44739</v>
      </c>
      <c r="U2" s="34" t="s">
        <v>2</v>
      </c>
      <c r="V2" s="31" t="s">
        <v>3</v>
      </c>
      <c r="W2" s="30">
        <v>44746</v>
      </c>
    </row>
    <row r="3" spans="1:23" x14ac:dyDescent="0.25">
      <c r="A3" s="36" t="s">
        <v>4</v>
      </c>
      <c r="B3">
        <f>'21 02 2022'!K5</f>
        <v>0</v>
      </c>
      <c r="C3">
        <f>'28 02 2022'!K5</f>
        <v>0</v>
      </c>
      <c r="D3">
        <f>'07 03 2022'!K5</f>
        <v>5</v>
      </c>
      <c r="E3">
        <f>'14 03 2022'!K5</f>
        <v>3</v>
      </c>
      <c r="F3">
        <f>'21 03 2022'!K5</f>
        <v>3</v>
      </c>
      <c r="G3">
        <f>'28 03 2022'!K5</f>
        <v>3</v>
      </c>
      <c r="H3">
        <f>'04 04 2022'!K5</f>
        <v>1</v>
      </c>
      <c r="I3">
        <f>'11 04 2022'!K5</f>
        <v>2</v>
      </c>
      <c r="J3">
        <f>'18 04 2022'!K5</f>
        <v>1</v>
      </c>
      <c r="K3">
        <f>'25 04 2022'!K5</f>
        <v>3</v>
      </c>
      <c r="L3">
        <f>'02 05 2022'!K5</f>
        <v>3</v>
      </c>
      <c r="M3">
        <f>'09 05 2022'!K5</f>
        <v>3</v>
      </c>
      <c r="N3">
        <f>'16 05 2022 '!K5</f>
        <v>1</v>
      </c>
      <c r="O3">
        <f>'23 05 2022 '!K5</f>
        <v>4</v>
      </c>
      <c r="P3">
        <f>'30 05 2022 '!K5</f>
        <v>2</v>
      </c>
      <c r="Q3">
        <f>'06 06 2022  '!K5</f>
        <v>2</v>
      </c>
      <c r="R3">
        <f>'13 06 2022  '!K5</f>
        <v>4</v>
      </c>
      <c r="T3">
        <f>'27 06 2022   '!K5</f>
        <v>4</v>
      </c>
      <c r="U3" s="35">
        <f>SUM(B3:T3)</f>
        <v>44</v>
      </c>
      <c r="V3" s="3">
        <f>U3/$U$16</f>
        <v>0.27329192546583853</v>
      </c>
      <c r="W3">
        <f>'04 07 2022    '!K5</f>
        <v>1</v>
      </c>
    </row>
    <row r="4" spans="1:23" x14ac:dyDescent="0.25">
      <c r="A4" s="16" t="s">
        <v>5</v>
      </c>
      <c r="B4">
        <f>'21 02 2022'!K6</f>
        <v>0</v>
      </c>
      <c r="C4">
        <f>'28 02 2022'!K6</f>
        <v>4</v>
      </c>
      <c r="D4">
        <f>'07 03 2022'!K6</f>
        <v>2</v>
      </c>
      <c r="E4">
        <f>'14 03 2022'!K6</f>
        <v>1</v>
      </c>
      <c r="F4">
        <f>'21 03 2022'!K6</f>
        <v>0</v>
      </c>
      <c r="G4">
        <f>'28 03 2022'!K6</f>
        <v>0</v>
      </c>
      <c r="H4">
        <f>'04 04 2022'!K6</f>
        <v>3</v>
      </c>
      <c r="I4">
        <f>'11 04 2022'!K6</f>
        <v>1</v>
      </c>
      <c r="J4">
        <f>'18 04 2022'!K6</f>
        <v>0</v>
      </c>
      <c r="K4">
        <f>'25 04 2022'!K6</f>
        <v>1</v>
      </c>
      <c r="L4">
        <f>'02 05 2022'!K6</f>
        <v>0</v>
      </c>
      <c r="M4">
        <f>'09 05 2022'!K6</f>
        <v>0</v>
      </c>
      <c r="N4">
        <f>'16 05 2022 '!K6</f>
        <v>0</v>
      </c>
      <c r="O4">
        <f>'23 05 2022 '!K6</f>
        <v>1</v>
      </c>
      <c r="P4">
        <f>'30 05 2022 '!K6</f>
        <v>0</v>
      </c>
      <c r="Q4">
        <f>'06 06 2022  '!K6</f>
        <v>0</v>
      </c>
      <c r="R4">
        <f>'13 06 2022  '!K6</f>
        <v>0</v>
      </c>
      <c r="T4">
        <f>'27 06 2022   '!K6</f>
        <v>0</v>
      </c>
      <c r="U4" s="35">
        <f t="shared" ref="U4:U10" si="0">SUM(B4:T4)</f>
        <v>13</v>
      </c>
      <c r="V4" s="3">
        <f>U4/$U$16</f>
        <v>8.0745341614906832E-2</v>
      </c>
      <c r="W4">
        <f>'04 07 2022    '!K6</f>
        <v>0</v>
      </c>
    </row>
    <row r="5" spans="1:23" x14ac:dyDescent="0.25">
      <c r="A5" s="17" t="s">
        <v>6</v>
      </c>
      <c r="B5">
        <f>'21 02 2022'!K7</f>
        <v>0</v>
      </c>
      <c r="C5">
        <f>'28 02 2022'!K7</f>
        <v>0</v>
      </c>
      <c r="D5">
        <f>'07 03 2022'!K7</f>
        <v>1</v>
      </c>
      <c r="E5">
        <f>'14 03 2022'!K7</f>
        <v>0</v>
      </c>
      <c r="F5">
        <f>'21 03 2022'!K7</f>
        <v>1</v>
      </c>
      <c r="G5">
        <f>'28 03 2022'!K7</f>
        <v>0</v>
      </c>
      <c r="H5">
        <f>'04 04 2022'!K7</f>
        <v>0</v>
      </c>
      <c r="I5">
        <f>'11 04 2022'!K7</f>
        <v>0</v>
      </c>
      <c r="J5">
        <f>'18 04 2022'!K7</f>
        <v>0</v>
      </c>
      <c r="K5">
        <f>'25 04 2022'!K7</f>
        <v>0</v>
      </c>
      <c r="L5" s="55">
        <f>'02 05 2022'!K7</f>
        <v>1</v>
      </c>
      <c r="M5">
        <f>'09 05 2022'!K7</f>
        <v>0</v>
      </c>
      <c r="N5">
        <f>'16 05 2022 '!K7</f>
        <v>0</v>
      </c>
      <c r="O5">
        <f>'23 05 2022 '!K7</f>
        <v>1</v>
      </c>
      <c r="P5">
        <f>'30 05 2022 '!K7</f>
        <v>0</v>
      </c>
      <c r="Q5">
        <f>'06 06 2022  '!K7</f>
        <v>1</v>
      </c>
      <c r="R5">
        <f>'13 06 2022  '!K7</f>
        <v>3</v>
      </c>
      <c r="T5">
        <f>'27 06 2022   '!K7</f>
        <v>1</v>
      </c>
      <c r="U5" s="35">
        <f t="shared" si="0"/>
        <v>9</v>
      </c>
      <c r="V5" s="3">
        <f t="shared" ref="V5:V11" si="1">U5/$U$16</f>
        <v>5.5900621118012424E-2</v>
      </c>
      <c r="W5">
        <f>'04 07 2022    '!K7</f>
        <v>0</v>
      </c>
    </row>
    <row r="6" spans="1:23" x14ac:dyDescent="0.25">
      <c r="A6" s="38" t="s">
        <v>7</v>
      </c>
      <c r="B6">
        <f>'21 02 2022'!K8</f>
        <v>0</v>
      </c>
      <c r="C6">
        <f>'28 02 2022'!K8</f>
        <v>0</v>
      </c>
      <c r="D6">
        <f>'07 03 2022'!K8</f>
        <v>0</v>
      </c>
      <c r="E6">
        <f>'14 03 2022'!K8</f>
        <v>0</v>
      </c>
      <c r="F6">
        <f>'21 03 2022'!K8</f>
        <v>0</v>
      </c>
      <c r="G6">
        <f>'28 03 2022'!K8</f>
        <v>0</v>
      </c>
      <c r="H6">
        <f>'04 04 2022'!K8</f>
        <v>0</v>
      </c>
      <c r="I6">
        <f>'11 04 2022'!K8</f>
        <v>0</v>
      </c>
      <c r="J6">
        <f>'18 04 2022'!K8</f>
        <v>0</v>
      </c>
      <c r="K6">
        <f>'25 04 2022'!K8</f>
        <v>0</v>
      </c>
      <c r="L6">
        <f>'02 05 2022'!K8</f>
        <v>0</v>
      </c>
      <c r="M6">
        <f>'09 05 2022'!K8</f>
        <v>0</v>
      </c>
      <c r="N6">
        <f>'16 05 2022 '!K8</f>
        <v>0</v>
      </c>
      <c r="O6">
        <f>'23 05 2022 '!K8</f>
        <v>0</v>
      </c>
      <c r="P6">
        <f>'30 05 2022 '!K8</f>
        <v>0</v>
      </c>
      <c r="Q6">
        <f>'06 06 2022  '!K8</f>
        <v>0</v>
      </c>
      <c r="R6">
        <f>'13 06 2022  '!K8</f>
        <v>0</v>
      </c>
      <c r="T6">
        <f>'27 06 2022   '!K8</f>
        <v>0</v>
      </c>
      <c r="U6" s="35">
        <f t="shared" si="0"/>
        <v>0</v>
      </c>
      <c r="V6" s="3">
        <f t="shared" si="1"/>
        <v>0</v>
      </c>
      <c r="W6">
        <f>'04 07 2022    '!K8</f>
        <v>1</v>
      </c>
    </row>
    <row r="7" spans="1:23" x14ac:dyDescent="0.25">
      <c r="A7" s="37" t="s">
        <v>8</v>
      </c>
      <c r="B7">
        <f>'21 02 2022'!K9</f>
        <v>0</v>
      </c>
      <c r="C7">
        <f>'28 02 2022'!K9</f>
        <v>0</v>
      </c>
      <c r="D7">
        <f>'07 03 2022'!K9</f>
        <v>0</v>
      </c>
      <c r="E7">
        <f>'14 03 2022'!K9</f>
        <v>0</v>
      </c>
      <c r="F7">
        <f>'21 03 2022'!K9</f>
        <v>0</v>
      </c>
      <c r="G7">
        <f>'28 03 2022'!K9</f>
        <v>0</v>
      </c>
      <c r="H7">
        <f>'04 04 2022'!K9</f>
        <v>1</v>
      </c>
      <c r="I7">
        <f>'11 04 2022'!K9</f>
        <v>0</v>
      </c>
      <c r="J7">
        <f>'18 04 2022'!K9</f>
        <v>0</v>
      </c>
      <c r="K7">
        <f>'25 04 2022'!K9</f>
        <v>0</v>
      </c>
      <c r="L7">
        <f>'02 05 2022'!K9</f>
        <v>0</v>
      </c>
      <c r="M7">
        <f>'09 05 2022'!K9</f>
        <v>0</v>
      </c>
      <c r="N7">
        <f>'16 05 2022 '!K9</f>
        <v>0</v>
      </c>
      <c r="O7">
        <f>'23 05 2022 '!K9</f>
        <v>0</v>
      </c>
      <c r="P7">
        <f>'30 05 2022 '!K9</f>
        <v>0</v>
      </c>
      <c r="Q7">
        <f>'06 06 2022  '!K9</f>
        <v>0</v>
      </c>
      <c r="R7">
        <f>'13 06 2022  '!K9</f>
        <v>0</v>
      </c>
      <c r="T7">
        <f>'27 06 2022   '!K9</f>
        <v>0</v>
      </c>
      <c r="U7" s="35">
        <f t="shared" si="0"/>
        <v>1</v>
      </c>
      <c r="V7" s="3">
        <f t="shared" si="1"/>
        <v>6.2111801242236021E-3</v>
      </c>
      <c r="W7">
        <f>'04 07 2022    '!K9</f>
        <v>0</v>
      </c>
    </row>
    <row r="8" spans="1:23" x14ac:dyDescent="0.25">
      <c r="A8" s="29" t="s">
        <v>9</v>
      </c>
      <c r="B8">
        <f>'21 02 2022'!K10</f>
        <v>0</v>
      </c>
      <c r="C8">
        <f>'28 02 2022'!K10</f>
        <v>5</v>
      </c>
      <c r="D8">
        <f>'07 03 2022'!K10</f>
        <v>2</v>
      </c>
      <c r="E8">
        <f>'14 03 2022'!K10</f>
        <v>1</v>
      </c>
      <c r="F8">
        <f>'21 03 2022'!K10</f>
        <v>1</v>
      </c>
      <c r="G8">
        <f>'28 03 2022'!K10</f>
        <v>0</v>
      </c>
      <c r="H8">
        <f>'04 04 2022'!K10</f>
        <v>0</v>
      </c>
      <c r="I8">
        <f>'11 04 2022'!K10</f>
        <v>0</v>
      </c>
      <c r="J8">
        <f>'18 04 2022'!K10</f>
        <v>0</v>
      </c>
      <c r="K8">
        <f>'25 04 2022'!K10</f>
        <v>0</v>
      </c>
      <c r="L8">
        <f>'02 05 2022'!K10</f>
        <v>0</v>
      </c>
      <c r="M8">
        <f>'09 05 2022'!K10</f>
        <v>0</v>
      </c>
      <c r="N8">
        <f>'16 05 2022 '!K10</f>
        <v>0</v>
      </c>
      <c r="O8">
        <f>'23 05 2022 '!K10</f>
        <v>0</v>
      </c>
      <c r="P8">
        <f>'30 05 2022 '!K10</f>
        <v>0</v>
      </c>
      <c r="Q8">
        <f>'06 06 2022  '!K10</f>
        <v>0</v>
      </c>
      <c r="R8">
        <f>'13 06 2022  '!K10</f>
        <v>0</v>
      </c>
      <c r="T8">
        <f>'27 06 2022   '!K10</f>
        <v>0</v>
      </c>
      <c r="U8" s="35">
        <f t="shared" si="0"/>
        <v>9</v>
      </c>
      <c r="V8" s="3">
        <f t="shared" si="1"/>
        <v>5.5900621118012424E-2</v>
      </c>
      <c r="W8">
        <f>'04 07 2022    '!K10</f>
        <v>0</v>
      </c>
    </row>
    <row r="9" spans="1:23" x14ac:dyDescent="0.25">
      <c r="A9" s="18" t="s">
        <v>10</v>
      </c>
      <c r="B9">
        <f>'21 02 2022'!K11</f>
        <v>4</v>
      </c>
      <c r="C9">
        <f>'28 02 2022'!K11</f>
        <v>1</v>
      </c>
      <c r="D9">
        <f>'07 03 2022'!K11</f>
        <v>1</v>
      </c>
      <c r="E9">
        <f>'14 03 2022'!K11</f>
        <v>0</v>
      </c>
      <c r="F9">
        <f>'21 03 2022'!K11</f>
        <v>0</v>
      </c>
      <c r="G9">
        <f>'28 03 2022'!K11</f>
        <v>0</v>
      </c>
      <c r="H9">
        <f>'04 04 2022'!K11</f>
        <v>0</v>
      </c>
      <c r="I9">
        <f>'11 04 2022'!K11</f>
        <v>0</v>
      </c>
      <c r="J9">
        <f>'18 04 2022'!K11</f>
        <v>0</v>
      </c>
      <c r="K9">
        <f>'25 04 2022'!K11</f>
        <v>1</v>
      </c>
      <c r="L9">
        <f>'02 05 2022'!K11</f>
        <v>3</v>
      </c>
      <c r="M9">
        <f>'09 05 2022'!K11</f>
        <v>0</v>
      </c>
      <c r="N9">
        <f>'16 05 2022 '!K11</f>
        <v>10</v>
      </c>
      <c r="O9">
        <f>'23 05 2022 '!K11</f>
        <v>0</v>
      </c>
      <c r="P9">
        <f>'30 05 2022 '!K11</f>
        <v>0</v>
      </c>
      <c r="Q9">
        <f>'06 06 2022  '!K11</f>
        <v>1</v>
      </c>
      <c r="R9">
        <f>'13 06 2022  '!K11</f>
        <v>0</v>
      </c>
      <c r="T9">
        <f>'27 06 2022   '!K11</f>
        <v>0</v>
      </c>
      <c r="U9" s="35">
        <f t="shared" si="0"/>
        <v>21</v>
      </c>
      <c r="V9" s="3">
        <f t="shared" si="1"/>
        <v>0.13043478260869565</v>
      </c>
      <c r="W9">
        <f>'04 07 2022    '!K11</f>
        <v>1</v>
      </c>
    </row>
    <row r="10" spans="1:23" x14ac:dyDescent="0.25">
      <c r="A10" s="5" t="s">
        <v>11</v>
      </c>
      <c r="B10">
        <f>'21 02 2022'!K12</f>
        <v>0</v>
      </c>
      <c r="C10">
        <f>'28 02 2022'!K12</f>
        <v>1</v>
      </c>
      <c r="D10">
        <f>'07 03 2022'!K12</f>
        <v>0</v>
      </c>
      <c r="E10">
        <f>'14 03 2022'!K12</f>
        <v>0</v>
      </c>
      <c r="F10">
        <f>'21 03 2022'!K12</f>
        <v>3</v>
      </c>
      <c r="G10">
        <f>'28 03 2022'!K12</f>
        <v>0</v>
      </c>
      <c r="H10">
        <f>'04 04 2022'!K12</f>
        <v>0</v>
      </c>
      <c r="I10">
        <f>'11 04 2022'!K12</f>
        <v>0</v>
      </c>
      <c r="J10">
        <f>'18 04 2022'!K12</f>
        <v>0</v>
      </c>
      <c r="K10">
        <f>'25 04 2022'!K12</f>
        <v>0</v>
      </c>
      <c r="L10">
        <f>'02 05 2022'!K12</f>
        <v>1</v>
      </c>
      <c r="M10">
        <f>'09 05 2022'!K12</f>
        <v>0</v>
      </c>
      <c r="N10">
        <f>'16 05 2022 '!K12</f>
        <v>0</v>
      </c>
      <c r="O10">
        <f>'23 05 2022 '!K12</f>
        <v>0</v>
      </c>
      <c r="P10">
        <f>'30 05 2022 '!K12</f>
        <v>0</v>
      </c>
      <c r="Q10">
        <f>'06 06 2022  '!K12</f>
        <v>0</v>
      </c>
      <c r="R10">
        <f>'13 06 2022  '!K12</f>
        <v>0</v>
      </c>
      <c r="T10">
        <f>'27 06 2022   '!K12</f>
        <v>0</v>
      </c>
      <c r="U10" s="35">
        <f t="shared" si="0"/>
        <v>5</v>
      </c>
      <c r="V10" s="3">
        <f t="shared" si="1"/>
        <v>3.1055900621118012E-2</v>
      </c>
      <c r="W10">
        <f>'04 07 2022    '!K12</f>
        <v>0</v>
      </c>
    </row>
    <row r="11" spans="1:23" x14ac:dyDescent="0.25">
      <c r="A11" s="19" t="s">
        <v>12</v>
      </c>
      <c r="B11">
        <f>'21 02 2022'!K13</f>
        <v>3</v>
      </c>
      <c r="C11">
        <f>'28 02 2022'!K13</f>
        <v>4</v>
      </c>
      <c r="D11">
        <f>'07 03 2022'!K13</f>
        <v>2</v>
      </c>
      <c r="E11">
        <f>'14 03 2022'!K13</f>
        <v>2</v>
      </c>
      <c r="F11">
        <f>'21 03 2022'!K13</f>
        <v>1</v>
      </c>
      <c r="G11">
        <f>'28 03 2022'!K13</f>
        <v>0</v>
      </c>
      <c r="H11">
        <f>'04 04 2022'!K13</f>
        <v>1</v>
      </c>
      <c r="I11">
        <f>'11 04 2022'!K13</f>
        <v>0</v>
      </c>
      <c r="J11">
        <f>'18 04 2022'!K13</f>
        <v>0</v>
      </c>
      <c r="K11">
        <f>'25 04 2022'!K13</f>
        <v>0</v>
      </c>
      <c r="L11">
        <f>'02 05 2022'!K13</f>
        <v>0</v>
      </c>
      <c r="M11">
        <f>'09 05 2022'!K13</f>
        <v>1</v>
      </c>
      <c r="N11">
        <f>'16 05 2022 '!K13</f>
        <v>0</v>
      </c>
      <c r="O11">
        <f>'23 05 2022 '!K13</f>
        <v>3</v>
      </c>
      <c r="P11">
        <f>'30 05 2022 '!K13</f>
        <v>2</v>
      </c>
      <c r="Q11">
        <f>'06 06 2022  '!K13</f>
        <v>0</v>
      </c>
      <c r="R11">
        <f>'13 06 2022  '!K13</f>
        <v>1</v>
      </c>
      <c r="T11">
        <f>'27 06 2022   '!K13</f>
        <v>0</v>
      </c>
      <c r="U11" s="35">
        <f>SUM(B11:T11)</f>
        <v>20</v>
      </c>
      <c r="V11" s="3">
        <f t="shared" si="1"/>
        <v>0.12422360248447205</v>
      </c>
      <c r="W11">
        <f>'04 07 2022    '!K13</f>
        <v>0</v>
      </c>
    </row>
    <row r="12" spans="1:23" x14ac:dyDescent="0.25">
      <c r="A12" s="46" t="s">
        <v>13</v>
      </c>
      <c r="B12">
        <f>'21 02 2022'!K14</f>
        <v>0</v>
      </c>
      <c r="C12">
        <f>'28 02 2022'!K14</f>
        <v>1</v>
      </c>
      <c r="D12">
        <f>'07 03 2022'!K14</f>
        <v>5</v>
      </c>
      <c r="E12">
        <f>'14 03 2022'!K14</f>
        <v>1</v>
      </c>
      <c r="F12">
        <f>'21 03 2022'!K14</f>
        <v>2</v>
      </c>
      <c r="G12">
        <f>'28 03 2022'!K14</f>
        <v>3</v>
      </c>
      <c r="H12">
        <f>'04 04 2022'!K14</f>
        <v>0</v>
      </c>
      <c r="I12">
        <f>'11 04 2022'!K14</f>
        <v>0</v>
      </c>
      <c r="J12">
        <f>'18 04 2022'!K14</f>
        <v>0</v>
      </c>
      <c r="K12">
        <f>'25 04 2022'!K14</f>
        <v>0</v>
      </c>
      <c r="L12">
        <f>'02 05 2022'!K14</f>
        <v>0</v>
      </c>
      <c r="M12">
        <f>'09 05 2022'!K14</f>
        <v>0</v>
      </c>
      <c r="N12">
        <f>'16 05 2022 '!K14</f>
        <v>0</v>
      </c>
      <c r="O12">
        <f>'23 05 2022 '!K14</f>
        <v>0</v>
      </c>
      <c r="P12">
        <f>'30 05 2022 '!K14</f>
        <v>2</v>
      </c>
      <c r="Q12">
        <f>'06 06 2022  '!K14</f>
        <v>0</v>
      </c>
      <c r="R12">
        <f>'13 06 2022  '!K14</f>
        <v>0</v>
      </c>
      <c r="T12">
        <f>'27 06 2022   '!K14</f>
        <v>0</v>
      </c>
      <c r="U12" s="35">
        <f>SUM(B12:T12)</f>
        <v>14</v>
      </c>
      <c r="V12" s="3">
        <f>U12/$U$16</f>
        <v>8.6956521739130432E-2</v>
      </c>
      <c r="W12">
        <f>'04 07 2022    '!K14</f>
        <v>1</v>
      </c>
    </row>
    <row r="13" spans="1:23" x14ac:dyDescent="0.25">
      <c r="A13" s="52" t="s">
        <v>14</v>
      </c>
      <c r="D13">
        <f>'07 03 2022'!K15</f>
        <v>1</v>
      </c>
      <c r="E13">
        <f>'14 03 2022'!K15</f>
        <v>0</v>
      </c>
      <c r="F13">
        <f>'21 03 2022'!K15</f>
        <v>0</v>
      </c>
      <c r="G13">
        <f>'28 03 2022'!K15</f>
        <v>0</v>
      </c>
      <c r="H13">
        <f>'04 04 2022'!K15</f>
        <v>0</v>
      </c>
      <c r="I13">
        <f>'11 04 2022'!K15</f>
        <v>0</v>
      </c>
      <c r="J13">
        <f>'18 04 2022'!K15</f>
        <v>0</v>
      </c>
      <c r="K13">
        <f>'25 04 2022'!K15</f>
        <v>0</v>
      </c>
      <c r="L13">
        <f>'02 05 2022'!K15</f>
        <v>0</v>
      </c>
      <c r="M13">
        <f>'09 05 2022'!K15</f>
        <v>0</v>
      </c>
      <c r="N13">
        <f>'16 05 2022 '!K15</f>
        <v>0</v>
      </c>
      <c r="O13">
        <f>'23 05 2022 '!K15</f>
        <v>0</v>
      </c>
      <c r="P13">
        <f>'30 05 2022 '!K15</f>
        <v>0</v>
      </c>
      <c r="Q13">
        <f>'06 06 2022  '!K15</f>
        <v>1</v>
      </c>
      <c r="R13">
        <f>'13 06 2022  '!K15</f>
        <v>0</v>
      </c>
      <c r="T13">
        <f>'27 06 2022   '!K15</f>
        <v>0</v>
      </c>
      <c r="U13" s="35">
        <f>SUM(B13:T13)</f>
        <v>2</v>
      </c>
      <c r="V13" s="3">
        <f>U13/$U$16</f>
        <v>1.2422360248447204E-2</v>
      </c>
      <c r="W13">
        <f>'04 07 2022    '!K15</f>
        <v>0</v>
      </c>
    </row>
    <row r="14" spans="1:23" x14ac:dyDescent="0.25">
      <c r="A14" s="53" t="s">
        <v>15</v>
      </c>
      <c r="K14">
        <f>'25 04 2022'!K16</f>
        <v>3</v>
      </c>
      <c r="L14">
        <f>'02 05 2022'!K16</f>
        <v>9</v>
      </c>
      <c r="M14">
        <f>'09 05 2022'!K16</f>
        <v>7</v>
      </c>
      <c r="N14">
        <f>'16 05 2022 '!K16</f>
        <v>0</v>
      </c>
      <c r="O14">
        <f>'23 05 2022 '!K16</f>
        <v>0</v>
      </c>
      <c r="P14">
        <f>'30 05 2022 '!K16</f>
        <v>0</v>
      </c>
      <c r="Q14">
        <f>'06 06 2022  '!K16</f>
        <v>0</v>
      </c>
      <c r="R14">
        <f>'13 06 2022  '!K16</f>
        <v>0</v>
      </c>
      <c r="T14">
        <f>'27 06 2022   '!K16</f>
        <v>0</v>
      </c>
      <c r="U14" s="35">
        <f>SUM(B14:T14)</f>
        <v>19</v>
      </c>
      <c r="V14" s="3">
        <f>U14/$U$16</f>
        <v>0.11801242236024845</v>
      </c>
      <c r="W14">
        <f>'04 07 2022    '!K16</f>
        <v>0</v>
      </c>
    </row>
    <row r="15" spans="1:23" x14ac:dyDescent="0.25">
      <c r="A15" s="56" t="s">
        <v>16</v>
      </c>
      <c r="O15">
        <f>'23 05 2022 '!K17</f>
        <v>1</v>
      </c>
      <c r="P15">
        <f>'30 05 2022 '!K17</f>
        <v>0</v>
      </c>
      <c r="Q15">
        <f>'06 06 2022  '!K17</f>
        <v>0</v>
      </c>
      <c r="R15">
        <f>'13 06 2022  '!K17</f>
        <v>0</v>
      </c>
      <c r="T15">
        <f>'27 06 2022   '!K17</f>
        <v>3</v>
      </c>
      <c r="U15" s="35">
        <f>SUM(B15:T15)</f>
        <v>4</v>
      </c>
      <c r="V15" s="3">
        <f>U15/$U$16</f>
        <v>2.4844720496894408E-2</v>
      </c>
      <c r="W15">
        <f>'04 07 2022    '!K17</f>
        <v>3</v>
      </c>
    </row>
    <row r="16" spans="1:23" x14ac:dyDescent="0.25">
      <c r="A16" s="33" t="s">
        <v>2</v>
      </c>
      <c r="B16" s="33">
        <f>SUM(B3:B15)</f>
        <v>7</v>
      </c>
      <c r="C16" s="33">
        <f t="shared" ref="C16:T16" si="2">SUM(C3:C15)</f>
        <v>16</v>
      </c>
      <c r="D16" s="33">
        <f t="shared" si="2"/>
        <v>19</v>
      </c>
      <c r="E16" s="33">
        <f t="shared" si="2"/>
        <v>8</v>
      </c>
      <c r="F16" s="33">
        <f t="shared" si="2"/>
        <v>11</v>
      </c>
      <c r="G16" s="33">
        <f t="shared" si="2"/>
        <v>6</v>
      </c>
      <c r="H16" s="33">
        <f t="shared" si="2"/>
        <v>6</v>
      </c>
      <c r="I16" s="33">
        <f t="shared" si="2"/>
        <v>3</v>
      </c>
      <c r="J16" s="33">
        <f t="shared" si="2"/>
        <v>1</v>
      </c>
      <c r="K16" s="33">
        <f t="shared" si="2"/>
        <v>8</v>
      </c>
      <c r="L16" s="33">
        <f t="shared" si="2"/>
        <v>17</v>
      </c>
      <c r="M16" s="33">
        <f t="shared" si="2"/>
        <v>11</v>
      </c>
      <c r="N16" s="33">
        <f t="shared" si="2"/>
        <v>11</v>
      </c>
      <c r="O16" s="33">
        <f t="shared" si="2"/>
        <v>10</v>
      </c>
      <c r="P16" s="33">
        <f t="shared" si="2"/>
        <v>6</v>
      </c>
      <c r="Q16" s="33">
        <f t="shared" si="2"/>
        <v>5</v>
      </c>
      <c r="R16" s="33">
        <f t="shared" si="2"/>
        <v>8</v>
      </c>
      <c r="S16" s="33">
        <f t="shared" si="2"/>
        <v>0</v>
      </c>
      <c r="T16" s="33">
        <f t="shared" si="2"/>
        <v>8</v>
      </c>
      <c r="U16" s="33">
        <f>SUM(U3:U15)</f>
        <v>161</v>
      </c>
    </row>
  </sheetData>
  <mergeCells count="1">
    <mergeCell ref="A1:T1"/>
  </mergeCells>
  <phoneticPr fontId="3" type="noConversion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EA56-85C2-43D0-86C5-EDE81783C876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U32" sqref="U32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17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44613</v>
      </c>
      <c r="C3" s="11">
        <f t="shared" ref="C3:H3" si="0">B3+1</f>
        <v>44614</v>
      </c>
      <c r="D3" s="11">
        <f t="shared" si="0"/>
        <v>44615</v>
      </c>
      <c r="E3" s="11">
        <f t="shared" si="0"/>
        <v>44616</v>
      </c>
      <c r="F3" s="11">
        <f t="shared" si="0"/>
        <v>44617</v>
      </c>
      <c r="G3" s="11">
        <f t="shared" si="0"/>
        <v>44618</v>
      </c>
      <c r="H3" s="12">
        <f t="shared" si="0"/>
        <v>44619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40">
        <f t="shared" ref="K5:K14" si="2">COUNTIF($B$5:$H$93,J5)</f>
        <v>0</v>
      </c>
      <c r="L5" s="42">
        <f t="shared" ref="L5:L14" si="3">K5/$K$16</f>
        <v>0</v>
      </c>
      <c r="M5" t="s">
        <v>24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41">
        <f t="shared" si="2"/>
        <v>0</v>
      </c>
      <c r="L6" s="43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27</v>
      </c>
      <c r="K7" s="41">
        <f t="shared" si="2"/>
        <v>0</v>
      </c>
      <c r="L7" s="43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41">
        <f>COUNTIF($B$5:$H$93,J8)</f>
        <v>0</v>
      </c>
      <c r="L8" s="43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41">
        <f>COUNTIF($B$5:$H$93,J9)</f>
        <v>0</v>
      </c>
      <c r="L9" s="43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9</v>
      </c>
      <c r="K10" s="41">
        <f t="shared" si="2"/>
        <v>0</v>
      </c>
      <c r="L10" s="43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41">
        <f t="shared" si="2"/>
        <v>4</v>
      </c>
      <c r="L11" s="43">
        <f t="shared" si="3"/>
        <v>0.5714285714285714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41">
        <f t="shared" si="2"/>
        <v>0</v>
      </c>
      <c r="L12" s="43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41">
        <f t="shared" si="2"/>
        <v>3</v>
      </c>
      <c r="L13" s="43">
        <f t="shared" si="3"/>
        <v>0.42857142857142855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44">
        <f t="shared" si="2"/>
        <v>0</v>
      </c>
      <c r="L14" s="45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7" t="s">
        <v>2</v>
      </c>
      <c r="K16" s="1">
        <f>SUM(K5:K13)</f>
        <v>7</v>
      </c>
    </row>
    <row r="17" spans="1:10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/>
    </row>
    <row r="18" spans="1:10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0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0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0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0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0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0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0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0" x14ac:dyDescent="0.25">
      <c r="A26" s="6" t="s">
        <v>48</v>
      </c>
      <c r="B26" s="9"/>
      <c r="C26" s="9" t="s">
        <v>12</v>
      </c>
      <c r="D26" s="9"/>
      <c r="E26" s="9"/>
      <c r="F26" s="9"/>
      <c r="G26" s="9"/>
      <c r="H26" s="9"/>
      <c r="J26" s="7"/>
    </row>
    <row r="27" spans="1:10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0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0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0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0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0" x14ac:dyDescent="0.25">
      <c r="A32" s="6" t="s">
        <v>54</v>
      </c>
      <c r="B32" s="9"/>
      <c r="C32" s="9"/>
      <c r="D32" s="9"/>
      <c r="E32" s="9" t="s">
        <v>10</v>
      </c>
      <c r="F32" s="9" t="s">
        <v>10</v>
      </c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 t="s">
        <v>12</v>
      </c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 t="s">
        <v>10</v>
      </c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 t="s">
        <v>10</v>
      </c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 t="s">
        <v>12</v>
      </c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phoneticPr fontId="3" type="noConversion"/>
  <conditionalFormatting sqref="A1:A1048576">
    <cfRule type="containsText" dxfId="3350" priority="37" operator="containsText" text="Pivô">
      <formula>NOT(ISERROR(SEARCH("Pivô",A1)))</formula>
    </cfRule>
    <cfRule type="containsText" dxfId="3349" priority="36" operator="containsText" text="Pivô">
      <formula>NOT(ISERROR(SEARCH("Pivô",A1)))</formula>
    </cfRule>
  </conditionalFormatting>
  <conditionalFormatting sqref="B5:H95">
    <cfRule type="cellIs" dxfId="3331" priority="21" operator="greaterThan">
      <formula>$J$5</formula>
    </cfRule>
    <cfRule type="containsText" dxfId="3330" priority="22" operator="containsText" text="Cardã">
      <formula>NOT(ISERROR(SEARCH("Cardã",B5)))</formula>
    </cfRule>
    <cfRule type="containsText" dxfId="3329" priority="23" operator="containsText" text="Pneu">
      <formula>NOT(ISERROR(SEARCH("Pneu",B5)))</formula>
    </cfRule>
    <cfRule type="containsText" dxfId="3328" priority="24" operator="containsText" text="Vedação">
      <formula>NOT(ISERROR(SEARCH("Vedação",B5)))</formula>
    </cfRule>
    <cfRule type="containsText" dxfId="3327" priority="25" operator="containsText" text="Retentor">
      <formula>NOT(ISERROR(SEARCH("Retentor",B5)))</formula>
    </cfRule>
    <cfRule type="containsText" dxfId="3326" priority="26" operator="containsText" text="Motorredutor">
      <formula>NOT(ISERROR(SEARCH("Motorredutor",B5)))</formula>
    </cfRule>
    <cfRule type="containsText" dxfId="3325" priority="27" operator="containsText" text="Redutor">
      <formula>NOT(ISERROR(SEARCH("Redutor",B5)))</formula>
    </cfRule>
    <cfRule type="containsText" dxfId="3324" priority="28" operator="containsText" text="Bomba">
      <formula>NOT(ISERROR(SEARCH("Bomba",B5)))</formula>
    </cfRule>
    <cfRule type="containsText" dxfId="3316" priority="20" operator="containsText" text="Pulverização">
      <formula>NOT(ISERROR(SEARCH("Pulverização",B5)))</formula>
    </cfRule>
  </conditionalFormatting>
  <dataValidations count="2">
    <dataValidation type="list" allowBlank="1" showInputMessage="1" showErrorMessage="1" sqref="B94:H95" xr:uid="{3AF18F48-1AD1-4197-B2A6-C4F6A70CEC35}">
      <formula1>$J$5:$J$11</formula1>
    </dataValidation>
    <dataValidation type="list" allowBlank="1" showInputMessage="1" showErrorMessage="1" sqref="B5:H93" xr:uid="{3BF15172-2B4E-4427-8846-42D0C45A46E1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3E175EC-E256-460C-8687-05BB89BE4CE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3281EBB3-6FB9-41C9-91A4-067566B1E2C3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4" operator="containsText" id="{926A7DE8-E331-473A-92DC-B6E67973889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" operator="containsText" id="{CD692E87-2EF6-436B-A50C-493F5E84E43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6" operator="containsText" id="{8A278ACB-92CB-4374-8897-C0F88898949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32010AD5-C2B4-488D-A7D3-4A62BFF5F73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8" operator="containsText" id="{C2DEC44F-7B80-4D3C-901E-FD6D8EA221C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9" operator="containsText" id="{428C2F6A-AAEA-4C4D-8EBE-5D5CB17B6E9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0" operator="containsText" id="{0376B4C0-D0BE-4497-8109-D21645172B3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316AB1C0-B199-4FC6-815F-14119ACD4742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325DA3B2-6A48-45C5-9EEE-FAF7EF1AEFEA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3" operator="containsText" id="{A8E68EA2-8008-4391-A3C8-B96F31B7F76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4" operator="containsText" id="{6D240A14-4D0E-4C0A-9A6A-CDD022F64EA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5" operator="containsText" id="{D6103847-C8F5-4A42-B8C1-302DF9FDA98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6" operator="containsText" id="{7A61241D-E4AB-4043-83D0-A4F478D38BA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7" operator="containsText" id="{CA813028-F568-4564-8157-6B5678AFD1F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CB179553-C549-4241-A96F-ED5BF7894BA1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9" operator="containsText" id="{25006911-EA31-4FAD-A17D-3B056A150C56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937F9888-530E-4BE2-8701-BE893DF26F9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1605CA85-BA0F-401D-ACAF-38A2C51BA65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E00DE311-E4BB-447C-BDBD-931E206C5CBD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88902B13-F43E-41C0-81B6-D96B3536AA7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587D8A41-FE79-4F99-8A68-CA2AE25B5EE1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8" operator="containsText" id="{62AB47F1-82DA-4164-B4FC-21AA6623F80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7" operator="containsText" id="{18300541-A5D7-4505-800E-CA5FFAF8A1C8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F198-E8AE-4DD6-99A1-D8C42D537A05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M5" sqref="M5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116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44620</v>
      </c>
      <c r="C3" s="11">
        <f t="shared" ref="C3:H3" si="0">B3+1</f>
        <v>44621</v>
      </c>
      <c r="D3" s="11">
        <f t="shared" si="0"/>
        <v>44622</v>
      </c>
      <c r="E3" s="11">
        <f t="shared" si="0"/>
        <v>44623</v>
      </c>
      <c r="F3" s="11">
        <f t="shared" si="0"/>
        <v>44624</v>
      </c>
      <c r="G3" s="11">
        <f t="shared" si="0"/>
        <v>44625</v>
      </c>
      <c r="H3" s="12">
        <f t="shared" si="0"/>
        <v>44626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40">
        <f t="shared" ref="K5:K14" si="2">COUNTIF($B$5:$H$93,J5)</f>
        <v>0</v>
      </c>
      <c r="L5" s="42">
        <f t="shared" ref="L5:L14" si="3">K5/$K$16</f>
        <v>0</v>
      </c>
      <c r="M5" t="s">
        <v>117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41">
        <f t="shared" si="2"/>
        <v>4</v>
      </c>
      <c r="L6" s="43">
        <f t="shared" si="3"/>
        <v>0.25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27</v>
      </c>
      <c r="K7" s="41">
        <f t="shared" si="2"/>
        <v>0</v>
      </c>
      <c r="L7" s="43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41">
        <f>COUNTIF($B$5:$H$93,J8)</f>
        <v>0</v>
      </c>
      <c r="L8" s="43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41">
        <f>COUNTIF($B$5:$H$93,J9)</f>
        <v>0</v>
      </c>
      <c r="L9" s="43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41">
        <f t="shared" si="2"/>
        <v>5</v>
      </c>
      <c r="L10" s="43">
        <f t="shared" si="3"/>
        <v>0.3125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41">
        <f t="shared" si="2"/>
        <v>1</v>
      </c>
      <c r="L11" s="43">
        <f t="shared" si="3"/>
        <v>6.25E-2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41">
        <f t="shared" si="2"/>
        <v>1</v>
      </c>
      <c r="L12" s="43">
        <f t="shared" si="3"/>
        <v>6.25E-2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41">
        <f t="shared" si="2"/>
        <v>4</v>
      </c>
      <c r="L13" s="43">
        <f t="shared" si="3"/>
        <v>0.25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44">
        <f t="shared" si="2"/>
        <v>1</v>
      </c>
      <c r="L14" s="45">
        <f t="shared" si="3"/>
        <v>6.25E-2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7" t="s">
        <v>2</v>
      </c>
      <c r="K16" s="1">
        <f>SUM(K5:K14)</f>
        <v>16</v>
      </c>
    </row>
    <row r="17" spans="1:10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/>
    </row>
    <row r="18" spans="1:10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0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0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0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0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0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0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0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0" x14ac:dyDescent="0.25">
      <c r="A26" s="6" t="s">
        <v>48</v>
      </c>
      <c r="B26" s="9"/>
      <c r="C26" s="9"/>
      <c r="D26" s="9" t="s">
        <v>5</v>
      </c>
      <c r="E26" s="9"/>
      <c r="F26" s="9"/>
      <c r="G26" s="9" t="s">
        <v>12</v>
      </c>
      <c r="H26" s="9"/>
      <c r="J26" s="7"/>
    </row>
    <row r="27" spans="1:10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0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0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0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0" x14ac:dyDescent="0.25">
      <c r="A31" s="6" t="s">
        <v>53</v>
      </c>
      <c r="B31" s="9"/>
      <c r="C31" s="9" t="s">
        <v>5</v>
      </c>
      <c r="D31" s="9"/>
      <c r="E31" s="9"/>
      <c r="F31" s="9"/>
      <c r="G31" s="9"/>
      <c r="H31" s="9"/>
    </row>
    <row r="32" spans="1:10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 t="s">
        <v>12</v>
      </c>
      <c r="C36" s="9"/>
      <c r="D36" s="9" t="s">
        <v>118</v>
      </c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 t="s">
        <v>10</v>
      </c>
      <c r="C38" s="9" t="s">
        <v>118</v>
      </c>
      <c r="D38" s="9" t="s">
        <v>118</v>
      </c>
      <c r="E38" s="9" t="s">
        <v>118</v>
      </c>
      <c r="F38" s="9" t="s">
        <v>118</v>
      </c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 t="s">
        <v>12</v>
      </c>
      <c r="H61" s="9"/>
    </row>
    <row r="62" spans="1:8" x14ac:dyDescent="0.25">
      <c r="A62" s="6" t="s">
        <v>84</v>
      </c>
      <c r="B62" s="9"/>
      <c r="C62" s="9"/>
      <c r="D62" s="9" t="s">
        <v>12</v>
      </c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 t="s">
        <v>13</v>
      </c>
      <c r="C74" s="9"/>
      <c r="D74" s="9"/>
      <c r="E74" s="9"/>
      <c r="F74" s="9" t="s">
        <v>5</v>
      </c>
      <c r="G74" s="9"/>
      <c r="H74" s="9"/>
    </row>
    <row r="75" spans="1:8" x14ac:dyDescent="0.25">
      <c r="A75" s="6" t="s">
        <v>97</v>
      </c>
      <c r="B75" s="9" t="s">
        <v>34</v>
      </c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 t="s">
        <v>5</v>
      </c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3314" priority="36" operator="containsText" text="Pivô">
      <formula>NOT(ISERROR(SEARCH("Pivô",A1)))</formula>
    </cfRule>
    <cfRule type="containsText" dxfId="3313" priority="35" operator="containsText" text="Pivô">
      <formula>NOT(ISERROR(SEARCH("Pivô",A1)))</formula>
    </cfRule>
  </conditionalFormatting>
  <conditionalFormatting sqref="B5:H95">
    <cfRule type="cellIs" dxfId="3295" priority="21" operator="greaterThan">
      <formula>$J$5</formula>
    </cfRule>
    <cfRule type="containsText" dxfId="3294" priority="22" operator="containsText" text="Cardã">
      <formula>NOT(ISERROR(SEARCH("Cardã",B5)))</formula>
    </cfRule>
    <cfRule type="containsText" dxfId="3293" priority="23" operator="containsText" text="Pneu">
      <formula>NOT(ISERROR(SEARCH("Pneu",B5)))</formula>
    </cfRule>
    <cfRule type="containsText" dxfId="3292" priority="24" operator="containsText" text="Vedação">
      <formula>NOT(ISERROR(SEARCH("Vedação",B5)))</formula>
    </cfRule>
    <cfRule type="containsText" dxfId="3291" priority="25" operator="containsText" text="Retentor">
      <formula>NOT(ISERROR(SEARCH("Retentor",B5)))</formula>
    </cfRule>
    <cfRule type="containsText" dxfId="3290" priority="26" operator="containsText" text="Motorredutor">
      <formula>NOT(ISERROR(SEARCH("Motorredutor",B5)))</formula>
    </cfRule>
    <cfRule type="containsText" dxfId="3289" priority="27" operator="containsText" text="Redutor">
      <formula>NOT(ISERROR(SEARCH("Redutor",B5)))</formula>
    </cfRule>
    <cfRule type="containsText" dxfId="3288" priority="28" operator="containsText" text="Bomba">
      <formula>NOT(ISERROR(SEARCH("Bomba",B5)))</formula>
    </cfRule>
    <cfRule type="containsText" dxfId="3280" priority="20" operator="containsText" text="Pulverização">
      <formula>NOT(ISERROR(SEARCH("Pulverização",B5)))</formula>
    </cfRule>
  </conditionalFormatting>
  <dataValidations count="2">
    <dataValidation type="list" allowBlank="1" showInputMessage="1" showErrorMessage="1" sqref="B5:H93" xr:uid="{EC289544-9203-443C-AF6E-9BAC06540764}">
      <formula1>$J$5:$J$14</formula1>
    </dataValidation>
    <dataValidation type="list" allowBlank="1" showInputMessage="1" showErrorMessage="1" sqref="B94:H95" xr:uid="{23D750FC-5EBC-43F4-BB46-21BCECAC65FB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F51618B-1FDA-4589-ACF6-46E9511E9F1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0D6457F5-F3C5-4B74-8271-9C6983890A6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4" operator="containsText" id="{DCC53CB1-8A0B-452B-A40C-586EF3DF0AD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" operator="containsText" id="{51631719-D8B9-4BA1-B541-1140AA19079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6" operator="containsText" id="{78ED5AA2-DA57-45A5-A902-AE4D92AB82E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25D2AC47-6227-4CB5-A914-9ADCBF8C92E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8" operator="containsText" id="{430A3237-BE7F-4FE5-B2CA-2831D9A32FF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9" operator="containsText" id="{9C4EA444-E57C-4D79-A79F-A09D3E801C95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0" operator="containsText" id="{C417C8AA-0445-46F5-9667-023D1B032ED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3D1C9C6A-0054-4982-A70C-0D700086C00A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633E9A75-5D7B-4149-A21A-E39E41E24EBB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3" operator="containsText" id="{B7667180-E965-4875-8293-A489DEA0830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4" operator="containsText" id="{7C178EE8-BF2F-405B-9266-FB4D8A9C8C20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5" operator="containsText" id="{C90452EC-5813-4B75-835E-95702686F58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6" operator="containsText" id="{EF3771B7-2133-42EB-8C94-C5AE0AFF520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7" operator="containsText" id="{9B3EA8BC-A3E9-48A4-8D6D-EC2A06CD10D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487CE848-5FF7-4EDC-ABA3-CD4F96622F3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9" operator="containsText" id="{2A9EC799-0CBB-48C7-8CDC-460A354EF6C8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0B8E1A80-48B0-448D-AE97-96A94D28F96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51EBBFC3-232C-433B-B5D7-24BBB23D8467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EBB73862-8D1F-4BFF-B998-83C8E8071577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0DEC272C-6D72-4DB5-97F6-CA232CF281C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63EBCE4F-D943-4119-B840-274D8ABE9FFA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8" operator="containsText" id="{27A71CB0-ED8E-47E8-9F69-93754F9A3AA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7" operator="containsText" id="{4DC2BF59-B30B-48F6-BF06-9A8B228F347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2BF9-1AC6-4F88-AF72-AAF3B407C7B1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L4" sqref="L4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119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44627</v>
      </c>
      <c r="C3" s="11">
        <f t="shared" ref="C3:H3" si="0">B3+1</f>
        <v>44628</v>
      </c>
      <c r="D3" s="11">
        <f t="shared" si="0"/>
        <v>44629</v>
      </c>
      <c r="E3" s="11">
        <f t="shared" si="0"/>
        <v>44630</v>
      </c>
      <c r="F3" s="11">
        <f t="shared" si="0"/>
        <v>44631</v>
      </c>
      <c r="G3" s="11">
        <f t="shared" si="0"/>
        <v>44632</v>
      </c>
      <c r="H3" s="12">
        <f t="shared" si="0"/>
        <v>44633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 t="s">
        <v>13</v>
      </c>
      <c r="D5" s="8"/>
      <c r="E5" s="8"/>
      <c r="F5" s="8"/>
      <c r="G5" s="8"/>
      <c r="H5" s="8"/>
      <c r="J5" s="20" t="s">
        <v>4</v>
      </c>
      <c r="K5" s="40">
        <f>COUNTIF($B$5:$H$93,J5)</f>
        <v>5</v>
      </c>
      <c r="L5" s="48">
        <f t="shared" ref="L5:L15" si="2">K5/$K$16</f>
        <v>0.26315789473684209</v>
      </c>
      <c r="M5" t="s">
        <v>120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41">
        <f t="shared" ref="K6:K13" si="3">COUNTIF($B$5:$H$93,J6)</f>
        <v>2</v>
      </c>
      <c r="L6" s="49">
        <f t="shared" si="2"/>
        <v>0.10526315789473684</v>
      </c>
    </row>
    <row r="7" spans="1:16" x14ac:dyDescent="0.25">
      <c r="A7" s="6" t="s">
        <v>26</v>
      </c>
      <c r="B7" s="9"/>
      <c r="C7" s="9"/>
      <c r="D7" s="9"/>
      <c r="E7" s="9"/>
      <c r="F7" s="9" t="s">
        <v>4</v>
      </c>
      <c r="G7" s="9"/>
      <c r="H7" s="9"/>
      <c r="J7" s="22" t="s">
        <v>27</v>
      </c>
      <c r="K7" s="41">
        <f t="shared" si="3"/>
        <v>1</v>
      </c>
      <c r="L7" s="49">
        <f t="shared" si="2"/>
        <v>5.2631578947368418E-2</v>
      </c>
    </row>
    <row r="8" spans="1:16" x14ac:dyDescent="0.25">
      <c r="A8" s="6" t="s">
        <v>28</v>
      </c>
      <c r="B8" s="9"/>
      <c r="C8" s="9"/>
      <c r="D8" s="9" t="s">
        <v>27</v>
      </c>
      <c r="E8" s="9"/>
      <c r="F8" s="9"/>
      <c r="G8" s="9"/>
      <c r="H8" s="9"/>
      <c r="J8" s="23" t="s">
        <v>7</v>
      </c>
      <c r="K8" s="41">
        <f>COUNTIF($B$5:$H$93,J8)</f>
        <v>0</v>
      </c>
      <c r="L8" s="49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41">
        <f>COUNTIF($B$5:$H$93,J9)</f>
        <v>0</v>
      </c>
      <c r="L9" s="49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41">
        <f t="shared" si="3"/>
        <v>2</v>
      </c>
      <c r="L10" s="49">
        <f t="shared" si="2"/>
        <v>0.10526315789473684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41">
        <f t="shared" si="3"/>
        <v>1</v>
      </c>
      <c r="L11" s="49">
        <f t="shared" si="2"/>
        <v>5.2631578947368418E-2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41">
        <f t="shared" si="3"/>
        <v>0</v>
      </c>
      <c r="L12" s="49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41">
        <f t="shared" si="3"/>
        <v>2</v>
      </c>
      <c r="L13" s="49">
        <f t="shared" si="2"/>
        <v>0.10526315789473684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41">
        <f>COUNTIF($B$5:$H$93,J14)</f>
        <v>5</v>
      </c>
      <c r="L14" s="49">
        <f t="shared" si="2"/>
        <v>0.26315789473684209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50">
        <f>COUNTIF($B$5:$H$93,J15)</f>
        <v>1</v>
      </c>
      <c r="L15" s="51">
        <f t="shared" si="2"/>
        <v>5.2631578947368418E-2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7" t="s">
        <v>2</v>
      </c>
      <c r="K16" s="1">
        <f>SUM(K5:K15)</f>
        <v>19</v>
      </c>
    </row>
    <row r="17" spans="1:10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/>
    </row>
    <row r="18" spans="1:10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0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0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0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0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0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0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0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0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0" x14ac:dyDescent="0.25">
      <c r="A27" s="6" t="s">
        <v>49</v>
      </c>
      <c r="B27" s="9"/>
      <c r="C27" s="9"/>
      <c r="D27" s="9"/>
      <c r="E27" s="9"/>
      <c r="F27" s="9"/>
      <c r="G27" s="9" t="s">
        <v>5</v>
      </c>
      <c r="H27" s="9"/>
      <c r="J27" s="7"/>
    </row>
    <row r="28" spans="1:10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0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0" x14ac:dyDescent="0.25">
      <c r="A30" s="6" t="s">
        <v>52</v>
      </c>
      <c r="B30" s="9"/>
      <c r="C30" s="9" t="s">
        <v>13</v>
      </c>
      <c r="D30" s="9" t="s">
        <v>13</v>
      </c>
      <c r="E30" s="9"/>
      <c r="F30" s="9"/>
      <c r="G30" s="9" t="s">
        <v>4</v>
      </c>
      <c r="H30" s="9"/>
    </row>
    <row r="31" spans="1:10" x14ac:dyDescent="0.25">
      <c r="A31" s="6" t="s">
        <v>53</v>
      </c>
      <c r="B31" s="9"/>
      <c r="C31" s="9" t="s">
        <v>121</v>
      </c>
      <c r="D31" s="9"/>
      <c r="E31" s="9"/>
      <c r="F31" s="9"/>
      <c r="G31" s="9"/>
      <c r="H31" s="9"/>
    </row>
    <row r="32" spans="1:10" x14ac:dyDescent="0.25">
      <c r="A32" s="6" t="s">
        <v>54</v>
      </c>
      <c r="B32" s="9"/>
      <c r="C32" s="9"/>
      <c r="D32" s="9"/>
      <c r="E32" s="9" t="s">
        <v>4</v>
      </c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 t="s">
        <v>10</v>
      </c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 t="s">
        <v>118</v>
      </c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 t="s">
        <v>4</v>
      </c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 t="s">
        <v>4</v>
      </c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 t="s">
        <v>12</v>
      </c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 t="s">
        <v>118</v>
      </c>
      <c r="D62" s="9"/>
      <c r="E62" s="9" t="s">
        <v>12</v>
      </c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 t="s">
        <v>5</v>
      </c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 t="s">
        <v>13</v>
      </c>
      <c r="E75" s="9" t="s">
        <v>13</v>
      </c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3278" priority="37" operator="containsText" text="Pivô">
      <formula>NOT(ISERROR(SEARCH("Pivô",A1)))</formula>
    </cfRule>
    <cfRule type="containsText" dxfId="3277" priority="36" operator="containsText" text="Pivô">
      <formula>NOT(ISERROR(SEARCH("Pivô",A1)))</formula>
    </cfRule>
  </conditionalFormatting>
  <conditionalFormatting sqref="B5:H95">
    <cfRule type="containsText" dxfId="3258" priority="21" operator="containsText" text="Pulverização">
      <formula>NOT(ISERROR(SEARCH("Pulverização",B5)))</formula>
    </cfRule>
    <cfRule type="cellIs" dxfId="3257" priority="22" operator="greaterThan">
      <formula>$J$5</formula>
    </cfRule>
    <cfRule type="containsText" dxfId="3256" priority="23" operator="containsText" text="Cardã">
      <formula>NOT(ISERROR(SEARCH("Cardã",B5)))</formula>
    </cfRule>
    <cfRule type="containsText" dxfId="3255" priority="24" operator="containsText" text="Pneu">
      <formula>NOT(ISERROR(SEARCH("Pneu",B5)))</formula>
    </cfRule>
    <cfRule type="containsText" dxfId="3254" priority="25" operator="containsText" text="Vedação">
      <formula>NOT(ISERROR(SEARCH("Vedação",B5)))</formula>
    </cfRule>
    <cfRule type="containsText" dxfId="3253" priority="26" operator="containsText" text="Retentor">
      <formula>NOT(ISERROR(SEARCH("Retentor",B5)))</formula>
    </cfRule>
    <cfRule type="containsText" dxfId="3252" priority="27" operator="containsText" text="Motorredutor">
      <formula>NOT(ISERROR(SEARCH("Motorredutor",B5)))</formula>
    </cfRule>
    <cfRule type="containsText" dxfId="3251" priority="28" operator="containsText" text="Redutor">
      <formula>NOT(ISERROR(SEARCH("Redutor",B5)))</formula>
    </cfRule>
    <cfRule type="containsText" dxfId="3250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9BFCF697-BA4D-4229-AF63-2BFB0B0762B5}">
      <formula1>$J$5:$J$11</formula1>
    </dataValidation>
    <dataValidation type="list" allowBlank="1" showInputMessage="1" showErrorMessage="1" sqref="B5:H93" xr:uid="{B6408370-4883-4186-96EA-17B226F77239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9BE2978-8EA3-43A4-9499-86CB367BA5F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3" operator="containsText" id="{AB64A9AF-64D4-4BB1-B155-CA8400F121DD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32C46DAA-A7DE-4DBF-A89E-7C39BEADED94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3E9054A0-4937-434D-94B7-25168FCDF1E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A3D4AF7B-273D-4300-8D94-6ED22F01C28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24BFD47A-38DF-4AA4-B2CE-3E08A4EB3A7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307900D7-5515-4DAD-82D5-F1A202E607A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352B1CD8-0603-497A-ABF5-FFC44871F796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BB0DBB45-703C-4E73-855A-CF8C1F8E8D2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A3DBEFC3-D21A-46B4-8736-D991F1BD2F01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9D8641E2-DB98-4147-96CD-3E47541D9FB6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F3706B04-BD07-47C0-A72E-1B5777DF813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4B1652F6-E080-4F2A-B7F8-230AE9CE3E1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D5A68876-7EEA-4467-8F3E-E5515E49793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9634879F-F1AC-4716-BC6C-9C6C695159F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D0B35B01-3143-4BD8-B413-CDB84474DA0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3175AED1-329B-485C-A412-9F90CE691EA1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A8DD1ECC-AF71-43F5-A93B-7FA706739AD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E396B483-0410-4142-A223-F292F8CD6A09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B3E6DA88-7868-4890-94AD-246B68A2ADA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9ED4A329-A840-49E7-827E-49134834FD3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0EBA8E5D-B5C2-41E7-B3B0-819B379AC0C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33F8FF41-0794-467B-9A12-BD16C12FE97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6B5B7F64-39C6-496C-BB66-94EAA67B8D2E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9" operator="containsText" id="{E6157693-F8C6-4558-B462-9143393B70B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8" operator="containsText" id="{9393B19A-9B84-4F51-96C8-7FF95597CDD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82B0-2999-4198-B125-6C2C8622748A}">
  <sheetPr>
    <tabColor rgb="FF92D050"/>
    <pageSetUpPr fitToPage="1"/>
  </sheetPr>
  <dimension ref="A1:P93"/>
  <sheetViews>
    <sheetView showGridLines="0" topLeftCell="D1" zoomScaleNormal="100" workbookViewId="0">
      <pane ySplit="4" topLeftCell="A5" activePane="bottomLeft" state="frozen"/>
      <selection pane="bottomLeft" activeCell="M5" sqref="M5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122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44634</v>
      </c>
      <c r="C3" s="11">
        <f t="shared" ref="C3:H3" si="0">B3+1</f>
        <v>44635</v>
      </c>
      <c r="D3" s="11">
        <f t="shared" si="0"/>
        <v>44636</v>
      </c>
      <c r="E3" s="11">
        <f t="shared" si="0"/>
        <v>44637</v>
      </c>
      <c r="F3" s="11">
        <f t="shared" si="0"/>
        <v>44638</v>
      </c>
      <c r="G3" s="11">
        <f t="shared" si="0"/>
        <v>44639</v>
      </c>
      <c r="H3" s="12">
        <f t="shared" si="0"/>
        <v>44640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123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40">
        <f>COUNTIF($B$5:$H$93,J5)</f>
        <v>3</v>
      </c>
      <c r="L5" s="48">
        <f t="shared" ref="L5:L15" si="2">K5/$K$16</f>
        <v>0.375</v>
      </c>
      <c r="M5" t="s">
        <v>124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41">
        <f t="shared" ref="K6:K13" si="3">COUNTIF($B$5:$H$93,J6)</f>
        <v>1</v>
      </c>
      <c r="L6" s="49">
        <f t="shared" si="2"/>
        <v>0.125</v>
      </c>
    </row>
    <row r="7" spans="1:16" x14ac:dyDescent="0.25">
      <c r="A7" s="6" t="s">
        <v>26</v>
      </c>
      <c r="B7" s="9"/>
      <c r="C7" s="9"/>
      <c r="D7" s="9"/>
      <c r="E7" s="9"/>
      <c r="F7" s="9"/>
      <c r="G7" s="9" t="s">
        <v>5</v>
      </c>
      <c r="H7" s="9"/>
      <c r="J7" s="22" t="s">
        <v>27</v>
      </c>
      <c r="K7" s="41">
        <f t="shared" si="3"/>
        <v>0</v>
      </c>
      <c r="L7" s="49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41">
        <f>COUNTIF($B$5:$H$93,J8)</f>
        <v>0</v>
      </c>
      <c r="L8" s="49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41">
        <f>COUNTIF($B$5:$H$93,J9)</f>
        <v>0</v>
      </c>
      <c r="L9" s="49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41">
        <f t="shared" si="3"/>
        <v>1</v>
      </c>
      <c r="L10" s="49">
        <f t="shared" si="2"/>
        <v>0.125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41">
        <f t="shared" si="3"/>
        <v>0</v>
      </c>
      <c r="L11" s="49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41">
        <f t="shared" si="3"/>
        <v>0</v>
      </c>
      <c r="L12" s="49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41">
        <f t="shared" si="3"/>
        <v>2</v>
      </c>
      <c r="L13" s="49">
        <f t="shared" si="2"/>
        <v>0.25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41">
        <f>COUNTIF($B$5:$H$93,J14)</f>
        <v>1</v>
      </c>
      <c r="L14" s="49">
        <f t="shared" si="2"/>
        <v>0.125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50">
        <f>COUNTIF($B$5:$H$93,J15)</f>
        <v>0</v>
      </c>
      <c r="L15" s="51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7" t="s">
        <v>2</v>
      </c>
      <c r="K16" s="1">
        <f>SUM(K5:K15)</f>
        <v>8</v>
      </c>
    </row>
    <row r="17" spans="1:10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/>
    </row>
    <row r="18" spans="1:10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0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0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0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0" x14ac:dyDescent="0.25">
      <c r="A22" s="6" t="s">
        <v>44</v>
      </c>
      <c r="B22" s="9"/>
      <c r="C22" s="9"/>
      <c r="D22" s="9" t="s">
        <v>4</v>
      </c>
      <c r="E22" s="9"/>
      <c r="F22" s="9"/>
      <c r="G22" s="9"/>
      <c r="H22" s="9"/>
      <c r="J22" s="7"/>
    </row>
    <row r="23" spans="1:10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0" x14ac:dyDescent="0.25">
      <c r="A24" s="6" t="s">
        <v>46</v>
      </c>
      <c r="B24" s="9"/>
      <c r="C24" s="9"/>
      <c r="D24" s="9" t="s">
        <v>4</v>
      </c>
      <c r="E24" s="9"/>
      <c r="F24" s="9"/>
      <c r="G24" s="9"/>
      <c r="H24" s="9"/>
      <c r="J24" s="7"/>
    </row>
    <row r="25" spans="1:10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0" x14ac:dyDescent="0.25">
      <c r="A26" s="6" t="s">
        <v>48</v>
      </c>
      <c r="B26" s="9"/>
      <c r="C26" s="9"/>
      <c r="D26" s="9"/>
      <c r="E26" s="9" t="s">
        <v>12</v>
      </c>
      <c r="F26" s="9"/>
      <c r="G26" s="9"/>
      <c r="H26" s="9"/>
      <c r="J26" s="7"/>
    </row>
    <row r="27" spans="1:10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0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0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0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0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0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 t="s">
        <v>13</v>
      </c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 t="s">
        <v>4</v>
      </c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 t="s">
        <v>12</v>
      </c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 t="s">
        <v>118</v>
      </c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3241" priority="37" operator="containsText" text="Pivô">
      <formula>NOT(ISERROR(SEARCH("Pivô",A1)))</formula>
    </cfRule>
    <cfRule type="containsText" dxfId="3240" priority="36" operator="containsText" text="Pivô">
      <formula>NOT(ISERROR(SEARCH("Pivô",A1)))</formula>
    </cfRule>
  </conditionalFormatting>
  <conditionalFormatting sqref="B5:H95">
    <cfRule type="containsText" dxfId="3221" priority="21" operator="containsText" text="Pulverização">
      <formula>NOT(ISERROR(SEARCH("Pulverização",B5)))</formula>
    </cfRule>
    <cfRule type="cellIs" dxfId="3220" priority="22" operator="greaterThan">
      <formula>$J$5</formula>
    </cfRule>
    <cfRule type="containsText" dxfId="3219" priority="23" operator="containsText" text="Cardã">
      <formula>NOT(ISERROR(SEARCH("Cardã",B5)))</formula>
    </cfRule>
    <cfRule type="containsText" dxfId="3218" priority="24" operator="containsText" text="Pneu">
      <formula>NOT(ISERROR(SEARCH("Pneu",B5)))</formula>
    </cfRule>
    <cfRule type="containsText" dxfId="3217" priority="25" operator="containsText" text="Vedação">
      <formula>NOT(ISERROR(SEARCH("Vedação",B5)))</formula>
    </cfRule>
    <cfRule type="containsText" dxfId="3216" priority="26" operator="containsText" text="Retentor">
      <formula>NOT(ISERROR(SEARCH("Retentor",B5)))</formula>
    </cfRule>
    <cfRule type="containsText" dxfId="3215" priority="27" operator="containsText" text="Motorredutor">
      <formula>NOT(ISERROR(SEARCH("Motorredutor",B5)))</formula>
    </cfRule>
    <cfRule type="containsText" dxfId="3214" priority="28" operator="containsText" text="Redutor">
      <formula>NOT(ISERROR(SEARCH("Redutor",B5)))</formula>
    </cfRule>
    <cfRule type="containsText" dxfId="3213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EEBBC3FE-10C1-439A-9FD3-62B506A47E78}">
      <formula1>$J$5:$J$15</formula1>
    </dataValidation>
    <dataValidation type="list" allowBlank="1" showInputMessage="1" showErrorMessage="1" sqref="B94:H95" xr:uid="{1D18D249-4D63-4C5E-BC65-13765E473DA7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8ED6CDD-3C8C-4AFC-9C75-600338CEE70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3" operator="containsText" id="{5EBE515F-3EB4-46C7-B597-2790BED0FDE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701EF582-5B27-485F-93D9-B078559F50A8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254C15CB-9D8F-4499-B688-12B27A0384E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A9FA625B-77D0-4BAD-ADD9-953353E2E2E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970A3815-3466-4E78-A6D1-E19308C44FD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AD39F0E0-CB66-410B-AE09-F1C200EBCD2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0C7AB1EA-2508-431A-AC2E-8B2A7BC348D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6F641799-5B92-4D1C-8F6A-9EF73704763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41CDF898-C636-4773-A45D-0E6A1DD66D8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96F275A2-8281-4FD8-9B05-17E6F55E4AC1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1EF221CF-4567-4177-9D0F-0CABA7AF9E0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39E97EC7-FD37-4320-9314-BDA000D30F76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27C64C5A-9A67-4C37-BF19-30B19D2219A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F71E5702-C078-400E-8856-F98CAC546DA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97FEB9C3-10D3-48A5-AF8D-9C84A3DB2A0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92458FC6-7060-4150-9939-7DD28387CD66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EE0C7E78-C9BC-47D8-B2F8-8A95BF4D7CD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26A8431F-59F2-4783-8C7B-24074FEF1E6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FA2C3F79-9A80-4BDF-81D9-A41E46CF802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94C79BEE-DC47-4C7B-8F58-FB114B6696D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C68EAC89-795C-4BE1-96F5-4E4F908DD484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0EE21EED-F4E8-4EFE-BEDC-1680BD8A8B9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6E25F4D4-EABB-4555-8FD2-2B07F2638A1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9" operator="containsText" id="{2AF51192-64FB-477C-91E4-0E3F26A7837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8" operator="containsText" id="{707450EA-05C2-4BBB-B628-EFA9FA995CE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F3B7-3732-4AF3-9099-4EA533DC21E3}">
  <sheetPr>
    <tabColor rgb="FF92D050"/>
    <pageSetUpPr fitToPage="1"/>
  </sheetPr>
  <dimension ref="A1:P93"/>
  <sheetViews>
    <sheetView showGridLines="0" topLeftCell="B1" zoomScaleNormal="100" workbookViewId="0">
      <pane ySplit="4" topLeftCell="A5" activePane="bottomLeft" state="frozen"/>
      <selection pane="bottomLeft" activeCell="L17" sqref="L17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125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44641</v>
      </c>
      <c r="C3" s="11">
        <f t="shared" ref="C3:H3" si="0">B3+1</f>
        <v>44642</v>
      </c>
      <c r="D3" s="11">
        <f t="shared" si="0"/>
        <v>44643</v>
      </c>
      <c r="E3" s="11">
        <f t="shared" si="0"/>
        <v>44644</v>
      </c>
      <c r="F3" s="11">
        <f t="shared" si="0"/>
        <v>44645</v>
      </c>
      <c r="G3" s="11">
        <f t="shared" si="0"/>
        <v>44646</v>
      </c>
      <c r="H3" s="12">
        <f t="shared" si="0"/>
        <v>44647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123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40">
        <f>COUNTIF($B$5:$H$93,J5)</f>
        <v>3</v>
      </c>
      <c r="L5" s="48">
        <f t="shared" ref="L5:L15" si="2">K5/$K$16</f>
        <v>0.27272727272727271</v>
      </c>
      <c r="M5" t="s">
        <v>126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41">
        <f t="shared" ref="K6:K13" si="3">COUNTIF($B$5:$H$93,J6)</f>
        <v>0</v>
      </c>
      <c r="L6" s="49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41">
        <f t="shared" si="3"/>
        <v>1</v>
      </c>
      <c r="L7" s="49">
        <f t="shared" si="2"/>
        <v>9.0909090909090912E-2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41">
        <f>COUNTIF($B$5:$H$93,J8)</f>
        <v>0</v>
      </c>
      <c r="L8" s="49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41">
        <f>COUNTIF($B$5:$H$93,J9)</f>
        <v>0</v>
      </c>
      <c r="L9" s="49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41">
        <f t="shared" si="3"/>
        <v>1</v>
      </c>
      <c r="L10" s="49">
        <f t="shared" si="2"/>
        <v>9.0909090909090912E-2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41">
        <f t="shared" si="3"/>
        <v>0</v>
      </c>
      <c r="L11" s="49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41">
        <f t="shared" si="3"/>
        <v>3</v>
      </c>
      <c r="L12" s="49">
        <f t="shared" si="2"/>
        <v>0.27272727272727271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41">
        <f t="shared" si="3"/>
        <v>1</v>
      </c>
      <c r="L13" s="49">
        <f t="shared" si="2"/>
        <v>9.0909090909090912E-2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41">
        <f>COUNTIF($B$5:$H$93,J14)</f>
        <v>2</v>
      </c>
      <c r="L14" s="49">
        <f t="shared" si="2"/>
        <v>0.18181818181818182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50">
        <f>COUNTIF($B$5:$H$93,J15)</f>
        <v>0</v>
      </c>
      <c r="L15" s="51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7" t="s">
        <v>2</v>
      </c>
      <c r="K16" s="1">
        <f>SUM(K5:K15)</f>
        <v>11</v>
      </c>
    </row>
    <row r="17" spans="1:10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/>
    </row>
    <row r="18" spans="1:10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0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0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0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0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0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0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0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0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0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0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0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0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0" x14ac:dyDescent="0.25">
      <c r="A31" s="6" t="s">
        <v>53</v>
      </c>
      <c r="B31" s="9"/>
      <c r="C31" s="9"/>
      <c r="D31" s="9"/>
      <c r="E31" s="9"/>
      <c r="F31" s="9" t="s">
        <v>4</v>
      </c>
      <c r="G31" s="9"/>
      <c r="H31" s="9"/>
    </row>
    <row r="32" spans="1:10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 t="s">
        <v>127</v>
      </c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 t="s">
        <v>4</v>
      </c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 t="s">
        <v>4</v>
      </c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 t="s">
        <v>11</v>
      </c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 t="s">
        <v>11</v>
      </c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 t="s">
        <v>11</v>
      </c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 t="s">
        <v>12</v>
      </c>
      <c r="C62" s="9" t="s">
        <v>118</v>
      </c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 t="s">
        <v>13</v>
      </c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 t="s">
        <v>13</v>
      </c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3204" priority="37" operator="containsText" text="Pivô">
      <formula>NOT(ISERROR(SEARCH("Pivô",A1)))</formula>
    </cfRule>
    <cfRule type="containsText" dxfId="3203" priority="36" operator="containsText" text="Pivô">
      <formula>NOT(ISERROR(SEARCH("Pivô",A1)))</formula>
    </cfRule>
  </conditionalFormatting>
  <conditionalFormatting sqref="B5:H95">
    <cfRule type="containsText" dxfId="3184" priority="21" operator="containsText" text="Pulverização">
      <formula>NOT(ISERROR(SEARCH("Pulverização",B5)))</formula>
    </cfRule>
    <cfRule type="cellIs" dxfId="3183" priority="22" operator="greaterThan">
      <formula>$J$5</formula>
    </cfRule>
    <cfRule type="containsText" dxfId="3182" priority="23" operator="containsText" text="Cardã">
      <formula>NOT(ISERROR(SEARCH("Cardã",B5)))</formula>
    </cfRule>
    <cfRule type="containsText" dxfId="3181" priority="24" operator="containsText" text="Pneu">
      <formula>NOT(ISERROR(SEARCH("Pneu",B5)))</formula>
    </cfRule>
    <cfRule type="containsText" dxfId="3180" priority="25" operator="containsText" text="Vedação">
      <formula>NOT(ISERROR(SEARCH("Vedação",B5)))</formula>
    </cfRule>
    <cfRule type="containsText" dxfId="3179" priority="26" operator="containsText" text="Retentor">
      <formula>NOT(ISERROR(SEARCH("Retentor",B5)))</formula>
    </cfRule>
    <cfRule type="containsText" dxfId="3178" priority="27" operator="containsText" text="Motorredutor">
      <formula>NOT(ISERROR(SEARCH("Motorredutor",B5)))</formula>
    </cfRule>
    <cfRule type="containsText" dxfId="3177" priority="28" operator="containsText" text="Redutor">
      <formula>NOT(ISERROR(SEARCH("Redutor",B5)))</formula>
    </cfRule>
    <cfRule type="containsText" dxfId="3176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E2188271-6A7B-4E00-8FED-FED36C12D10D}">
      <formula1>$J$5:$J$11</formula1>
    </dataValidation>
    <dataValidation type="list" allowBlank="1" showInputMessage="1" showErrorMessage="1" sqref="B5:H93" xr:uid="{594098EB-A0F4-4BB3-9260-B9EE41FC6423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99752AC-DC80-4A64-981F-E531B239107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3" operator="containsText" id="{25949B05-88A7-47C5-A3CC-59F9FFF6DDE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8210E5D2-2A70-4CD3-82B2-2C8223C2B81A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F75FA84D-4B9B-4FF1-BF96-867AF35EB9C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41C05BCD-246A-4C62-A0F0-1E7E952C2C1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743E5A49-3C89-4BEB-B934-644C3C186E73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6796268B-F253-497F-AC6A-C542492493A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D91ECF21-0EE1-4D9D-B826-0C8748A74BED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1F582C8C-D382-4056-86B4-38435210A00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42E26F92-7AD9-4910-B842-2E81006CFBAF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C2598725-4FC6-4BE3-9A13-E6CD3F0BD21B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4531972F-B508-46D2-8DD4-DF893219D44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7DB58150-38A0-401D-95CF-D238A87FE685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FBA21338-83BD-4C08-AE97-F01C8006513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752BBDEC-2448-4818-AFAF-11644AA9109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CA313AE5-F491-4EF7-8937-E69A9B4AFED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43CB07EC-BC67-4927-9362-9C70D42C0563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470AB4CA-7F6F-40B0-817E-CF2BB23FB63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0E882F92-18D6-4D8A-957C-FF8E1189D4A2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655C2F18-EE77-4D8E-9844-F86F8A74729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BE4D707B-2E51-4F46-91F6-75132C4A649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F1F3134B-B720-4D75-9E39-C34087560575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D3C13119-FC83-4410-A3B6-F2320070D65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5EF3965A-B1DD-4E7F-B1B0-9B5EE0EF72E0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9" operator="containsText" id="{8B3D3295-845E-4045-8844-8FE575079F7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8" operator="containsText" id="{6364DC7E-4EC3-48F7-81B8-849E55F303A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AD7B-98B4-48C7-86F4-E4764A2A71BD}">
  <sheetPr>
    <tabColor rgb="FF92D050"/>
    <pageSetUpPr fitToPage="1"/>
  </sheetPr>
  <dimension ref="A1:P93"/>
  <sheetViews>
    <sheetView showGridLines="0" topLeftCell="B1" zoomScaleNormal="100" workbookViewId="0">
      <pane ySplit="4" topLeftCell="A5" activePane="bottomLeft" state="frozen"/>
      <selection pane="bottomLeft" activeCell="M8" sqref="M8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128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44648</v>
      </c>
      <c r="C3" s="11">
        <f t="shared" ref="C3:H3" si="0">B3+1</f>
        <v>44649</v>
      </c>
      <c r="D3" s="11">
        <f t="shared" si="0"/>
        <v>44650</v>
      </c>
      <c r="E3" s="11">
        <f t="shared" si="0"/>
        <v>44651</v>
      </c>
      <c r="F3" s="11">
        <f t="shared" si="0"/>
        <v>44652</v>
      </c>
      <c r="G3" s="11">
        <f t="shared" si="0"/>
        <v>44653</v>
      </c>
      <c r="H3" s="12">
        <f t="shared" si="0"/>
        <v>44654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40">
        <f>COUNTIF($B$5:$H$93,J5)</f>
        <v>3</v>
      </c>
      <c r="L5" s="48">
        <f t="shared" ref="L5:L15" si="2">K5/$K$16</f>
        <v>0.5</v>
      </c>
      <c r="M5" t="s">
        <v>129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41">
        <f t="shared" ref="K6:K13" si="3">COUNTIF($B$5:$H$93,J6)</f>
        <v>0</v>
      </c>
      <c r="L6" s="49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41">
        <f t="shared" si="3"/>
        <v>0</v>
      </c>
      <c r="L7" s="49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41">
        <f>COUNTIF($B$5:$H$93,J8)</f>
        <v>0</v>
      </c>
      <c r="L8" s="49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41">
        <f>COUNTIF($B$5:$H$93,J9)</f>
        <v>0</v>
      </c>
      <c r="L9" s="49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41">
        <f t="shared" si="3"/>
        <v>0</v>
      </c>
      <c r="L10" s="49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41">
        <f t="shared" si="3"/>
        <v>0</v>
      </c>
      <c r="L11" s="49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41">
        <f t="shared" si="3"/>
        <v>0</v>
      </c>
      <c r="L12" s="49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41">
        <f t="shared" si="3"/>
        <v>0</v>
      </c>
      <c r="L13" s="49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41">
        <f>COUNTIF($B$5:$H$93,J14)</f>
        <v>3</v>
      </c>
      <c r="L14" s="49">
        <f t="shared" si="2"/>
        <v>0.5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50">
        <f>COUNTIF($B$5:$H$93,J15)</f>
        <v>0</v>
      </c>
      <c r="L15" s="51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7" t="s">
        <v>2</v>
      </c>
      <c r="K16" s="1">
        <f>SUM(K5:K15)</f>
        <v>6</v>
      </c>
    </row>
    <row r="17" spans="1:10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/>
    </row>
    <row r="18" spans="1:10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0" x14ac:dyDescent="0.25">
      <c r="A19" s="6" t="s">
        <v>41</v>
      </c>
      <c r="B19" s="9"/>
      <c r="C19" s="9" t="s">
        <v>13</v>
      </c>
      <c r="D19" s="9"/>
      <c r="E19" s="9"/>
      <c r="F19" s="9"/>
      <c r="G19" s="9"/>
      <c r="H19" s="9"/>
      <c r="J19" s="7"/>
    </row>
    <row r="20" spans="1:10" x14ac:dyDescent="0.25">
      <c r="A20" s="6" t="s">
        <v>42</v>
      </c>
      <c r="B20" s="9"/>
      <c r="C20" s="9"/>
      <c r="D20" s="9" t="s">
        <v>13</v>
      </c>
      <c r="E20" s="9" t="s">
        <v>13</v>
      </c>
      <c r="F20" s="9"/>
      <c r="G20" s="9"/>
      <c r="H20" s="9"/>
      <c r="J20" s="7"/>
    </row>
    <row r="21" spans="1:10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0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0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0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0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0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0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0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0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0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0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0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 t="s">
        <v>4</v>
      </c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 t="s">
        <v>4</v>
      </c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 t="s">
        <v>4</v>
      </c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3167" priority="37" operator="containsText" text="Pivô">
      <formula>NOT(ISERROR(SEARCH("Pivô",A1)))</formula>
    </cfRule>
    <cfRule type="containsText" dxfId="3166" priority="36" operator="containsText" text="Pivô">
      <formula>NOT(ISERROR(SEARCH("Pivô",A1)))</formula>
    </cfRule>
  </conditionalFormatting>
  <conditionalFormatting sqref="B5:H95">
    <cfRule type="containsText" dxfId="3147" priority="21" operator="containsText" text="Pulverização">
      <formula>NOT(ISERROR(SEARCH("Pulverização",B5)))</formula>
    </cfRule>
    <cfRule type="cellIs" dxfId="3146" priority="22" operator="greaterThan">
      <formula>$J$5</formula>
    </cfRule>
    <cfRule type="containsText" dxfId="3145" priority="23" operator="containsText" text="Cardã">
      <formula>NOT(ISERROR(SEARCH("Cardã",B5)))</formula>
    </cfRule>
    <cfRule type="containsText" dxfId="3144" priority="24" operator="containsText" text="Pneu">
      <formula>NOT(ISERROR(SEARCH("Pneu",B5)))</formula>
    </cfRule>
    <cfRule type="containsText" dxfId="3143" priority="25" operator="containsText" text="Vedação">
      <formula>NOT(ISERROR(SEARCH("Vedação",B5)))</formula>
    </cfRule>
    <cfRule type="containsText" dxfId="3142" priority="26" operator="containsText" text="Retentor">
      <formula>NOT(ISERROR(SEARCH("Retentor",B5)))</formula>
    </cfRule>
    <cfRule type="containsText" dxfId="3141" priority="27" operator="containsText" text="Motorredutor">
      <formula>NOT(ISERROR(SEARCH("Motorredutor",B5)))</formula>
    </cfRule>
    <cfRule type="containsText" dxfId="3140" priority="28" operator="containsText" text="Redutor">
      <formula>NOT(ISERROR(SEARCH("Redutor",B5)))</formula>
    </cfRule>
    <cfRule type="containsText" dxfId="3139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72243197-E80C-46C5-91FC-A702C3227A3C}">
      <formula1>$J$5:$J$15</formula1>
    </dataValidation>
    <dataValidation type="list" allowBlank="1" showInputMessage="1" showErrorMessage="1" sqref="B94:H95" xr:uid="{12C50FF9-0067-41EA-857D-ADCF4F10845D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DDA6277-A3CF-4D6B-B607-36063BEAE686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3" operator="containsText" id="{E45FDC61-AD6A-4FB9-A6AF-F8EA9CEA327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6D4D4647-6A47-43C0-BCBF-E780CCF72C39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FDE31C28-335A-4C5F-BCA3-CB7AD507934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9348ED1E-1E20-481F-BB7B-9A3E5607B00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89C10CC3-10C3-4842-86B9-53F871C4454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398AF599-26B5-4588-9F63-CC1C533FCE4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C9CE2908-022B-4730-A33F-F08A7A1647CD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E4385135-CECF-4D69-80DE-1225F0BED72C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9CEAD1C1-97A2-420B-B6BE-7689AD16FCBA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1E0B1D9B-F269-4EE9-B7D1-074E0FD0F5C9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CDAE4499-80CC-4A37-9CD9-72413F2EED5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0154DD89-FDE6-4737-A654-C5C36B56EE77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F8B1A86D-4300-4C98-BC42-BFA20F6B6B7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33512125-D0F8-4B64-9885-E12C77BE7DF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E5DAB362-FC62-4620-BABC-B1ACCAEE07F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399D8A15-27AB-40EB-AB1A-FD18EB8F306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979C72ED-5B74-4E1C-A256-8765067618A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90C11492-6658-47A7-B5C5-55A4FE2A7AA7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C780BD7E-3234-4EF1-9D92-8EF8381A8C5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CF6104DD-3290-4D5C-809C-CB2B2010FB1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C2ECFCC2-66EE-4490-B031-A3751D0D0F5A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A3F59D77-F9E6-4997-AC35-D647A68C90C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A43260E1-F26F-4528-9A69-E9578B1F9849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9" operator="containsText" id="{E5B0E559-A936-42BE-8956-A454D3D83EC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8" operator="containsText" id="{79ACA2FB-8A4B-4727-8940-DC2D969696D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764E-9D0A-428A-A47A-120971672CFE}">
  <sheetPr>
    <tabColor rgb="FF92D050"/>
    <pageSetUpPr fitToPage="1"/>
  </sheetPr>
  <dimension ref="A1:P93"/>
  <sheetViews>
    <sheetView showGridLines="0" topLeftCell="B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130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44655</v>
      </c>
      <c r="C3" s="11">
        <f t="shared" ref="C3:H3" si="0">B3+1</f>
        <v>44656</v>
      </c>
      <c r="D3" s="11">
        <f t="shared" si="0"/>
        <v>44657</v>
      </c>
      <c r="E3" s="11">
        <f t="shared" si="0"/>
        <v>44658</v>
      </c>
      <c r="F3" s="11">
        <f t="shared" si="0"/>
        <v>44659</v>
      </c>
      <c r="G3" s="11">
        <f t="shared" si="0"/>
        <v>44660</v>
      </c>
      <c r="H3" s="12">
        <f t="shared" si="0"/>
        <v>44661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40">
        <f>COUNTIF($B$5:$H$93,J5)</f>
        <v>1</v>
      </c>
      <c r="L5" s="48">
        <f t="shared" ref="L5:L15" si="2">K5/$K$16</f>
        <v>0.16666666666666666</v>
      </c>
      <c r="M5" t="s">
        <v>131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41">
        <f t="shared" ref="K6:K13" si="3">COUNTIF($B$5:$H$93,J6)</f>
        <v>3</v>
      </c>
      <c r="L6" s="49">
        <f t="shared" si="2"/>
        <v>0.5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41">
        <f t="shared" si="3"/>
        <v>0</v>
      </c>
      <c r="L7" s="49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41">
        <f>COUNTIF($B$5:$H$93,J8)</f>
        <v>0</v>
      </c>
      <c r="L8" s="49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41">
        <f>COUNTIF($B$5:$H$93,J9)</f>
        <v>1</v>
      </c>
      <c r="L9" s="49">
        <f t="shared" si="2"/>
        <v>0.16666666666666666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41">
        <f t="shared" si="3"/>
        <v>0</v>
      </c>
      <c r="L10" s="49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41">
        <f t="shared" si="3"/>
        <v>0</v>
      </c>
      <c r="L11" s="49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41">
        <f t="shared" si="3"/>
        <v>0</v>
      </c>
      <c r="L12" s="49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41">
        <f t="shared" si="3"/>
        <v>1</v>
      </c>
      <c r="L13" s="49">
        <f t="shared" si="2"/>
        <v>0.16666666666666666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41">
        <f>COUNTIF($B$5:$H$93,J14)</f>
        <v>0</v>
      </c>
      <c r="L14" s="49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50">
        <f>COUNTIF($B$5:$H$93,J15)</f>
        <v>0</v>
      </c>
      <c r="L15" s="51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7" t="s">
        <v>2</v>
      </c>
      <c r="K16" s="1">
        <f>SUM(K5:K15)</f>
        <v>6</v>
      </c>
    </row>
    <row r="17" spans="1:10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/>
    </row>
    <row r="18" spans="1:10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0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0" x14ac:dyDescent="0.25">
      <c r="A20" s="6" t="s">
        <v>42</v>
      </c>
      <c r="B20" s="9"/>
      <c r="C20" s="9"/>
      <c r="D20" s="9"/>
      <c r="E20" s="9"/>
      <c r="F20" s="9"/>
      <c r="G20" s="9" t="s">
        <v>4</v>
      </c>
      <c r="H20" s="9"/>
      <c r="J20" s="7"/>
    </row>
    <row r="21" spans="1:10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0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0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0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0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0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0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0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0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0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0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0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 t="s">
        <v>12</v>
      </c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 t="s">
        <v>30</v>
      </c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 t="s">
        <v>5</v>
      </c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 t="s">
        <v>5</v>
      </c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 t="s">
        <v>5</v>
      </c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3130" priority="37" operator="containsText" text="Pivô">
      <formula>NOT(ISERROR(SEARCH("Pivô",A1)))</formula>
    </cfRule>
    <cfRule type="containsText" dxfId="3129" priority="36" operator="containsText" text="Pivô">
      <formula>NOT(ISERROR(SEARCH("Pivô",A1)))</formula>
    </cfRule>
  </conditionalFormatting>
  <conditionalFormatting sqref="B5:H95">
    <cfRule type="containsText" dxfId="3110" priority="21" operator="containsText" text="Pulverização">
      <formula>NOT(ISERROR(SEARCH("Pulverização",B5)))</formula>
    </cfRule>
    <cfRule type="cellIs" dxfId="3109" priority="22" operator="greaterThan">
      <formula>$J$5</formula>
    </cfRule>
    <cfRule type="containsText" dxfId="3108" priority="23" operator="containsText" text="Cardã">
      <formula>NOT(ISERROR(SEARCH("Cardã",B5)))</formula>
    </cfRule>
    <cfRule type="containsText" dxfId="3107" priority="24" operator="containsText" text="Pneu">
      <formula>NOT(ISERROR(SEARCH("Pneu",B5)))</formula>
    </cfRule>
    <cfRule type="containsText" dxfId="3106" priority="25" operator="containsText" text="Vedação">
      <formula>NOT(ISERROR(SEARCH("Vedação",B5)))</formula>
    </cfRule>
    <cfRule type="containsText" dxfId="3105" priority="26" operator="containsText" text="Retentor">
      <formula>NOT(ISERROR(SEARCH("Retentor",B5)))</formula>
    </cfRule>
    <cfRule type="containsText" dxfId="3104" priority="27" operator="containsText" text="Motorredutor">
      <formula>NOT(ISERROR(SEARCH("Motorredutor",B5)))</formula>
    </cfRule>
    <cfRule type="containsText" dxfId="3103" priority="28" operator="containsText" text="Redutor">
      <formula>NOT(ISERROR(SEARCH("Redutor",B5)))</formula>
    </cfRule>
    <cfRule type="containsText" dxfId="3102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900CEE19-C4A0-4B6D-9F5D-06D43F0577C0}">
      <formula1>$J$5:$J$11</formula1>
    </dataValidation>
    <dataValidation type="list" allowBlank="1" showInputMessage="1" showErrorMessage="1" sqref="B5:H93" xr:uid="{D3CF5590-2C8C-4CAC-81D4-AB4CC0936629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79ED602-9332-4880-B44C-942C6B3A8645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3" operator="containsText" id="{2950C316-92F2-4D2A-AC7B-AB503BCD8B8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D97D9CA0-95E8-418A-AB06-7E2B08EAE053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B94D7E13-A040-4F82-AA2B-32E613C9942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B26E8C7F-4063-4581-BA42-2C014574918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F0006ABD-142D-4EF4-B120-5D7333811B9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963916A8-70B1-49FB-986B-E5DA7C426E8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1D9066BC-8586-42FC-8635-072D35D7AF9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28DEA6FD-3E69-49D8-AEB9-B4FC47A6A9A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03E65FEE-D0C9-4F03-B8E2-55AB71DE5AEC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4BC7F27D-E2BF-464D-8054-883F8BB16271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69D621C4-17F9-43E2-9042-4F3CC1D95E1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7BACC906-0682-4F15-9D86-4D1687D0B0B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18E06758-226F-4B71-9FC2-1DCCB5C15F9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594AB4B7-FF35-4E15-B81A-70381411799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5F438530-888D-4DBE-A084-FA30A3F1007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308FA689-F867-46B1-824C-1985D85C66D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C2D5D2C9-724D-4327-AF02-5D27306EBCE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DDCBA992-C6CE-4D6B-B3F7-6762D68D6579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EFA37CAA-C08E-4CC9-9CE4-6ABE62C7020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73F3E004-7951-429A-8D21-B05040C55CE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3E52851B-9957-4DD8-8195-1B854BB7BB58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48C98877-23FB-461C-AFA3-7C3BD1814BC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11F95B7A-82F5-4A1C-9521-9C49B31282DA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9" operator="containsText" id="{689DF955-C439-4D01-9D8A-4D13323B072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8" operator="containsText" id="{48D435B7-D43C-40CB-88FA-607128B7729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E0AC-12DC-4539-9705-FA5ADFBB033D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132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44662</v>
      </c>
      <c r="C3" s="11">
        <f t="shared" ref="C3:H3" si="0">B3+1</f>
        <v>44663</v>
      </c>
      <c r="D3" s="11">
        <f t="shared" si="0"/>
        <v>44664</v>
      </c>
      <c r="E3" s="11">
        <f t="shared" si="0"/>
        <v>44665</v>
      </c>
      <c r="F3" s="11">
        <f t="shared" si="0"/>
        <v>44666</v>
      </c>
      <c r="G3" s="11">
        <f t="shared" si="0"/>
        <v>44667</v>
      </c>
      <c r="H3" s="12">
        <f t="shared" si="0"/>
        <v>44668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40">
        <f>COUNTIF($B$5:$H$93,J5)</f>
        <v>2</v>
      </c>
      <c r="L5" s="48">
        <f t="shared" ref="L5:L15" si="2">K5/$K$16</f>
        <v>0.66666666666666663</v>
      </c>
      <c r="M5" t="s">
        <v>133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41">
        <f t="shared" ref="K6:K13" si="3">COUNTIF($B$5:$H$93,J6)</f>
        <v>1</v>
      </c>
      <c r="L6" s="49">
        <f t="shared" si="2"/>
        <v>0.33333333333333331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41">
        <f t="shared" si="3"/>
        <v>0</v>
      </c>
      <c r="L7" s="49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41">
        <f>COUNTIF($B$5:$H$93,J8)</f>
        <v>0</v>
      </c>
      <c r="L8" s="49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41">
        <f>COUNTIF($B$5:$H$93,J9)</f>
        <v>0</v>
      </c>
      <c r="L9" s="49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41">
        <f t="shared" si="3"/>
        <v>0</v>
      </c>
      <c r="L10" s="49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41">
        <f t="shared" si="3"/>
        <v>0</v>
      </c>
      <c r="L11" s="49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41">
        <f t="shared" si="3"/>
        <v>0</v>
      </c>
      <c r="L12" s="49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41">
        <f t="shared" si="3"/>
        <v>0</v>
      </c>
      <c r="L13" s="49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41">
        <f>COUNTIF($B$5:$H$93,J14)</f>
        <v>0</v>
      </c>
      <c r="L14" s="49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50">
        <f>COUNTIF($B$5:$H$93,J15)</f>
        <v>0</v>
      </c>
      <c r="L15" s="51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7" t="s">
        <v>2</v>
      </c>
      <c r="K16" s="1">
        <f>SUM(K5:K15)</f>
        <v>3</v>
      </c>
    </row>
    <row r="17" spans="1:10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/>
    </row>
    <row r="18" spans="1:10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0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0" x14ac:dyDescent="0.25">
      <c r="A20" s="6" t="s">
        <v>42</v>
      </c>
      <c r="B20" s="9" t="s">
        <v>4</v>
      </c>
      <c r="C20" s="9"/>
      <c r="D20" s="9"/>
      <c r="E20" s="9"/>
      <c r="F20" s="9"/>
      <c r="G20" s="9"/>
      <c r="H20" s="9"/>
      <c r="J20" s="7"/>
    </row>
    <row r="21" spans="1:10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0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0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0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0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0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0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0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0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0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0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0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 t="s">
        <v>4</v>
      </c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 t="s">
        <v>5</v>
      </c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3093" priority="37" operator="containsText" text="Pivô">
      <formula>NOT(ISERROR(SEARCH("Pivô",A1)))</formula>
    </cfRule>
    <cfRule type="containsText" dxfId="3092" priority="36" operator="containsText" text="Pivô">
      <formula>NOT(ISERROR(SEARCH("Pivô",A1)))</formula>
    </cfRule>
  </conditionalFormatting>
  <conditionalFormatting sqref="B5:H95">
    <cfRule type="containsText" dxfId="3073" priority="21" operator="containsText" text="Pulverização">
      <formula>NOT(ISERROR(SEARCH("Pulverização",B5)))</formula>
    </cfRule>
    <cfRule type="cellIs" dxfId="3072" priority="22" operator="greaterThan">
      <formula>$J$5</formula>
    </cfRule>
    <cfRule type="containsText" dxfId="3071" priority="23" operator="containsText" text="Cardã">
      <formula>NOT(ISERROR(SEARCH("Cardã",B5)))</formula>
    </cfRule>
    <cfRule type="containsText" dxfId="3070" priority="24" operator="containsText" text="Pneu">
      <formula>NOT(ISERROR(SEARCH("Pneu",B5)))</formula>
    </cfRule>
    <cfRule type="containsText" dxfId="3069" priority="25" operator="containsText" text="Vedação">
      <formula>NOT(ISERROR(SEARCH("Vedação",B5)))</formula>
    </cfRule>
    <cfRule type="containsText" dxfId="3068" priority="26" operator="containsText" text="Retentor">
      <formula>NOT(ISERROR(SEARCH("Retentor",B5)))</formula>
    </cfRule>
    <cfRule type="containsText" dxfId="3067" priority="27" operator="containsText" text="Motorredutor">
      <formula>NOT(ISERROR(SEARCH("Motorredutor",B5)))</formula>
    </cfRule>
    <cfRule type="containsText" dxfId="3066" priority="28" operator="containsText" text="Redutor">
      <formula>NOT(ISERROR(SEARCH("Redutor",B5)))</formula>
    </cfRule>
    <cfRule type="containsText" dxfId="3065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DCEB9F86-7F0E-4E36-90AA-E445702C76A4}">
      <formula1>$J$5:$J$15</formula1>
    </dataValidation>
    <dataValidation type="list" allowBlank="1" showInputMessage="1" showErrorMessage="1" sqref="B94:H95" xr:uid="{8E8D06C1-C400-4212-B9EA-426E7A7D299C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FE9DD4E-58EA-49A1-B488-A33ABCDD8F7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3" operator="containsText" id="{3C1D885B-9FA3-48DB-8EE7-775DFB70B89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A04CA905-1D9F-4D2A-B2DC-84B2A7464EB7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8FCFC670-EA6E-4441-A6D9-9712A95126A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6BB390EA-5880-4557-96CD-DB2328255DA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AE704A1D-2F35-4E8A-8337-43605DF07B8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F345D4FD-4A77-436C-B8AC-E1A40D2D9532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119DC58B-61DD-4F38-97C9-86BFB013553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C75883E4-11B6-42E8-BE10-F65791F69AE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307A5B5D-A772-4813-913F-56E6EECDA3CD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CFF68F0B-BD26-441F-9EB7-DAA193AD4944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90F08EDF-E01F-45A3-9F8D-622DEB95352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EA6B3DCA-1C3D-49F8-844E-DB97B76620ED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8422CF6E-ECCC-408A-AB0A-F40613870BD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814D3323-22D1-4978-B9E3-C48C6C62B23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E98D42F5-9A9B-4419-8A86-81C376548CB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288B53F8-87BB-41D0-B6FB-248864713835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F0ED2402-3EA2-42C3-8210-B0BE2C9A905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55F55338-6B00-4A50-AA53-FA9C519C6262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386A6187-0D5A-4B79-A4BC-53E76259B02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3F197C94-38D8-4875-82C7-DDF1E06C383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99449635-4C90-4870-97BA-CB5EFA76785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E66E49E1-49E4-4E38-9DD4-46513485950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3CD41289-5A48-404B-BCB1-A3E5B5F3F549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9" operator="containsText" id="{43700843-F558-43E0-86DF-4680DF44F56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8" operator="containsText" id="{4A66936C-2E38-4B77-8944-DC41353894F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6E44-7096-493D-B569-B33E5D6F36F2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134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44669</v>
      </c>
      <c r="C3" s="11">
        <f t="shared" ref="C3:H3" si="0">B3+1</f>
        <v>44670</v>
      </c>
      <c r="D3" s="11">
        <f t="shared" si="0"/>
        <v>44671</v>
      </c>
      <c r="E3" s="11">
        <f t="shared" si="0"/>
        <v>44672</v>
      </c>
      <c r="F3" s="11">
        <f t="shared" si="0"/>
        <v>44673</v>
      </c>
      <c r="G3" s="11">
        <f t="shared" si="0"/>
        <v>44674</v>
      </c>
      <c r="H3" s="12">
        <f t="shared" si="0"/>
        <v>44675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40">
        <f>COUNTIF($B$5:$H$93,J5)</f>
        <v>1</v>
      </c>
      <c r="L5" s="48">
        <f t="shared" ref="L5:L15" si="2">K5/$K$16</f>
        <v>1</v>
      </c>
      <c r="M5" t="s">
        <v>135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41">
        <f t="shared" ref="K6:K13" si="3">COUNTIF($B$5:$H$93,J6)</f>
        <v>0</v>
      </c>
      <c r="L6" s="49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41">
        <f t="shared" si="3"/>
        <v>0</v>
      </c>
      <c r="L7" s="49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41">
        <f>COUNTIF($B$5:$H$93,J8)</f>
        <v>0</v>
      </c>
      <c r="L8" s="49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41">
        <f>COUNTIF($B$5:$H$93,J9)</f>
        <v>0</v>
      </c>
      <c r="L9" s="49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41">
        <f t="shared" si="3"/>
        <v>0</v>
      </c>
      <c r="L10" s="49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41">
        <f t="shared" si="3"/>
        <v>0</v>
      </c>
      <c r="L11" s="49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41">
        <f t="shared" si="3"/>
        <v>0</v>
      </c>
      <c r="L12" s="49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41">
        <f t="shared" si="3"/>
        <v>0</v>
      </c>
      <c r="L13" s="49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41">
        <f>COUNTIF($B$5:$H$93,J14)</f>
        <v>0</v>
      </c>
      <c r="L14" s="49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50">
        <f>COUNTIF($B$5:$H$93,J15)</f>
        <v>0</v>
      </c>
      <c r="L15" s="51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7" t="s">
        <v>2</v>
      </c>
      <c r="K16" s="1">
        <f>SUM(K5:K15)</f>
        <v>1</v>
      </c>
    </row>
    <row r="17" spans="1:10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/>
    </row>
    <row r="18" spans="1:10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0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0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0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0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0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0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0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0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0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0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0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0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0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0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 t="s">
        <v>4</v>
      </c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3056" priority="37" operator="containsText" text="Pivô">
      <formula>NOT(ISERROR(SEARCH("Pivô",A1)))</formula>
    </cfRule>
    <cfRule type="containsText" dxfId="3055" priority="36" operator="containsText" text="Pivô">
      <formula>NOT(ISERROR(SEARCH("Pivô",A1)))</formula>
    </cfRule>
  </conditionalFormatting>
  <conditionalFormatting sqref="B5:H95">
    <cfRule type="containsText" dxfId="3036" priority="21" operator="containsText" text="Pulverização">
      <formula>NOT(ISERROR(SEARCH("Pulverização",B5)))</formula>
    </cfRule>
    <cfRule type="cellIs" dxfId="3035" priority="22" operator="greaterThan">
      <formula>$J$5</formula>
    </cfRule>
    <cfRule type="containsText" dxfId="3034" priority="23" operator="containsText" text="Cardã">
      <formula>NOT(ISERROR(SEARCH("Cardã",B5)))</formula>
    </cfRule>
    <cfRule type="containsText" dxfId="3033" priority="24" operator="containsText" text="Pneu">
      <formula>NOT(ISERROR(SEARCH("Pneu",B5)))</formula>
    </cfRule>
    <cfRule type="containsText" dxfId="3032" priority="25" operator="containsText" text="Vedação">
      <formula>NOT(ISERROR(SEARCH("Vedação",B5)))</formula>
    </cfRule>
    <cfRule type="containsText" dxfId="3031" priority="26" operator="containsText" text="Retentor">
      <formula>NOT(ISERROR(SEARCH("Retentor",B5)))</formula>
    </cfRule>
    <cfRule type="containsText" dxfId="3030" priority="27" operator="containsText" text="Motorredutor">
      <formula>NOT(ISERROR(SEARCH("Motorredutor",B5)))</formula>
    </cfRule>
    <cfRule type="containsText" dxfId="3029" priority="28" operator="containsText" text="Redutor">
      <formula>NOT(ISERROR(SEARCH("Redutor",B5)))</formula>
    </cfRule>
    <cfRule type="containsText" dxfId="3028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42C00458-C4F1-4346-B164-369A8FD436AE}">
      <formula1>$J$5:$J$11</formula1>
    </dataValidation>
    <dataValidation type="list" allowBlank="1" showInputMessage="1" showErrorMessage="1" sqref="B5:H93" xr:uid="{3FFFAC95-F3A4-4C0E-9905-5B92FEB4B2CA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BB1D979-85E2-44E2-BBDF-832339C3B04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3" operator="containsText" id="{CA2776AB-8FB8-4A78-B900-4C1FE274CB8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C76D15FF-740C-48B0-A765-FD01EA6C751A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15D64191-368B-4C13-8651-ED5938CF2D5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B11238BB-A124-497B-9035-8D81239114A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9AB8F137-B97E-47DB-8CE6-2D961564BC9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CA58AB6C-9C14-409A-BBBF-15AC3FFFA38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6F527F87-1B7A-4CD9-862E-469550B5FBA3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B4D120DA-1FA6-4E76-A2BD-DDD4861682C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5A29CA94-9D02-43A2-BDE8-4DB11410FF9F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9BAAA70B-F374-457E-9EE0-72315A980E2E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BBF32FAE-0F2C-41C8-BFE3-6B428D0D9CD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7BB9D29B-3F37-48E6-834B-321F569E6274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92F7D3F9-CDC5-4A8C-BC50-14906FC02BB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3612E194-D92B-424A-83C7-73D42B2EE0C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A95B108B-70D4-4069-AAA7-2C7FE374988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26C57A3E-7C4D-4535-AE2E-58CCC4C86F78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D17798E4-5B78-48FD-9EBA-A0E7ACB704F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0F35FCFD-22C3-46B4-B0EE-87AAAF4B84D7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302E5F40-CD31-49E9-88BC-5B9E48F8146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89C88313-3C2B-47B3-BBC7-A236F972EA4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265F6644-51FE-4572-87FA-01D6AD93E811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31E338E7-D07E-4424-912B-4B8123C0754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ABAF0A4D-B81A-4A28-8E9F-366727064571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19" operator="containsText" id="{8F7B8728-2C69-4FFD-AB8F-40ED1EE19EE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8" operator="containsText" id="{C28E5214-869B-4126-9556-735A4995BBB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F783-F6F5-4B00-B1BD-D66534DF376E}">
  <sheetPr>
    <tabColor rgb="FF92D050"/>
    <pageSetUpPr fitToPage="1"/>
  </sheetPr>
  <dimension ref="A1:P93"/>
  <sheetViews>
    <sheetView showGridLines="0" topLeftCell="G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136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44676</v>
      </c>
      <c r="C3" s="11">
        <f t="shared" ref="C3:H3" si="0">B3+1</f>
        <v>44677</v>
      </c>
      <c r="D3" s="11">
        <f t="shared" si="0"/>
        <v>44678</v>
      </c>
      <c r="E3" s="11">
        <f t="shared" si="0"/>
        <v>44679</v>
      </c>
      <c r="F3" s="11">
        <f t="shared" si="0"/>
        <v>44680</v>
      </c>
      <c r="G3" s="11">
        <f t="shared" si="0"/>
        <v>44681</v>
      </c>
      <c r="H3" s="12">
        <f t="shared" si="0"/>
        <v>44682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16" si="2">K5/$K$17</f>
        <v>0.6</v>
      </c>
      <c r="M5" t="s">
        <v>137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1</v>
      </c>
      <c r="L6" s="54">
        <f t="shared" si="2"/>
        <v>0.2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1</v>
      </c>
      <c r="L11" s="54">
        <f t="shared" si="2"/>
        <v>0.2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3</v>
      </c>
      <c r="L16" s="54">
        <f t="shared" si="2"/>
        <v>0.6</v>
      </c>
    </row>
    <row r="17" spans="1:11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 t="s">
        <v>2</v>
      </c>
      <c r="K17" s="1">
        <f>SUM(K5:K15)</f>
        <v>5</v>
      </c>
    </row>
    <row r="18" spans="1:11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1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1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1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1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1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1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1" x14ac:dyDescent="0.25">
      <c r="A25" s="6" t="s">
        <v>47</v>
      </c>
      <c r="B25" s="9"/>
      <c r="C25" s="9"/>
      <c r="D25" s="9"/>
      <c r="E25" s="9"/>
      <c r="F25" s="9" t="s">
        <v>4</v>
      </c>
      <c r="G25" s="9"/>
      <c r="H25" s="9"/>
      <c r="J25" s="7"/>
    </row>
    <row r="26" spans="1:11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1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1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1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1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1" x14ac:dyDescent="0.25">
      <c r="A31" s="6" t="s">
        <v>53</v>
      </c>
      <c r="B31" s="9"/>
      <c r="C31" s="9"/>
      <c r="D31" s="9"/>
      <c r="E31" s="9"/>
      <c r="F31" s="9"/>
      <c r="G31" s="9"/>
      <c r="H31" s="9" t="s">
        <v>15</v>
      </c>
    </row>
    <row r="32" spans="1:11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 t="s">
        <v>15</v>
      </c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 t="s">
        <v>15</v>
      </c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 t="s">
        <v>10</v>
      </c>
      <c r="F39" s="9" t="s">
        <v>5</v>
      </c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 t="s">
        <v>4</v>
      </c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 t="s">
        <v>4</v>
      </c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3019" priority="38" operator="containsText" text="Pivô">
      <formula>NOT(ISERROR(SEARCH("Pivô",A1)))</formula>
    </cfRule>
    <cfRule type="containsText" dxfId="3018" priority="37" operator="containsText" text="Pivô">
      <formula>NOT(ISERROR(SEARCH("Pivô",A1)))</formula>
    </cfRule>
  </conditionalFormatting>
  <conditionalFormatting sqref="B5:H95">
    <cfRule type="containsText" dxfId="2998" priority="22" operator="containsText" text="Pulverização">
      <formula>NOT(ISERROR(SEARCH("Pulverização",B5)))</formula>
    </cfRule>
    <cfRule type="cellIs" dxfId="2997" priority="23" operator="greaterThan">
      <formula>$J$5</formula>
    </cfRule>
    <cfRule type="containsText" dxfId="2996" priority="24" operator="containsText" text="Cardã">
      <formula>NOT(ISERROR(SEARCH("Cardã",B5)))</formula>
    </cfRule>
    <cfRule type="containsText" dxfId="2995" priority="25" operator="containsText" text="Pneu">
      <formula>NOT(ISERROR(SEARCH("Pneu",B5)))</formula>
    </cfRule>
    <cfRule type="containsText" dxfId="2994" priority="26" operator="containsText" text="Vedação">
      <formula>NOT(ISERROR(SEARCH("Vedação",B5)))</formula>
    </cfRule>
    <cfRule type="containsText" dxfId="2993" priority="27" operator="containsText" text="Retentor">
      <formula>NOT(ISERROR(SEARCH("Retentor",B5)))</formula>
    </cfRule>
    <cfRule type="containsText" dxfId="2992" priority="28" operator="containsText" text="Motorredutor">
      <formula>NOT(ISERROR(SEARCH("Motorredutor",B5)))</formula>
    </cfRule>
    <cfRule type="containsText" dxfId="2991" priority="29" operator="containsText" text="Redutor">
      <formula>NOT(ISERROR(SEARCH("Redutor",B5)))</formula>
    </cfRule>
    <cfRule type="containsText" dxfId="2990" priority="30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946E4209-AAB2-4CC4-AA99-0859D6AA50CE}">
      <formula1>$J$5:$J$16</formula1>
    </dataValidation>
    <dataValidation type="list" allowBlank="1" showInputMessage="1" showErrorMessage="1" sqref="B94:H95" xr:uid="{7567B29F-FE90-4B7C-A287-64A7325C6BB8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E153F64-9DF2-4C89-923C-229FE7EB455A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" operator="containsText" id="{3AC8A37C-EABF-4776-9D81-16AFE3BD2C98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4" operator="containsText" id="{7C44952E-C6B2-425C-A2A6-E08F8555EAB9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69BB4763-3B8E-4A2F-950C-903734A4EEF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6" operator="containsText" id="{7B2E5257-3E57-4B38-A2A4-79636E198C8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7" operator="containsText" id="{E9A861B7-44A5-4D00-ACC7-0A8814995AE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8" operator="containsText" id="{24A60B45-CE6A-4C7B-A175-FE281826904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0" operator="containsText" id="{C90C601E-3A99-4E51-A564-B55E652BB71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4C078F5D-3622-4C0C-8420-3FD5D65C413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2" operator="containsText" id="{87E8AC19-1D5D-47B8-8822-46F32B22D643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A42F91C5-3D56-4A47-98D2-9A1B34EC70EE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411EC29C-4A51-4D3E-A28D-FF6AB46AAB92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3C6B0A49-3491-4A5E-8770-AB5BCAD6054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6" operator="containsText" id="{0CC979A5-84EE-480A-985A-8E84F2CD80DA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7" operator="containsText" id="{F4CACA89-7565-4134-8A66-50305203C1E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8" operator="containsText" id="{C56417D7-3C97-445F-8795-F1DA0DECB94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9" operator="containsText" id="{91A453E1-761B-42B2-85F5-8C563C336F4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50137D3A-92B0-4BD4-B4D7-191C79323F62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1" operator="containsText" id="{CE737943-7B8B-4CEF-9B58-72A9F88A8B0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1" operator="containsText" id="{93C7E26D-2BA9-4DB5-B9A3-881BC1C3D60D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2" operator="containsText" id="{076C3CC5-8964-4923-8CC7-C1B07AADABE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9A4289CC-9474-4701-BCBD-452705B0B58A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04AF8A75-E6CD-4255-B4D2-2899394609C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5" operator="containsText" id="{5E61D4A0-2119-4D09-987C-9D43D7BB025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08C57631-5EA8-4F97-9267-D0BB1AC03881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0" operator="containsText" id="{7D5473EC-F5ED-49A5-8AD5-6B2F3658DED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9" operator="containsText" id="{20F3CC23-1E64-493E-9852-E4474E6CDE0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D871-8D5C-4D2F-B03C-6B98CC21BDAB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138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44683</v>
      </c>
      <c r="C3" s="11">
        <f t="shared" ref="C3:H3" si="0">B3+1</f>
        <v>44684</v>
      </c>
      <c r="D3" s="11">
        <f t="shared" si="0"/>
        <v>44685</v>
      </c>
      <c r="E3" s="11">
        <f t="shared" si="0"/>
        <v>44686</v>
      </c>
      <c r="F3" s="11">
        <f t="shared" si="0"/>
        <v>44687</v>
      </c>
      <c r="G3" s="11">
        <f t="shared" si="0"/>
        <v>44688</v>
      </c>
      <c r="H3" s="12">
        <f t="shared" si="0"/>
        <v>44689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 t="s">
        <v>15</v>
      </c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16" si="2">K5/$K$17</f>
        <v>0.17647058823529413</v>
      </c>
      <c r="M5" t="s">
        <v>139</v>
      </c>
    </row>
    <row r="6" spans="1:16" x14ac:dyDescent="0.25">
      <c r="A6" s="6" t="s">
        <v>25</v>
      </c>
      <c r="B6" s="9" t="s">
        <v>4</v>
      </c>
      <c r="C6" s="9"/>
      <c r="D6" s="9" t="s">
        <v>15</v>
      </c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 t="s">
        <v>11</v>
      </c>
      <c r="C7" s="9"/>
      <c r="D7" s="9" t="s">
        <v>15</v>
      </c>
      <c r="E7" s="9"/>
      <c r="F7" s="9"/>
      <c r="G7" s="9"/>
      <c r="H7" s="9"/>
      <c r="J7" s="22" t="s">
        <v>127</v>
      </c>
      <c r="K7" s="1">
        <f t="shared" si="3"/>
        <v>1</v>
      </c>
      <c r="L7" s="54">
        <f t="shared" si="2"/>
        <v>5.8823529411764705E-2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3</v>
      </c>
      <c r="L11" s="54">
        <f t="shared" si="2"/>
        <v>0.17647058823529413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1</v>
      </c>
      <c r="L12" s="54">
        <f t="shared" si="2"/>
        <v>5.8823529411764705E-2</v>
      </c>
    </row>
    <row r="13" spans="1:16" x14ac:dyDescent="0.25">
      <c r="A13" s="6" t="s">
        <v>35</v>
      </c>
      <c r="B13" s="9" t="s">
        <v>127</v>
      </c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9</v>
      </c>
      <c r="L16" s="54">
        <f t="shared" si="2"/>
        <v>0.52941176470588236</v>
      </c>
    </row>
    <row r="17" spans="1:11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 t="s">
        <v>2</v>
      </c>
      <c r="K17" s="1">
        <f>SUM(K5:K16)</f>
        <v>17</v>
      </c>
    </row>
    <row r="18" spans="1:11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1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1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1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1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1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1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1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1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1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1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1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1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1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1" x14ac:dyDescent="0.25">
      <c r="A32" s="6" t="s">
        <v>54</v>
      </c>
      <c r="B32" s="9"/>
      <c r="C32" s="9"/>
      <c r="D32" s="9"/>
      <c r="E32" s="9"/>
      <c r="F32" s="9" t="s">
        <v>4</v>
      </c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 t="s">
        <v>15</v>
      </c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 t="s">
        <v>15</v>
      </c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 t="s">
        <v>15</v>
      </c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 t="s">
        <v>15</v>
      </c>
      <c r="G37" s="9"/>
      <c r="H37" s="9"/>
    </row>
    <row r="38" spans="1:8" x14ac:dyDescent="0.25">
      <c r="A38" s="6" t="s">
        <v>60</v>
      </c>
      <c r="B38" s="9"/>
      <c r="C38" s="9" t="s">
        <v>15</v>
      </c>
      <c r="D38" s="9"/>
      <c r="E38" s="9" t="s">
        <v>15</v>
      </c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 t="s">
        <v>4</v>
      </c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 t="s">
        <v>10</v>
      </c>
      <c r="D54" s="9" t="s">
        <v>10</v>
      </c>
      <c r="E54" s="9" t="s">
        <v>10</v>
      </c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981" priority="38" operator="containsText" text="Pivô">
      <formula>NOT(ISERROR(SEARCH("Pivô",A1)))</formula>
    </cfRule>
    <cfRule type="containsText" dxfId="2980" priority="37" operator="containsText" text="Pivô">
      <formula>NOT(ISERROR(SEARCH("Pivô",A1)))</formula>
    </cfRule>
  </conditionalFormatting>
  <conditionalFormatting sqref="B5:H95">
    <cfRule type="containsText" dxfId="2960" priority="22" operator="containsText" text="Pulverização">
      <formula>NOT(ISERROR(SEARCH("Pulverização",B5)))</formula>
    </cfRule>
    <cfRule type="cellIs" dxfId="2959" priority="23" operator="greaterThan">
      <formula>$J$5</formula>
    </cfRule>
    <cfRule type="containsText" dxfId="2958" priority="24" operator="containsText" text="Cardã">
      <formula>NOT(ISERROR(SEARCH("Cardã",B5)))</formula>
    </cfRule>
    <cfRule type="containsText" dxfId="2957" priority="25" operator="containsText" text="Pneu">
      <formula>NOT(ISERROR(SEARCH("Pneu",B5)))</formula>
    </cfRule>
    <cfRule type="containsText" dxfId="2956" priority="26" operator="containsText" text="Vedação">
      <formula>NOT(ISERROR(SEARCH("Vedação",B5)))</formula>
    </cfRule>
    <cfRule type="containsText" dxfId="2955" priority="27" operator="containsText" text="Retentor">
      <formula>NOT(ISERROR(SEARCH("Retentor",B5)))</formula>
    </cfRule>
    <cfRule type="containsText" dxfId="2954" priority="28" operator="containsText" text="Motorredutor">
      <formula>NOT(ISERROR(SEARCH("Motorredutor",B5)))</formula>
    </cfRule>
    <cfRule type="containsText" dxfId="2953" priority="29" operator="containsText" text="Redutor">
      <formula>NOT(ISERROR(SEARCH("Redutor",B5)))</formula>
    </cfRule>
    <cfRule type="containsText" dxfId="2952" priority="30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B5A07F57-9903-4C12-86D1-02C7B6C56978}">
      <formula1>$J$5:$J$11</formula1>
    </dataValidation>
    <dataValidation type="list" allowBlank="1" showInputMessage="1" showErrorMessage="1" sqref="B5:H93" xr:uid="{F8BFC815-558C-4287-A415-A3DE2FC0786B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731AB95-7535-41BC-B5B8-58D78EF770C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" operator="containsText" id="{96D353A3-454D-4453-9163-56D284BF9BEC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4" operator="containsText" id="{465B50DB-91E0-45EB-8FB7-454C05A40C2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0D9BD053-D94C-4C98-9FD4-5671216CCE13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6" operator="containsText" id="{0FFA85CF-64C7-4559-9634-F6A0CF6F8A6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7" operator="containsText" id="{F26FC93E-5502-49DD-BB77-7B5D57DF9BB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8" operator="containsText" id="{A0D08248-391B-48AB-8D8E-DF7300D81D4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0" operator="containsText" id="{D057AA1B-F7B7-49CA-86D5-359BD7CF3AF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1C61977B-FBA3-4189-AF46-99966B5E773B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2" operator="containsText" id="{725D5583-00B9-470B-B3E6-EFCBEC056D8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14EB0302-0AC8-49EF-A213-C421E20D603D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DB9B6740-2EF0-4566-ADAF-476E0E020192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2264238E-CC84-40DF-B723-AF2D659B333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6" operator="containsText" id="{DDD07CC2-1A8A-49D0-B240-71367D8C8C15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7" operator="containsText" id="{046FF2B4-79EF-4112-9217-A7D3E41F193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8" operator="containsText" id="{80EDBCC0-FCC7-49CA-9543-3743922B429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9" operator="containsText" id="{BD3EFA79-147C-4C46-AE03-93312FEEA4F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39449B53-EE39-415D-8ED6-90E64B2E113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1" operator="containsText" id="{BC989069-B2D1-40A6-A158-1F901952107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1" operator="containsText" id="{0FDAA7A0-2794-4848-AD8A-65F5403DFA01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2" operator="containsText" id="{7AAAEEF2-D8EF-44A0-B062-8EDB3EF99A3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2C44FB90-DBF9-4660-A95C-1D737D3C05F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574C65DF-6DEA-4048-80FB-204576F88608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5" operator="containsText" id="{FE3A6040-1DDB-48A6-9E10-45D4B369369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33D24729-6293-4EEA-8AEC-375558496B20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0" operator="containsText" id="{6F16E574-4AB4-43B5-84E2-7DBFE795A29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9" operator="containsText" id="{91B62D6E-E3C2-4756-8793-5445880BFEC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2005-A1C6-45B4-9BE0-2D0A7F1D1FC0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140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44690</v>
      </c>
      <c r="C3" s="11">
        <f t="shared" ref="C3:H3" si="0">B3+1</f>
        <v>44691</v>
      </c>
      <c r="D3" s="11">
        <f t="shared" si="0"/>
        <v>44692</v>
      </c>
      <c r="E3" s="11">
        <f t="shared" si="0"/>
        <v>44693</v>
      </c>
      <c r="F3" s="11">
        <f t="shared" si="0"/>
        <v>44694</v>
      </c>
      <c r="G3" s="11">
        <f t="shared" si="0"/>
        <v>44695</v>
      </c>
      <c r="H3" s="12">
        <f t="shared" si="0"/>
        <v>44696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 t="s">
        <v>15</v>
      </c>
      <c r="D5" s="8"/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16" si="2">K5/$K$17</f>
        <v>0.27272727272727271</v>
      </c>
      <c r="M5" t="s">
        <v>141</v>
      </c>
    </row>
    <row r="6" spans="1:16" x14ac:dyDescent="0.25">
      <c r="A6" s="6" t="s">
        <v>25</v>
      </c>
      <c r="B6" s="9"/>
      <c r="C6" s="9" t="s">
        <v>15</v>
      </c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 t="s">
        <v>15</v>
      </c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9.0909090909090912E-2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7</v>
      </c>
      <c r="L16" s="54">
        <f t="shared" si="2"/>
        <v>0.63636363636363635</v>
      </c>
    </row>
    <row r="17" spans="1:11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 t="s">
        <v>2</v>
      </c>
      <c r="K17" s="1">
        <f>SUM(K5:K16)</f>
        <v>11</v>
      </c>
    </row>
    <row r="18" spans="1:11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1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1" x14ac:dyDescent="0.25">
      <c r="A20" s="6" t="s">
        <v>42</v>
      </c>
      <c r="B20" s="9" t="s">
        <v>4</v>
      </c>
      <c r="C20" s="9"/>
      <c r="D20" s="9"/>
      <c r="E20" s="9"/>
      <c r="F20" s="9"/>
      <c r="G20" s="9"/>
      <c r="H20" s="9"/>
      <c r="J20" s="7"/>
    </row>
    <row r="21" spans="1:11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1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1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1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1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1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1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1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1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1" x14ac:dyDescent="0.25">
      <c r="A30" s="6" t="s">
        <v>52</v>
      </c>
      <c r="B30" s="9"/>
      <c r="C30" s="9" t="s">
        <v>15</v>
      </c>
      <c r="D30" s="9"/>
      <c r="E30" s="9"/>
      <c r="F30" s="9"/>
      <c r="G30" s="9"/>
      <c r="H30" s="9"/>
    </row>
    <row r="31" spans="1:11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1" x14ac:dyDescent="0.25">
      <c r="A32" s="6" t="s">
        <v>54</v>
      </c>
      <c r="B32" s="9"/>
      <c r="C32" s="9" t="s">
        <v>15</v>
      </c>
      <c r="D32" s="9"/>
      <c r="E32" s="9"/>
      <c r="F32" s="9" t="s">
        <v>12</v>
      </c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 t="s">
        <v>15</v>
      </c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 t="s">
        <v>15</v>
      </c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 t="s">
        <v>4</v>
      </c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 t="s">
        <v>4</v>
      </c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943" priority="38" operator="containsText" text="Pivô">
      <formula>NOT(ISERROR(SEARCH("Pivô",A1)))</formula>
    </cfRule>
    <cfRule type="containsText" dxfId="2942" priority="37" operator="containsText" text="Pivô">
      <formula>NOT(ISERROR(SEARCH("Pivô",A1)))</formula>
    </cfRule>
  </conditionalFormatting>
  <conditionalFormatting sqref="B5:H95">
    <cfRule type="containsText" dxfId="2922" priority="22" operator="containsText" text="Pulverização">
      <formula>NOT(ISERROR(SEARCH("Pulverização",B5)))</formula>
    </cfRule>
    <cfRule type="cellIs" dxfId="2921" priority="23" operator="greaterThan">
      <formula>$J$5</formula>
    </cfRule>
    <cfRule type="containsText" dxfId="2920" priority="24" operator="containsText" text="Cardã">
      <formula>NOT(ISERROR(SEARCH("Cardã",B5)))</formula>
    </cfRule>
    <cfRule type="containsText" dxfId="2919" priority="25" operator="containsText" text="Pneu">
      <formula>NOT(ISERROR(SEARCH("Pneu",B5)))</formula>
    </cfRule>
    <cfRule type="containsText" dxfId="2918" priority="26" operator="containsText" text="Vedação">
      <formula>NOT(ISERROR(SEARCH("Vedação",B5)))</formula>
    </cfRule>
    <cfRule type="containsText" dxfId="2917" priority="27" operator="containsText" text="Retentor">
      <formula>NOT(ISERROR(SEARCH("Retentor",B5)))</formula>
    </cfRule>
    <cfRule type="containsText" dxfId="2916" priority="28" operator="containsText" text="Motorredutor">
      <formula>NOT(ISERROR(SEARCH("Motorredutor",B5)))</formula>
    </cfRule>
    <cfRule type="containsText" dxfId="2915" priority="29" operator="containsText" text="Redutor">
      <formula>NOT(ISERROR(SEARCH("Redutor",B5)))</formula>
    </cfRule>
    <cfRule type="containsText" dxfId="2914" priority="30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63AE929B-DBEB-460D-9B40-0A73DA14B8B4}">
      <formula1>$J$5:$J$16</formula1>
    </dataValidation>
    <dataValidation type="list" allowBlank="1" showInputMessage="1" showErrorMessage="1" sqref="B94:H95" xr:uid="{FE99112D-2139-410E-82AA-1E715ADC73DB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7F2CD74-BC3C-42C5-985B-57D2135FF4D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" operator="containsText" id="{175E57F8-4283-4BC1-8CCA-5B01FD0A7E1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4" operator="containsText" id="{000E2677-A311-4DB7-B6B6-71505BF0E50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9256344D-A7A3-41FB-AFCF-3BDAEC05772A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6" operator="containsText" id="{81EA9A24-F2D1-4376-808C-7AA02AF69AF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7" operator="containsText" id="{A55CD200-CAD0-417A-8351-FACF520D927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8" operator="containsText" id="{AF28DCB2-78F7-47DD-B4E2-399F07F2BB7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0" operator="containsText" id="{AA584C4E-DC9B-49CF-9092-3FAC11CAC32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D7EE36ED-5096-49A7-83AE-7C8F7687153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2" operator="containsText" id="{EE61DABF-CCF2-4D8A-B5A8-89BE4D91942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563453C9-99AE-4392-84DE-44BCBFDDC54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F61B1BD0-2C5A-4E70-A4AB-0144E3C34033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4E064697-DFEA-4940-93BC-1265A4C322C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6" operator="containsText" id="{7A294B0C-F059-40C6-8BF3-281EC60F3FD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7" operator="containsText" id="{1F0F96D1-9E62-41D5-B84C-06A38CDB6991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8" operator="containsText" id="{BF8E98CA-D010-459B-B4D7-6FD235A2C6D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9" operator="containsText" id="{58567C5C-E90A-4B28-89C8-41B68A8CE8C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6662B3F4-6F2C-4A1E-8991-3F1988ABA861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1" operator="containsText" id="{3480BFD4-EF7A-4303-9F95-110FAA4AD2B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1" operator="containsText" id="{61F534BB-713A-4CDB-A975-D411F8F9CEC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2" operator="containsText" id="{B04AEB60-CDFF-4BAD-A9FD-DD695E6D2BF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F9B81EC0-3741-4249-AB06-A02E8AB34D9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8E1633EE-9703-468B-AD43-046E090409D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5" operator="containsText" id="{D5463B87-5298-4E50-9E1E-9E8104202F6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6F8CFCE4-4A33-4B79-BD6A-76B7E63F7AC0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0" operator="containsText" id="{F0124938-AED1-4F0C-8EAC-5C83FA7EDFC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9" operator="containsText" id="{B97A6B7B-9FAB-4FD8-BFDF-A114EA9B7670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31F0-ADA9-430E-9BE6-BE37F91A7798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23" sqref="J23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142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44697</v>
      </c>
      <c r="C3" s="11">
        <f t="shared" ref="C3:H3" si="0">B3+1</f>
        <v>44698</v>
      </c>
      <c r="D3" s="11">
        <f t="shared" si="0"/>
        <v>44699</v>
      </c>
      <c r="E3" s="11">
        <f t="shared" si="0"/>
        <v>44700</v>
      </c>
      <c r="F3" s="11">
        <f t="shared" si="0"/>
        <v>44701</v>
      </c>
      <c r="G3" s="11">
        <f t="shared" si="0"/>
        <v>44702</v>
      </c>
      <c r="H3" s="12">
        <f t="shared" si="0"/>
        <v>44703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1</v>
      </c>
      <c r="L5" s="54">
        <f t="shared" ref="L5:L16" si="2">K5/$K$17</f>
        <v>9.0909090909090912E-2</v>
      </c>
      <c r="M5" t="s">
        <v>143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 t="s">
        <v>10</v>
      </c>
      <c r="E9" s="9" t="s">
        <v>10</v>
      </c>
      <c r="F9" s="9" t="s">
        <v>10</v>
      </c>
      <c r="G9" s="9" t="s">
        <v>10</v>
      </c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10</v>
      </c>
      <c r="L11" s="54">
        <f t="shared" si="2"/>
        <v>0.90909090909090906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1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7" t="s">
        <v>2</v>
      </c>
      <c r="K17" s="1">
        <f>SUM(K5:K16)</f>
        <v>11</v>
      </c>
    </row>
    <row r="18" spans="1:11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/>
    </row>
    <row r="19" spans="1:11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1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1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1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1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66" t="s">
        <v>144</v>
      </c>
    </row>
    <row r="24" spans="1:11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1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1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1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1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1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1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1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1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 t="s">
        <v>10</v>
      </c>
      <c r="F39" s="9"/>
      <c r="G39" s="9"/>
      <c r="H39" s="9"/>
    </row>
    <row r="40" spans="1:8" x14ac:dyDescent="0.25">
      <c r="A40" s="6" t="s">
        <v>62</v>
      </c>
      <c r="B40" s="9" t="s">
        <v>10</v>
      </c>
      <c r="C40" s="9" t="s">
        <v>10</v>
      </c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 t="s">
        <v>10</v>
      </c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 t="s">
        <v>4</v>
      </c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 t="s">
        <v>10</v>
      </c>
      <c r="E61" s="9" t="s">
        <v>10</v>
      </c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905" priority="38" operator="containsText" text="Pivô">
      <formula>NOT(ISERROR(SEARCH("Pivô",A1)))</formula>
    </cfRule>
    <cfRule type="containsText" dxfId="2904" priority="37" operator="containsText" text="Pivô">
      <formula>NOT(ISERROR(SEARCH("Pivô",A1)))</formula>
    </cfRule>
  </conditionalFormatting>
  <conditionalFormatting sqref="B5:H95">
    <cfRule type="containsText" dxfId="2884" priority="22" operator="containsText" text="Pulverização">
      <formula>NOT(ISERROR(SEARCH("Pulverização",B5)))</formula>
    </cfRule>
    <cfRule type="cellIs" dxfId="2883" priority="23" operator="greaterThan">
      <formula>$J$5</formula>
    </cfRule>
    <cfRule type="containsText" dxfId="2882" priority="24" operator="containsText" text="Cardã">
      <formula>NOT(ISERROR(SEARCH("Cardã",B5)))</formula>
    </cfRule>
    <cfRule type="containsText" dxfId="2881" priority="25" operator="containsText" text="Pneu">
      <formula>NOT(ISERROR(SEARCH("Pneu",B5)))</formula>
    </cfRule>
    <cfRule type="containsText" dxfId="2880" priority="26" operator="containsText" text="Vedação">
      <formula>NOT(ISERROR(SEARCH("Vedação",B5)))</formula>
    </cfRule>
    <cfRule type="containsText" dxfId="2879" priority="27" operator="containsText" text="Retentor">
      <formula>NOT(ISERROR(SEARCH("Retentor",B5)))</formula>
    </cfRule>
    <cfRule type="containsText" dxfId="2878" priority="28" operator="containsText" text="Motorredutor">
      <formula>NOT(ISERROR(SEARCH("Motorredutor",B5)))</formula>
    </cfRule>
    <cfRule type="containsText" dxfId="2877" priority="29" operator="containsText" text="Redutor">
      <formula>NOT(ISERROR(SEARCH("Redutor",B5)))</formula>
    </cfRule>
    <cfRule type="containsText" dxfId="2876" priority="30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217A937A-CD2C-4DC9-9A0C-BBF8215E30A6}">
      <formula1>$J$5:$J$11</formula1>
    </dataValidation>
    <dataValidation type="list" allowBlank="1" showInputMessage="1" showErrorMessage="1" sqref="B5:H93" xr:uid="{AB02589C-3E5C-4544-A981-02DF42956CE3}">
      <formula1>$J$5:$J$16</formula1>
    </dataValidation>
  </dataValidations>
  <hyperlinks>
    <hyperlink ref="J23" location="'Dashboard Indicadores'!A1" display="'Dashboard Indicadores'!A1" xr:uid="{1FF648C3-C87B-4D82-9F5C-6C2B889358C9}"/>
  </hyperlink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272EB77-CDAF-4F87-99DA-3631F866F1B6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" operator="containsText" id="{F644CE03-7510-4443-8878-E00C9F0C0AE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4" operator="containsText" id="{59478BAB-1A81-4870-AD53-BC0CCE8465B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6D92A366-E650-4AB0-9821-F0F53C311245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6" operator="containsText" id="{63F8B2FA-9F56-44D5-A6DC-305674726EE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7" operator="containsText" id="{42ADFBE3-F706-4AA5-89CF-3AFB65B9D13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8" operator="containsText" id="{A2BC3A4C-8098-4AA4-964F-038970E3B15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0" operator="containsText" id="{43067587-BEF7-48FB-8BF5-61570E679AF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50A9FD75-103D-4E43-9FFB-4C97A6B262C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2" operator="containsText" id="{EE95201C-71B8-4C48-9C02-60D6F8C8401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55311610-EFE1-49E4-9300-F1F8E6581C60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3AA014F1-9C18-4E55-BAE9-9369C9F34623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F31E3DB5-E906-4E7A-B090-00AD871358D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6" operator="containsText" id="{C5406BC0-BD96-4DB9-8300-F6B44788A14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7" operator="containsText" id="{D3B95ECB-2244-464B-AB42-177E83A072B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8" operator="containsText" id="{F2BA4A86-6D97-49D1-A659-1DFF02E5354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9" operator="containsText" id="{E5767663-7866-4A61-B001-63ABDBFA097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" operator="containsText" id="{B57A383E-DD25-45F1-9D47-093AA152E27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1" operator="containsText" id="{CB38C7B9-61D1-4A8F-BC82-8CEDCCA78AC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1" operator="containsText" id="{B6E9AF41-ABC1-4181-8E8B-D542981B1D4E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2" operator="containsText" id="{7605CAB3-D1CF-493B-AB11-DFF830E1E81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0133F784-55A2-4374-A6EC-F87423E9BA0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2CC56F74-4FEE-46E3-8EAE-544CF79BEB60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5" operator="containsText" id="{31553D57-000F-48C4-AD62-B1376E8268F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DCB742FB-4343-45A1-9F41-BCD3A332B2AF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0" operator="containsText" id="{B04E55E0-2F2F-4DEA-99E6-8F5C8ABB0D8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9" operator="containsText" id="{9F9E2BE5-BB1E-4CC1-909C-A65BF958723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FC34-385E-4B3F-9AE3-EB1577876462}">
  <sheetPr>
    <tabColor rgb="FF92D050"/>
    <pageSetUpPr fitToPage="1"/>
  </sheetPr>
  <dimension ref="A1:P93"/>
  <sheetViews>
    <sheetView showGridLines="0" topLeftCell="C1" zoomScaleNormal="100" workbookViewId="0">
      <pane ySplit="4" topLeftCell="A5" activePane="bottomLeft" state="frozen"/>
      <selection pane="bottomLeft" activeCell="N8" sqref="N8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145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44704</v>
      </c>
      <c r="C3" s="11">
        <f t="shared" ref="C3:H3" si="0">B3+1</f>
        <v>44705</v>
      </c>
      <c r="D3" s="11">
        <f t="shared" si="0"/>
        <v>44706</v>
      </c>
      <c r="E3" s="11">
        <f t="shared" si="0"/>
        <v>44707</v>
      </c>
      <c r="F3" s="11">
        <f t="shared" si="0"/>
        <v>44708</v>
      </c>
      <c r="G3" s="11">
        <f t="shared" si="0"/>
        <v>44709</v>
      </c>
      <c r="H3" s="12">
        <f t="shared" si="0"/>
        <v>44710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  <c r="N4" t="s">
        <v>146</v>
      </c>
      <c r="O4" t="s">
        <v>147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4</v>
      </c>
      <c r="L5" s="54">
        <f t="shared" ref="L5:L17" si="2">K5/$K$18</f>
        <v>0.4</v>
      </c>
      <c r="M5" t="s">
        <v>148</v>
      </c>
      <c r="N5" t="s">
        <v>149</v>
      </c>
      <c r="O5">
        <v>2021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1</v>
      </c>
      <c r="L6" s="54">
        <f t="shared" si="2"/>
        <v>0.1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1</v>
      </c>
      <c r="L7" s="54">
        <f t="shared" si="2"/>
        <v>0.1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 t="s">
        <v>4</v>
      </c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 t="s">
        <v>5</v>
      </c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3</v>
      </c>
      <c r="L13" s="54">
        <f t="shared" si="2"/>
        <v>0.3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 t="s">
        <v>127</v>
      </c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1</v>
      </c>
      <c r="L17" s="54">
        <f t="shared" si="2"/>
        <v>0.1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 t="s">
        <v>2</v>
      </c>
      <c r="K18" s="1">
        <f>SUM(K5:K17)</f>
        <v>10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 t="s">
        <v>4</v>
      </c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 t="s">
        <v>12</v>
      </c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 t="s">
        <v>12</v>
      </c>
      <c r="E38" s="9" t="s">
        <v>12</v>
      </c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 t="s">
        <v>16</v>
      </c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 t="s">
        <v>4</v>
      </c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 t="s">
        <v>4</v>
      </c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867" priority="39" operator="containsText" text="Pivô">
      <formula>NOT(ISERROR(SEARCH("Pivô",A1)))</formula>
    </cfRule>
    <cfRule type="containsText" dxfId="2866" priority="38" operator="containsText" text="Pivô">
      <formula>NOT(ISERROR(SEARCH("Pivô",A1)))</formula>
    </cfRule>
  </conditionalFormatting>
  <conditionalFormatting sqref="B5:H93">
    <cfRule type="containsText" dxfId="2848" priority="1" operator="containsText" text="Desponte">
      <formula>NOT(ISERROR(SEARCH("Desponte",B5)))</formula>
    </cfRule>
  </conditionalFormatting>
  <conditionalFormatting sqref="B5:H95">
    <cfRule type="containsText" dxfId="2845" priority="23" operator="containsText" text="Pulverização">
      <formula>NOT(ISERROR(SEARCH("Pulverização",B5)))</formula>
    </cfRule>
    <cfRule type="cellIs" dxfId="2844" priority="24" operator="greaterThan">
      <formula>$J$5</formula>
    </cfRule>
    <cfRule type="containsText" dxfId="2843" priority="25" operator="containsText" text="Cardã">
      <formula>NOT(ISERROR(SEARCH("Cardã",B5)))</formula>
    </cfRule>
    <cfRule type="containsText" dxfId="2842" priority="26" operator="containsText" text="Pneu">
      <formula>NOT(ISERROR(SEARCH("Pneu",B5)))</formula>
    </cfRule>
    <cfRule type="containsText" dxfId="2841" priority="27" operator="containsText" text="Vedação">
      <formula>NOT(ISERROR(SEARCH("Vedação",B5)))</formula>
    </cfRule>
    <cfRule type="containsText" dxfId="2840" priority="28" operator="containsText" text="Retentor">
      <formula>NOT(ISERROR(SEARCH("Retentor",B5)))</formula>
    </cfRule>
    <cfRule type="containsText" dxfId="2839" priority="29" operator="containsText" text="Motorredutor">
      <formula>NOT(ISERROR(SEARCH("Motorredutor",B5)))</formula>
    </cfRule>
    <cfRule type="containsText" dxfId="2838" priority="30" operator="containsText" text="Redutor">
      <formula>NOT(ISERROR(SEARCH("Redutor",B5)))</formula>
    </cfRule>
    <cfRule type="containsText" dxfId="2837" priority="31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92554073-45B9-45BB-9CEF-0489441754EA}">
      <formula1>$J$5:$J$17</formula1>
    </dataValidation>
    <dataValidation type="list" allowBlank="1" showInputMessage="1" showErrorMessage="1" sqref="B94:H95" xr:uid="{C7A8C934-E28B-4524-B737-441F3B769480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19B5A73-F916-4C12-9D28-317E62F3CFE0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F58374C9-53E9-4E50-A6EA-E072B558BE4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EEE37753-A8B4-48E0-8643-87AED6E2C54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5" operator="containsText" id="{2D81BCC1-545B-45DB-BC5F-06B418AA062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1754CDBA-2706-4F08-A346-EAAF34DE97B9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DD871B27-FAC8-4781-97DC-20C87A3BA10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A42DD5B4-4BB5-4835-A6BD-4DEAC27D91F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E14FF8FE-A4B1-4B54-8417-B31C250A9FF8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EB2E5864-451C-4206-A44D-D8FDCD34C33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322FEBD1-D762-44EC-897B-4360DB73C24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1DAAD6F2-1FA8-4FB6-8EE3-C04A739501F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07029472-8F93-462A-A21A-0BF4DD38680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8B295AE6-4678-4A1D-9F4E-0185332D3D43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921D986C-3272-4045-91B0-1D11C56C288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BF87866B-6FD9-4673-87FA-C283BB59933D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A8DF2D29-47C6-422F-B245-6D22309E514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4E195783-1513-445E-B117-216D8F16595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7E409F67-49CF-42D1-8C9C-69CDF488271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0" operator="containsText" id="{B27A9415-39F4-4DE6-B355-DF31732EFEA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8335D16B-F146-4752-A5A3-C4E243E8266C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541D891E-5641-49C6-8E7E-1F577DDB04E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A33CE8FE-47D8-4B45-8D75-F0103C9FE6B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8D1AF560-7017-4B99-B294-D326B26DB43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C04E7BFD-71B6-469A-9B52-F4CA647B578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2CC30E9E-F5F5-4EA0-91F6-B0B6A2D8A4C1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C70A114E-4DA0-45A4-8418-B5249A96C06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0" operator="containsText" id="{D7AAFF05-A5C6-43E7-B06F-50F5E4397A5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9750-90AB-4B62-A9C8-5E424FE4395B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N7" sqref="N7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150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44711</v>
      </c>
      <c r="C3" s="11">
        <f t="shared" ref="C3:H3" si="0">B3+1</f>
        <v>44712</v>
      </c>
      <c r="D3" s="11">
        <f t="shared" si="0"/>
        <v>44713</v>
      </c>
      <c r="E3" s="11">
        <f t="shared" si="0"/>
        <v>44714</v>
      </c>
      <c r="F3" s="11">
        <f t="shared" si="0"/>
        <v>44715</v>
      </c>
      <c r="G3" s="11">
        <f t="shared" si="0"/>
        <v>44716</v>
      </c>
      <c r="H3" s="12">
        <f t="shared" si="0"/>
        <v>44717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  <c r="N4" t="s">
        <v>146</v>
      </c>
      <c r="O4" t="s">
        <v>147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2</v>
      </c>
      <c r="L5" s="54">
        <f t="shared" ref="L5:L17" si="2">K5/$K$18</f>
        <v>0.33333333333333331</v>
      </c>
      <c r="M5" t="s">
        <v>151</v>
      </c>
      <c r="N5" t="s">
        <v>149</v>
      </c>
      <c r="O5">
        <v>2021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 t="s">
        <v>13</v>
      </c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2</v>
      </c>
      <c r="L13" s="54">
        <f t="shared" si="2"/>
        <v>0.33333333333333331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2</v>
      </c>
      <c r="L14" s="54">
        <f t="shared" si="2"/>
        <v>0.33333333333333331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 t="s">
        <v>2</v>
      </c>
      <c r="K18" s="1">
        <f>SUM(K5:K17)</f>
        <v>6</v>
      </c>
    </row>
    <row r="19" spans="1:12" x14ac:dyDescent="0.25">
      <c r="A19" s="6" t="s">
        <v>41</v>
      </c>
      <c r="B19" s="9"/>
      <c r="C19" s="9"/>
      <c r="D19" s="9" t="s">
        <v>4</v>
      </c>
      <c r="E19" s="9"/>
      <c r="F19" s="9"/>
      <c r="G19" s="9"/>
      <c r="H19" s="9"/>
      <c r="J19" s="7"/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 t="s">
        <v>12</v>
      </c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 t="s">
        <v>12</v>
      </c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 t="s">
        <v>4</v>
      </c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 t="s">
        <v>13</v>
      </c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828" priority="39" operator="containsText" text="Pivô">
      <formula>NOT(ISERROR(SEARCH("Pivô",A1)))</formula>
    </cfRule>
    <cfRule type="containsText" dxfId="2827" priority="38" operator="containsText" text="Pivô">
      <formula>NOT(ISERROR(SEARCH("Pivô",A1)))</formula>
    </cfRule>
  </conditionalFormatting>
  <conditionalFormatting sqref="B5:H93">
    <cfRule type="containsText" dxfId="2809" priority="1" operator="containsText" text="Desponte">
      <formula>NOT(ISERROR(SEARCH("Desponte",B5)))</formula>
    </cfRule>
  </conditionalFormatting>
  <conditionalFormatting sqref="B5:H95">
    <cfRule type="containsText" dxfId="2806" priority="23" operator="containsText" text="Pulverização">
      <formula>NOT(ISERROR(SEARCH("Pulverização",B5)))</formula>
    </cfRule>
    <cfRule type="cellIs" dxfId="2805" priority="24" operator="greaterThan">
      <formula>$J$5</formula>
    </cfRule>
    <cfRule type="containsText" dxfId="2804" priority="25" operator="containsText" text="Cardã">
      <formula>NOT(ISERROR(SEARCH("Cardã",B5)))</formula>
    </cfRule>
    <cfRule type="containsText" dxfId="2803" priority="26" operator="containsText" text="Pneu">
      <formula>NOT(ISERROR(SEARCH("Pneu",B5)))</formula>
    </cfRule>
    <cfRule type="containsText" dxfId="2802" priority="27" operator="containsText" text="Vedação">
      <formula>NOT(ISERROR(SEARCH("Vedação",B5)))</formula>
    </cfRule>
    <cfRule type="containsText" dxfId="2801" priority="28" operator="containsText" text="Retentor">
      <formula>NOT(ISERROR(SEARCH("Retentor",B5)))</formula>
    </cfRule>
    <cfRule type="containsText" dxfId="2800" priority="29" operator="containsText" text="Motorredutor">
      <formula>NOT(ISERROR(SEARCH("Motorredutor",B5)))</formula>
    </cfRule>
    <cfRule type="containsText" dxfId="2799" priority="30" operator="containsText" text="Redutor">
      <formula>NOT(ISERROR(SEARCH("Redutor",B5)))</formula>
    </cfRule>
    <cfRule type="containsText" dxfId="2798" priority="31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BA4C2092-55BD-4818-8A96-1E4BBBA0ABBF}">
      <formula1>$J$5:$J$11</formula1>
    </dataValidation>
    <dataValidation type="list" allowBlank="1" showInputMessage="1" showErrorMessage="1" sqref="B5:H93" xr:uid="{37C84820-A506-47C6-9519-EDE8FA6E4CA4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3C35C37-1982-404D-AD33-4D095D84FEBA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31D5C0C2-C8C8-437D-9919-C8BE8E5776FF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87811ADF-7E09-4574-B62D-5C96B567A34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5" operator="containsText" id="{7470B769-305C-4DDF-A85C-5CC7BF44F2C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987EE0AE-E11F-4719-9524-3F5C47AF9209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E86A3413-6C18-4550-8F48-40EE4C0C419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3AEB4C45-31B9-4E04-8F59-5FB26A3E857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7947C44F-72B5-4E56-8188-4014AB1F3F08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2B08EF2F-5FA4-4F94-81D8-7E3B6CF0374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719361C0-AE5C-4C84-8F44-2D36B5E8AF83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DE26BF9A-5BA3-4AFC-8FC7-48B2478E466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B3737D31-1A5C-4952-8DB2-30CC0FC66F0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B97E3A64-9C20-448D-B833-D444EBB26E1F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4ED539D8-5D15-4BFB-93FF-F2288B3916E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E4419BBB-DEE2-46E5-9E2A-B5248D33539C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D5C49023-BA42-4E08-85B3-8D92907FC08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0F326199-1B38-4112-AA1D-49FC823531C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B59DFE5B-E28A-4835-AB7A-6567896F02D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0" operator="containsText" id="{F4BC3770-8650-4301-A31E-0F8485AA7B1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6592A08D-C901-4618-B929-5EB1591893D2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0BAD8D16-E100-41B6-A7BC-ECC7D166647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E134DB54-0DAB-44C6-8717-B35110394B5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F12AFFB1-C4AE-4395-9A5E-3A91BAC99F28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733E7B83-4E3C-424C-B206-2424F5DA44D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EF591035-8739-4B0E-AE22-802E840275D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93499196-986E-4188-AF7E-A5EDEB6015B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0" operator="containsText" id="{1850C5DD-98D9-4014-93B4-DA505A0D415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FEAB-C5DF-4130-85C8-78451D0B8875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N4" sqref="N4:O5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152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44718</v>
      </c>
      <c r="C3" s="11">
        <f t="shared" ref="C3:H3" si="0">B3+1</f>
        <v>44719</v>
      </c>
      <c r="D3" s="11">
        <f t="shared" si="0"/>
        <v>44720</v>
      </c>
      <c r="E3" s="11">
        <f t="shared" si="0"/>
        <v>44721</v>
      </c>
      <c r="F3" s="11">
        <f t="shared" si="0"/>
        <v>44722</v>
      </c>
      <c r="G3" s="11">
        <f t="shared" si="0"/>
        <v>44723</v>
      </c>
      <c r="H3" s="12">
        <f t="shared" si="0"/>
        <v>44724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  <c r="N4" t="s">
        <v>146</v>
      </c>
      <c r="O4" t="s">
        <v>147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2</v>
      </c>
      <c r="L5" s="54">
        <f t="shared" ref="L5:L17" si="2">K5/$K$18</f>
        <v>0.4</v>
      </c>
      <c r="N5" t="s">
        <v>149</v>
      </c>
      <c r="O5">
        <v>2021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1</v>
      </c>
      <c r="L7" s="54">
        <f t="shared" si="2"/>
        <v>0.2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M9" t="s">
        <v>153</v>
      </c>
      <c r="P9" s="3"/>
    </row>
    <row r="10" spans="1:16" x14ac:dyDescent="0.25">
      <c r="A10" s="6" t="s">
        <v>31</v>
      </c>
      <c r="B10" s="9"/>
      <c r="C10" s="9"/>
      <c r="D10" s="9" t="s">
        <v>10</v>
      </c>
      <c r="E10" s="9"/>
      <c r="F10" s="9"/>
      <c r="G10" s="9"/>
      <c r="H10" s="9" t="s">
        <v>4</v>
      </c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1</v>
      </c>
      <c r="L11" s="54">
        <f t="shared" si="2"/>
        <v>0.2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 t="s">
        <v>4</v>
      </c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1</v>
      </c>
      <c r="L15" s="54">
        <f t="shared" si="2"/>
        <v>0.2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 t="s">
        <v>2</v>
      </c>
      <c r="K18" s="1">
        <f>SUM(K5:K17)</f>
        <v>5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 t="s">
        <v>121</v>
      </c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 t="s">
        <v>127</v>
      </c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789" priority="39" operator="containsText" text="Pivô">
      <formula>NOT(ISERROR(SEARCH("Pivô",A1)))</formula>
    </cfRule>
    <cfRule type="containsText" dxfId="2788" priority="38" operator="containsText" text="Pivô">
      <formula>NOT(ISERROR(SEARCH("Pivô",A1)))</formula>
    </cfRule>
  </conditionalFormatting>
  <conditionalFormatting sqref="B5:H93">
    <cfRule type="containsText" dxfId="2770" priority="1" operator="containsText" text="Desponte">
      <formula>NOT(ISERROR(SEARCH("Desponte",B5)))</formula>
    </cfRule>
  </conditionalFormatting>
  <conditionalFormatting sqref="B5:H95">
    <cfRule type="containsText" dxfId="2767" priority="23" operator="containsText" text="Pulverização">
      <formula>NOT(ISERROR(SEARCH("Pulverização",B5)))</formula>
    </cfRule>
    <cfRule type="cellIs" dxfId="2766" priority="24" operator="greaterThan">
      <formula>$J$5</formula>
    </cfRule>
    <cfRule type="containsText" dxfId="2765" priority="25" operator="containsText" text="Cardã">
      <formula>NOT(ISERROR(SEARCH("Cardã",B5)))</formula>
    </cfRule>
    <cfRule type="containsText" dxfId="2764" priority="26" operator="containsText" text="Pneu">
      <formula>NOT(ISERROR(SEARCH("Pneu",B5)))</formula>
    </cfRule>
    <cfRule type="containsText" dxfId="2763" priority="27" operator="containsText" text="Vedação">
      <formula>NOT(ISERROR(SEARCH("Vedação",B5)))</formula>
    </cfRule>
    <cfRule type="containsText" dxfId="2762" priority="28" operator="containsText" text="Retentor">
      <formula>NOT(ISERROR(SEARCH("Retentor",B5)))</formula>
    </cfRule>
    <cfRule type="containsText" dxfId="2761" priority="29" operator="containsText" text="Motorredutor">
      <formula>NOT(ISERROR(SEARCH("Motorredutor",B5)))</formula>
    </cfRule>
    <cfRule type="containsText" dxfId="2760" priority="30" operator="containsText" text="Redutor">
      <formula>NOT(ISERROR(SEARCH("Redutor",B5)))</formula>
    </cfRule>
    <cfRule type="containsText" dxfId="2759" priority="31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95CFC16F-96E1-4D54-B2CA-4D79CC76D8B1}">
      <formula1>$J$5:$J$17</formula1>
    </dataValidation>
    <dataValidation type="list" allowBlank="1" showInputMessage="1" showErrorMessage="1" sqref="B94:H95" xr:uid="{E85BE2A1-5ECF-41FC-85DD-3735BE8F2E15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8F4B5C5-FF8E-4E71-810A-6A7046770F7E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DB4036A6-63CC-4F14-8A0F-AEF64F8C272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6AD86705-8F26-4BE7-9DF3-5731FB3D035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5" operator="containsText" id="{C19BAD39-E72C-4B1D-A789-F35111E8A2F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5E20142B-F004-41C9-9B52-3E16E35F0D20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74AFC8FE-2987-4EEE-8543-16BA6F2EBD4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FFB9F560-9D6C-4DB6-9AFF-C7437573AE1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F29CA9F2-ECDE-46C7-A24C-F9AC457EC45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26BA9603-175D-423C-9BCE-2ED190BF905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C980D5A9-E0BC-4DB6-8DC8-D92347E6A4BB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CA2BF962-8AD5-414F-8C8F-A7774C62795E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F2F7AE5E-FF06-4873-8573-B0D555DC2D69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37582791-6BE3-47F1-ACA9-8EC2422D1BA3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162427CA-00DB-495D-ACFE-EED82570DE6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1A733D80-413B-4E15-BFF9-3044AE871C05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539E0F3D-2AF7-4639-8824-AC1709C95E51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384FA4BC-0B32-438D-BE59-0BEDA77C4F6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31AFB206-DC47-40B2-83BD-717921F61E1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0" operator="containsText" id="{3EA31D9F-962A-487C-8051-A5A06EF593E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B68F8ADB-032D-4A77-88A1-7CD775D73B2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FC9C87A8-CFA6-4E77-A5AE-56F138E37EA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36245D09-9B45-4E64-BBC9-0A3B3A3BFF9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A58C5831-BE2E-4E0D-88C6-08897693B890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1E0D84C7-0C44-4462-98A2-56574A14E76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C9979321-BD6C-476E-9F04-7C7FB918448E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01CA40D3-5A70-4738-91A2-C0A5084A569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0" operator="containsText" id="{424A1672-18B5-4C1A-8841-95F7171049F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340E-13DB-4F93-A984-CD6B55813176}">
  <sheetPr>
    <tabColor rgb="FF92D050"/>
    <pageSetUpPr fitToPage="1"/>
  </sheetPr>
  <dimension ref="A1:P93"/>
  <sheetViews>
    <sheetView showGridLines="0" topLeftCell="G1" zoomScaleNormal="100" workbookViewId="0">
      <pane ySplit="4" topLeftCell="A5" activePane="bottomLeft" state="frozen"/>
      <selection pane="bottomLeft" activeCell="N4" sqref="N4:O5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154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44725</v>
      </c>
      <c r="C3" s="11">
        <f t="shared" ref="C3:H3" si="0">B3+1</f>
        <v>44726</v>
      </c>
      <c r="D3" s="11">
        <f t="shared" si="0"/>
        <v>44727</v>
      </c>
      <c r="E3" s="11">
        <f t="shared" si="0"/>
        <v>44728</v>
      </c>
      <c r="F3" s="11">
        <f t="shared" si="0"/>
        <v>44729</v>
      </c>
      <c r="G3" s="11">
        <f t="shared" si="0"/>
        <v>44730</v>
      </c>
      <c r="H3" s="12">
        <f t="shared" si="0"/>
        <v>44731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  <c r="N4" t="s">
        <v>146</v>
      </c>
      <c r="O4" t="s">
        <v>147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4</v>
      </c>
      <c r="L5" s="54">
        <f t="shared" ref="L5:L17" si="2">K5/$K$18</f>
        <v>0.5</v>
      </c>
      <c r="M5" t="s">
        <v>155</v>
      </c>
      <c r="N5" t="s">
        <v>156</v>
      </c>
      <c r="O5">
        <v>2022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3</v>
      </c>
      <c r="L7" s="54">
        <f t="shared" si="2"/>
        <v>0.375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0.125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 t="s">
        <v>4</v>
      </c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 t="s">
        <v>2</v>
      </c>
      <c r="K18" s="1">
        <f>SUM(K5:K17)</f>
        <v>8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 t="s">
        <v>12</v>
      </c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 t="s">
        <v>4</v>
      </c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 t="s">
        <v>127</v>
      </c>
      <c r="C52" s="9"/>
      <c r="D52" s="9"/>
      <c r="E52" s="9"/>
      <c r="F52" s="9" t="s">
        <v>127</v>
      </c>
      <c r="G52" s="9"/>
      <c r="H52" s="9" t="s">
        <v>127</v>
      </c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 t="s">
        <v>4</v>
      </c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 t="s">
        <v>4</v>
      </c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750" priority="39" operator="containsText" text="Pivô">
      <formula>NOT(ISERROR(SEARCH("Pivô",A1)))</formula>
    </cfRule>
    <cfRule type="containsText" dxfId="2749" priority="38" operator="containsText" text="Pivô">
      <formula>NOT(ISERROR(SEARCH("Pivô",A1)))</formula>
    </cfRule>
  </conditionalFormatting>
  <conditionalFormatting sqref="B5:H93">
    <cfRule type="containsText" dxfId="2731" priority="1" operator="containsText" text="Desponte">
      <formula>NOT(ISERROR(SEARCH("Desponte",B5)))</formula>
    </cfRule>
  </conditionalFormatting>
  <conditionalFormatting sqref="B5:H95">
    <cfRule type="containsText" dxfId="2728" priority="23" operator="containsText" text="Pulverização">
      <formula>NOT(ISERROR(SEARCH("Pulverização",B5)))</formula>
    </cfRule>
    <cfRule type="cellIs" dxfId="2727" priority="24" operator="greaterThan">
      <formula>$J$5</formula>
    </cfRule>
    <cfRule type="containsText" dxfId="2726" priority="25" operator="containsText" text="Cardã">
      <formula>NOT(ISERROR(SEARCH("Cardã",B5)))</formula>
    </cfRule>
    <cfRule type="containsText" dxfId="2725" priority="26" operator="containsText" text="Pneu">
      <formula>NOT(ISERROR(SEARCH("Pneu",B5)))</formula>
    </cfRule>
    <cfRule type="containsText" dxfId="2724" priority="27" operator="containsText" text="Vedação">
      <formula>NOT(ISERROR(SEARCH("Vedação",B5)))</formula>
    </cfRule>
    <cfRule type="containsText" dxfId="2723" priority="28" operator="containsText" text="Retentor">
      <formula>NOT(ISERROR(SEARCH("Retentor",B5)))</formula>
    </cfRule>
    <cfRule type="containsText" dxfId="2722" priority="29" operator="containsText" text="Motorredutor">
      <formula>NOT(ISERROR(SEARCH("Motorredutor",B5)))</formula>
    </cfRule>
    <cfRule type="containsText" dxfId="2721" priority="30" operator="containsText" text="Redutor">
      <formula>NOT(ISERROR(SEARCH("Redutor",B5)))</formula>
    </cfRule>
    <cfRule type="containsText" dxfId="2720" priority="31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0F15F24B-CA1A-4C01-9577-3921900FD3BC}">
      <formula1>$J$5:$J$11</formula1>
    </dataValidation>
    <dataValidation type="list" allowBlank="1" showInputMessage="1" showErrorMessage="1" sqref="B5:H93" xr:uid="{338949D2-461D-42BA-91F2-5B65E6E91019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407FA14-54CC-4FBE-B958-FA41B8017E5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7EEED4AD-37C7-44B8-93B8-93F60D273E16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60C88346-4E21-4314-80F5-D1942136FAA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5" operator="containsText" id="{AC23A344-FA23-4F36-8837-E8F2F9E0501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E610499F-30E1-482A-A931-63C8624C6F6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E026C62B-D636-40D2-91D0-C3C4BD0332D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478333EC-2ADE-4246-99D9-08F5AFD54B9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51E56DDD-2C74-4E26-94DC-3C04339C476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0D9A0B9A-79EE-4112-BC05-1CCC67043EC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44AFA4A5-714A-4A79-B0FF-D0FDFAF43A22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7AC66C35-E869-418A-AAE2-000368857BB2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3426EC64-CD6F-42ED-80F5-30CAA5BCEB89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4A564452-7B14-4F7A-B7F4-EE569474D795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0B342555-32E1-49A8-A3E4-9FC5E207DDF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CA5BFFE2-2199-4978-AFAF-608D2EDF002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44075570-E746-4A72-90C5-1F0CF91BE56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05049295-0CE9-4743-9EE1-46249EC0557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5EB4E484-4D72-4FA8-8149-53489EB6986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0" operator="containsText" id="{120B657E-2753-4524-A64C-39AAFAF18DC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68DD0347-76D8-4DDB-B0AB-2C45B80153B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9FBE7E84-31DD-4E13-AB72-8DDD42171AA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0A3C4421-A267-4B36-B6B4-65ACF567E62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2C15F85D-B891-4176-B8C8-D2A20E39B43A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6A993F65-48CD-42D1-A3F4-25BE6FF02AE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54AAE5F2-EB57-4E5A-B09E-1CA0A16FD3B0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2B74AD68-5644-47FB-A339-BFBE89B3CEB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0" operator="containsText" id="{5D317F44-A240-4452-A119-F671B35E823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C3BF-98EE-42D1-83B5-3E656804DFAB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D86" sqref="D86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157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44732</v>
      </c>
      <c r="C3" s="11">
        <f t="shared" ref="C3:H3" si="0">B3+1</f>
        <v>44733</v>
      </c>
      <c r="D3" s="11">
        <f t="shared" si="0"/>
        <v>44734</v>
      </c>
      <c r="E3" s="11">
        <f t="shared" si="0"/>
        <v>44735</v>
      </c>
      <c r="F3" s="11">
        <f t="shared" si="0"/>
        <v>44736</v>
      </c>
      <c r="G3" s="11">
        <f t="shared" si="0"/>
        <v>44737</v>
      </c>
      <c r="H3" s="12">
        <f t="shared" si="0"/>
        <v>44738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  <c r="N4" t="s">
        <v>146</v>
      </c>
      <c r="O4" t="s">
        <v>147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0</v>
      </c>
      <c r="L5" s="54">
        <f t="shared" ref="L5:L17" si="2">K5/$K$18</f>
        <v>0</v>
      </c>
      <c r="M5" t="s">
        <v>158</v>
      </c>
      <c r="N5" t="s">
        <v>156</v>
      </c>
      <c r="O5">
        <v>2022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2</v>
      </c>
      <c r="L7" s="54">
        <f t="shared" si="2"/>
        <v>0.66666666666666663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1</v>
      </c>
      <c r="L8" s="54">
        <f t="shared" si="2"/>
        <v>0.33333333333333331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 t="s">
        <v>2</v>
      </c>
      <c r="K18" s="1">
        <f>SUM(K5:K17)</f>
        <v>3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 t="s">
        <v>7</v>
      </c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 t="s">
        <v>127</v>
      </c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 t="s">
        <v>127</v>
      </c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711" priority="39" operator="containsText" text="Pivô">
      <formula>NOT(ISERROR(SEARCH("Pivô",A1)))</formula>
    </cfRule>
    <cfRule type="containsText" dxfId="2710" priority="38" operator="containsText" text="Pivô">
      <formula>NOT(ISERROR(SEARCH("Pivô",A1)))</formula>
    </cfRule>
  </conditionalFormatting>
  <conditionalFormatting sqref="B5:H93">
    <cfRule type="containsText" dxfId="2692" priority="1" operator="containsText" text="Desponte">
      <formula>NOT(ISERROR(SEARCH("Desponte",B5)))</formula>
    </cfRule>
  </conditionalFormatting>
  <conditionalFormatting sqref="B5:H95">
    <cfRule type="containsText" dxfId="2689" priority="23" operator="containsText" text="Pulverização">
      <formula>NOT(ISERROR(SEARCH("Pulverização",B5)))</formula>
    </cfRule>
    <cfRule type="cellIs" dxfId="2688" priority="24" operator="greaterThan">
      <formula>$J$5</formula>
    </cfRule>
    <cfRule type="containsText" dxfId="2687" priority="25" operator="containsText" text="Cardã">
      <formula>NOT(ISERROR(SEARCH("Cardã",B5)))</formula>
    </cfRule>
    <cfRule type="containsText" dxfId="2686" priority="26" operator="containsText" text="Pneu">
      <formula>NOT(ISERROR(SEARCH("Pneu",B5)))</formula>
    </cfRule>
    <cfRule type="containsText" dxfId="2685" priority="27" operator="containsText" text="Vedação">
      <formula>NOT(ISERROR(SEARCH("Vedação",B5)))</formula>
    </cfRule>
    <cfRule type="containsText" dxfId="2684" priority="28" operator="containsText" text="Retentor">
      <formula>NOT(ISERROR(SEARCH("Retentor",B5)))</formula>
    </cfRule>
    <cfRule type="containsText" dxfId="2683" priority="29" operator="containsText" text="Motorredutor">
      <formula>NOT(ISERROR(SEARCH("Motorredutor",B5)))</formula>
    </cfRule>
    <cfRule type="containsText" dxfId="2682" priority="30" operator="containsText" text="Redutor">
      <formula>NOT(ISERROR(SEARCH("Redutor",B5)))</formula>
    </cfRule>
    <cfRule type="containsText" dxfId="2681" priority="31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3BB168D5-8A9B-453D-9263-6F1EC3C0F84D}">
      <formula1>$J$5:$J$17</formula1>
    </dataValidation>
    <dataValidation type="list" allowBlank="1" showInputMessage="1" showErrorMessage="1" sqref="B94:H95" xr:uid="{22A7B5F0-5FCE-4EA5-A05B-4F5AB62DFCBD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22DB8E8-9323-4E4A-932D-2471E9BCFFC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4396611A-3D39-4A7C-A76E-84C2E68CE3C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3DF22E8D-B5C1-4BFB-9247-B518D245D62F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5" operator="containsText" id="{3723895A-6FF1-4275-AD45-921DC22D6C9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F2C7B8A0-6546-479F-AF21-76F4852869D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74F4E7B3-413C-4662-BF51-644D1CCCFB4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A190A2AD-26F9-4D28-B090-79036CE9ABA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719888A5-94ED-46E6-9181-341C081D0B5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C6D7B285-80C7-456A-B080-A35FD002D7E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4B66DD9B-28D2-4605-9DE2-1CAE54D86CC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B0A77AE2-94EB-459A-9C52-8AA1BE7ED15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13186C66-C3FE-48BB-A32F-D44510EC68A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0BE9FB38-C111-48EE-B40F-AF9749F0ADAB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36AFA561-6566-4B86-AB3C-F6EEF9D3FEE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5C063805-271F-44BC-8C27-88F72D3369D2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5B0010B1-FD18-4B14-9F56-6A3177D291E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21D9E0D1-8F5F-4F94-AFD7-1BD5C855908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25B3178E-6E61-4FBA-907A-D5003BDE77C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0" operator="containsText" id="{AD5FAC11-C828-452C-8327-26E53F57F5D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414B6870-2ED9-4484-87EE-E199602CA1FD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1793D8E6-BAB5-4B01-B163-984AA7E4EA6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5C3ADFF4-869C-418B-9D83-2D88A215065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B2A9A61D-A496-4CF3-A518-B794AD028D0B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2654337B-9538-4949-BA8D-62D004A80B6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573EDDA9-3D4A-44D8-99A2-F03FB7450E6C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0A2A7704-9CA4-4B36-B13B-E41770B14E8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0" operator="containsText" id="{45EC1190-0B84-44DE-9C4F-86208950231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E8DC-8612-4377-86ED-B631EDEC7546}">
  <sheetPr>
    <tabColor rgb="FF92D050"/>
    <pageSetUpPr fitToPage="1"/>
  </sheetPr>
  <dimension ref="A1:P93"/>
  <sheetViews>
    <sheetView showGridLines="0" zoomScaleNormal="100" workbookViewId="0">
      <pane ySplit="4" topLeftCell="A56" activePane="bottomLeft" state="frozen"/>
      <selection pane="bottomLeft" activeCell="K77" sqref="K77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</cols>
  <sheetData>
    <row r="1" spans="1:16" x14ac:dyDescent="0.25">
      <c r="A1" s="68" t="s">
        <v>159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44739</v>
      </c>
      <c r="C3" s="11">
        <f t="shared" ref="C3:H3" si="0">B3+1</f>
        <v>44740</v>
      </c>
      <c r="D3" s="11">
        <f t="shared" si="0"/>
        <v>44741</v>
      </c>
      <c r="E3" s="11">
        <f t="shared" si="0"/>
        <v>44742</v>
      </c>
      <c r="F3" s="11">
        <f t="shared" si="0"/>
        <v>44743</v>
      </c>
      <c r="G3" s="11">
        <f t="shared" si="0"/>
        <v>44744</v>
      </c>
      <c r="H3" s="12">
        <f t="shared" si="0"/>
        <v>44745</v>
      </c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  <c r="N4" t="s">
        <v>146</v>
      </c>
      <c r="O4" t="s">
        <v>147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4</v>
      </c>
      <c r="L5" s="54">
        <f t="shared" ref="L5:L17" si="2">K5/$K$18</f>
        <v>0.5</v>
      </c>
      <c r="M5" s="2" t="s">
        <v>160</v>
      </c>
      <c r="N5" t="s">
        <v>156</v>
      </c>
      <c r="O5">
        <v>2022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1</v>
      </c>
      <c r="L7" s="54">
        <f t="shared" si="2"/>
        <v>0.125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 t="s">
        <v>16</v>
      </c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 t="s">
        <v>16</v>
      </c>
      <c r="F12" s="9" t="s">
        <v>16</v>
      </c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 t="s">
        <v>4</v>
      </c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3</v>
      </c>
      <c r="L17" s="54">
        <f t="shared" si="2"/>
        <v>0.375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 t="s">
        <v>2</v>
      </c>
      <c r="K18" s="1">
        <f>SUM(K5:K17)</f>
        <v>8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 t="s">
        <v>4</v>
      </c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 t="s">
        <v>4</v>
      </c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 t="s">
        <v>4</v>
      </c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 t="s">
        <v>127</v>
      </c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672" priority="39" operator="containsText" text="Pivô">
      <formula>NOT(ISERROR(SEARCH("Pivô",A1)))</formula>
    </cfRule>
    <cfRule type="containsText" dxfId="2671" priority="38" operator="containsText" text="Pivô">
      <formula>NOT(ISERROR(SEARCH("Pivô",A1)))</formula>
    </cfRule>
  </conditionalFormatting>
  <conditionalFormatting sqref="B5:H93">
    <cfRule type="containsText" dxfId="2653" priority="1" operator="containsText" text="Desponte">
      <formula>NOT(ISERROR(SEARCH("Desponte",B5)))</formula>
    </cfRule>
  </conditionalFormatting>
  <conditionalFormatting sqref="B5:H95">
    <cfRule type="containsText" dxfId="2650" priority="23" operator="containsText" text="Pulverização">
      <formula>NOT(ISERROR(SEARCH("Pulverização",B5)))</formula>
    </cfRule>
    <cfRule type="cellIs" dxfId="2649" priority="24" operator="greaterThan">
      <formula>$J$5</formula>
    </cfRule>
    <cfRule type="containsText" dxfId="2648" priority="25" operator="containsText" text="Cardã">
      <formula>NOT(ISERROR(SEARCH("Cardã",B5)))</formula>
    </cfRule>
    <cfRule type="containsText" dxfId="2647" priority="26" operator="containsText" text="Pneu">
      <formula>NOT(ISERROR(SEARCH("Pneu",B5)))</formula>
    </cfRule>
    <cfRule type="containsText" dxfId="2646" priority="27" operator="containsText" text="Vedação">
      <formula>NOT(ISERROR(SEARCH("Vedação",B5)))</formula>
    </cfRule>
    <cfRule type="containsText" dxfId="2645" priority="28" operator="containsText" text="Retentor">
      <formula>NOT(ISERROR(SEARCH("Retentor",B5)))</formula>
    </cfRule>
    <cfRule type="containsText" dxfId="2644" priority="29" operator="containsText" text="Motorredutor">
      <formula>NOT(ISERROR(SEARCH("Motorredutor",B5)))</formula>
    </cfRule>
    <cfRule type="containsText" dxfId="2643" priority="30" operator="containsText" text="Redutor">
      <formula>NOT(ISERROR(SEARCH("Redutor",B5)))</formula>
    </cfRule>
    <cfRule type="containsText" dxfId="2642" priority="31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10556B69-9108-49FA-A1AF-1EF7197BD1BA}">
      <formula1>$J$5:$J$11</formula1>
    </dataValidation>
    <dataValidation type="list" allowBlank="1" showInputMessage="1" showErrorMessage="1" sqref="B5:H93" xr:uid="{EDFD7BCD-9539-4EBC-BF66-5606085122E4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5601A53-2173-42E3-BB75-C9D13B7C6D65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508B85CF-8467-4A11-B2DE-F41F0C7AF97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F250DEC5-67DA-46BA-92F9-8733D8E2B51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5" operator="containsText" id="{8C3D76ED-16F6-4936-9663-3389B44AD249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22E23911-CA0D-4D35-A231-F302E3C6A6D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C563576B-6A36-4BA0-A1C8-2F6F87C7B9B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2FD4DD30-3320-401E-8BAF-E10643986E2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C2267F5C-7AC8-457E-9F90-AE4415FC634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D2A499F4-5FAE-4F09-B6BE-554F2A826BFB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AA1DBEF9-3AB5-410A-9E60-4F0F8D3199E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CF530038-5C47-4660-997D-E1178819AD5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1147A981-B198-493C-8424-4043FAB62AB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C90ED6A5-0F73-419B-8D95-F0E92D590A75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844511EF-5163-47FC-B247-BDFD171D950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1165F5F0-0FBB-4DE1-B1D4-3105A155809E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44C906A2-886E-45BC-9A9A-FC159EA2D76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29BF4516-FAFF-476A-93A4-2D4A9FA9B4B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42D27E3A-E506-4804-8EA2-46F5A53B3ED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0" operator="containsText" id="{93D1D835-2583-49DA-AF05-3194115D1BD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7B5F0C32-4B16-4393-89FE-879C61F73350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12CC9AFA-FA3D-4A5B-BB0B-31A59058BD8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C5D517A5-F3F1-44EB-B7DD-5193D59292F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ED551395-550A-48BB-8564-79A912459C1C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961CBC0F-5E78-496D-8638-729D0FE3B62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6117C26F-ACB8-4766-9AC2-F5D98075A41E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EA29E4F1-8487-444F-8D5B-9CC711155AD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0" operator="containsText" id="{CE7CBD77-986C-45AF-AB9B-C07441F89928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26BA-B9FC-4459-88B9-07BC881976DC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L21" sqref="L21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161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44746</v>
      </c>
      <c r="C3" s="11">
        <f t="shared" ref="C3:H3" si="0">B3+1</f>
        <v>44747</v>
      </c>
      <c r="D3" s="11">
        <f t="shared" si="0"/>
        <v>44748</v>
      </c>
      <c r="E3" s="11">
        <f t="shared" si="0"/>
        <v>44749</v>
      </c>
      <c r="F3" s="11">
        <f t="shared" si="0"/>
        <v>44750</v>
      </c>
      <c r="G3" s="11">
        <f t="shared" si="0"/>
        <v>44751</v>
      </c>
      <c r="H3" s="12">
        <f t="shared" si="0"/>
        <v>44752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1</v>
      </c>
      <c r="L5" s="54">
        <f t="shared" ref="L5:L17" si="2">K5/$K$18</f>
        <v>0.14285714285714285</v>
      </c>
      <c r="M5" s="58">
        <v>44746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 t="s">
        <v>7</v>
      </c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1</v>
      </c>
      <c r="L8" s="54">
        <f t="shared" si="2"/>
        <v>0.14285714285714285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 t="s">
        <v>13</v>
      </c>
      <c r="C11" s="9"/>
      <c r="D11" s="9"/>
      <c r="E11" s="9"/>
      <c r="F11" s="9"/>
      <c r="G11" s="9"/>
      <c r="H11" s="9"/>
      <c r="J11" s="26" t="s">
        <v>10</v>
      </c>
      <c r="K11" s="1">
        <f t="shared" si="3"/>
        <v>1</v>
      </c>
      <c r="L11" s="54">
        <f t="shared" si="2"/>
        <v>0.14285714285714285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 t="s">
        <v>16</v>
      </c>
      <c r="C13" s="9" t="s">
        <v>16</v>
      </c>
      <c r="D13" s="9" t="s">
        <v>16</v>
      </c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 t="s">
        <v>10</v>
      </c>
      <c r="D14" s="9"/>
      <c r="E14" s="9"/>
      <c r="F14" s="9"/>
      <c r="G14" s="9"/>
      <c r="H14" s="9"/>
      <c r="J14" s="39" t="s">
        <v>13</v>
      </c>
      <c r="K14" s="1">
        <f>COUNTIF($B$5:$H$93,J14)</f>
        <v>1</v>
      </c>
      <c r="L14" s="54">
        <f t="shared" si="2"/>
        <v>0.14285714285714285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3</v>
      </c>
      <c r="L17" s="54">
        <f t="shared" si="2"/>
        <v>0.42857142857142855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 t="s">
        <v>2</v>
      </c>
      <c r="K18" s="1">
        <f>SUM(K5:K17)</f>
        <v>7</v>
      </c>
    </row>
    <row r="19" spans="1:12" x14ac:dyDescent="0.25">
      <c r="A19" s="6" t="s">
        <v>41</v>
      </c>
      <c r="B19" s="9"/>
      <c r="C19" s="9" t="s">
        <v>4</v>
      </c>
      <c r="D19" s="9"/>
      <c r="E19" s="9"/>
      <c r="F19" s="9"/>
      <c r="G19" s="9"/>
      <c r="H19" s="9"/>
      <c r="J19" s="7"/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633" priority="39" operator="containsText" text="Pivô">
      <formula>NOT(ISERROR(SEARCH("Pivô",A1)))</formula>
    </cfRule>
    <cfRule type="containsText" dxfId="2632" priority="38" operator="containsText" text="Pivô">
      <formula>NOT(ISERROR(SEARCH("Pivô",A1)))</formula>
    </cfRule>
  </conditionalFormatting>
  <conditionalFormatting sqref="B5:H93">
    <cfRule type="containsText" dxfId="2614" priority="1" operator="containsText" text="Desponte">
      <formula>NOT(ISERROR(SEARCH("Desponte",B5)))</formula>
    </cfRule>
  </conditionalFormatting>
  <conditionalFormatting sqref="B5:H95">
    <cfRule type="containsText" dxfId="2611" priority="23" operator="containsText" text="Pulverização">
      <formula>NOT(ISERROR(SEARCH("Pulverização",B5)))</formula>
    </cfRule>
    <cfRule type="cellIs" dxfId="2610" priority="24" operator="greaterThan">
      <formula>$J$5</formula>
    </cfRule>
    <cfRule type="containsText" dxfId="2609" priority="25" operator="containsText" text="Cardã">
      <formula>NOT(ISERROR(SEARCH("Cardã",B5)))</formula>
    </cfRule>
    <cfRule type="containsText" dxfId="2608" priority="26" operator="containsText" text="Pneu">
      <formula>NOT(ISERROR(SEARCH("Pneu",B5)))</formula>
    </cfRule>
    <cfRule type="containsText" dxfId="2607" priority="27" operator="containsText" text="Vedação">
      <formula>NOT(ISERROR(SEARCH("Vedação",B5)))</formula>
    </cfRule>
    <cfRule type="containsText" dxfId="2606" priority="28" operator="containsText" text="Retentor">
      <formula>NOT(ISERROR(SEARCH("Retentor",B5)))</formula>
    </cfRule>
    <cfRule type="containsText" dxfId="2605" priority="29" operator="containsText" text="Motorredutor">
      <formula>NOT(ISERROR(SEARCH("Motorredutor",B5)))</formula>
    </cfRule>
    <cfRule type="containsText" dxfId="2604" priority="30" operator="containsText" text="Redutor">
      <formula>NOT(ISERROR(SEARCH("Redutor",B5)))</formula>
    </cfRule>
    <cfRule type="containsText" dxfId="2603" priority="31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3F7E757B-DB40-4CC0-8CEB-298BA713C327}">
      <formula1>$J$5:$J$17</formula1>
    </dataValidation>
    <dataValidation type="list" allowBlank="1" showInputMessage="1" showErrorMessage="1" sqref="B94:H95" xr:uid="{5F972111-14A6-4655-9FB6-32CD5B3E5661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71CCD4C-A22B-42CE-9513-C3A78354BEC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279C3ED0-38CC-47DA-A26C-C7277D5925DF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B247E449-CDD7-4904-8B63-F26B07465D7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5" operator="containsText" id="{01A72AF6-C30A-471A-B158-C71265FEEFE3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67A0A2BC-7027-4DFE-BD6D-EDF226D92A89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9C6B79AB-CE02-4D91-B282-42018C28839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1DD57A74-654C-46A0-A56F-C335584F41C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39397EE5-19B0-4457-8279-5B9AD247E39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00ECA592-8998-4606-B4A3-2541B928D55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5C0F3605-B892-4EF9-BC33-94BAC02536D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26FA4087-741D-4595-8CDD-7EBA6808B6E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2E9EF7E2-A0B8-417B-A24D-83E636FD3BA7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C8655CDB-B367-4C80-B05B-CA978CB99406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D24FB746-0951-4D63-944B-4630231568E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161308C2-6B05-4DDA-897B-33BB9BCC61F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EDEE01D7-648D-43EE-9F5B-5E7867BCEC4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F0BD0C7A-7450-4423-93A7-12DC6812C0C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6C906E89-1813-4A01-92F2-049B4CE1417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0" operator="containsText" id="{8CB66379-4D61-442E-8957-984F0A26633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D067EF79-4355-471E-A957-E8693682EF8E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D47D0673-9DED-4AFC-A538-3969983FCA1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7AA8AA5E-F54B-4629-B762-7941F83D57E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D25FFE2E-3326-4E88-9CE6-709BC53ED08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B717B657-04B7-41CB-90C0-CCD0260F20A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BD51A937-9B8B-4B8B-8B2C-E7F628AA04F4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B456968E-77EC-4710-9C75-A0B376877F4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0" operator="containsText" id="{3C5409A3-55F1-4650-9216-D8F274E2FE8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AD8B-C066-48C2-ACB2-F5A5C248CD2B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7"/>
    </sheetView>
  </sheetViews>
  <sheetFormatPr defaultRowHeight="15" x14ac:dyDescent="0.25"/>
  <cols>
    <col min="2" max="8" width="17.42578125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162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44753</v>
      </c>
      <c r="C3" s="11">
        <f t="shared" ref="C3:H3" si="0">B3+1</f>
        <v>44754</v>
      </c>
      <c r="D3" s="11">
        <f t="shared" si="0"/>
        <v>44755</v>
      </c>
      <c r="E3" s="11">
        <f t="shared" si="0"/>
        <v>44756</v>
      </c>
      <c r="F3" s="11">
        <f t="shared" si="0"/>
        <v>44757</v>
      </c>
      <c r="G3" s="11">
        <f t="shared" si="0"/>
        <v>44758</v>
      </c>
      <c r="H3" s="12">
        <f t="shared" si="0"/>
        <v>44759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17" si="2">K5/$K$18</f>
        <v>0.2</v>
      </c>
      <c r="M5" s="58">
        <f>B3</f>
        <v>44753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3</v>
      </c>
      <c r="L6" s="54">
        <f t="shared" si="2"/>
        <v>0.2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1</v>
      </c>
      <c r="L7" s="54">
        <f t="shared" si="2"/>
        <v>6.6666666666666666E-2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1</v>
      </c>
      <c r="L8" s="54">
        <f t="shared" si="2"/>
        <v>6.6666666666666666E-2</v>
      </c>
    </row>
    <row r="9" spans="1:16" x14ac:dyDescent="0.25">
      <c r="A9" s="6" t="s">
        <v>29</v>
      </c>
      <c r="B9" s="9"/>
      <c r="C9" s="9"/>
      <c r="D9" s="9"/>
      <c r="E9" s="9"/>
      <c r="F9" s="9" t="s">
        <v>7</v>
      </c>
      <c r="G9" s="9"/>
      <c r="H9" s="9"/>
      <c r="J9" s="24" t="s">
        <v>30</v>
      </c>
      <c r="K9" s="1">
        <f>COUNTIF($B$5:$H$93,J9)</f>
        <v>4</v>
      </c>
      <c r="L9" s="54">
        <f t="shared" si="2"/>
        <v>0.26666666666666666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3</v>
      </c>
      <c r="L10" s="54">
        <f t="shared" si="2"/>
        <v>0.2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7" t="s">
        <v>2</v>
      </c>
      <c r="K18" s="1">
        <f>SUM(K5:K17)</f>
        <v>15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/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 t="s">
        <v>118</v>
      </c>
      <c r="E23" s="9"/>
      <c r="F23" s="9" t="s">
        <v>118</v>
      </c>
      <c r="G23" s="9" t="s">
        <v>118</v>
      </c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 t="s">
        <v>127</v>
      </c>
      <c r="F51" s="9"/>
      <c r="G51" s="9"/>
      <c r="H51" s="9"/>
    </row>
    <row r="52" spans="1:8" x14ac:dyDescent="0.25">
      <c r="A52" s="6" t="s">
        <v>74</v>
      </c>
      <c r="B52" s="9"/>
      <c r="C52" s="9"/>
      <c r="D52" s="9" t="s">
        <v>4</v>
      </c>
      <c r="E52" s="9"/>
      <c r="F52" s="9" t="s">
        <v>5</v>
      </c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 t="s">
        <v>30</v>
      </c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 t="s">
        <v>30</v>
      </c>
      <c r="E65" s="9" t="s">
        <v>30</v>
      </c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 t="s">
        <v>30</v>
      </c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 t="s">
        <v>5</v>
      </c>
      <c r="E74" s="9"/>
      <c r="F74" s="9"/>
      <c r="G74" s="9"/>
      <c r="H74" s="9" t="s">
        <v>4</v>
      </c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 t="s">
        <v>5</v>
      </c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 t="s">
        <v>4</v>
      </c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594" priority="39" operator="containsText" text="Pivô">
      <formula>NOT(ISERROR(SEARCH("Pivô",A1)))</formula>
    </cfRule>
    <cfRule type="containsText" dxfId="2593" priority="38" operator="containsText" text="Pivô">
      <formula>NOT(ISERROR(SEARCH("Pivô",A1)))</formula>
    </cfRule>
  </conditionalFormatting>
  <conditionalFormatting sqref="B5:H93">
    <cfRule type="containsText" dxfId="2575" priority="1" operator="containsText" text="Desponte">
      <formula>NOT(ISERROR(SEARCH("Desponte",B5)))</formula>
    </cfRule>
  </conditionalFormatting>
  <conditionalFormatting sqref="B5:H95">
    <cfRule type="containsText" dxfId="2572" priority="23" operator="containsText" text="Pulverização">
      <formula>NOT(ISERROR(SEARCH("Pulverização",B5)))</formula>
    </cfRule>
    <cfRule type="cellIs" dxfId="2571" priority="24" operator="greaterThan">
      <formula>$J$5</formula>
    </cfRule>
    <cfRule type="containsText" dxfId="2570" priority="25" operator="containsText" text="Cardã">
      <formula>NOT(ISERROR(SEARCH("Cardã",B5)))</formula>
    </cfRule>
    <cfRule type="containsText" dxfId="2569" priority="26" operator="containsText" text="Pneu">
      <formula>NOT(ISERROR(SEARCH("Pneu",B5)))</formula>
    </cfRule>
    <cfRule type="containsText" dxfId="2568" priority="27" operator="containsText" text="Vedação">
      <formula>NOT(ISERROR(SEARCH("Vedação",B5)))</formula>
    </cfRule>
    <cfRule type="containsText" dxfId="2567" priority="28" operator="containsText" text="Retentor">
      <formula>NOT(ISERROR(SEARCH("Retentor",B5)))</formula>
    </cfRule>
    <cfRule type="containsText" dxfId="2566" priority="29" operator="containsText" text="Motorredutor">
      <formula>NOT(ISERROR(SEARCH("Motorredutor",B5)))</formula>
    </cfRule>
    <cfRule type="containsText" dxfId="2565" priority="30" operator="containsText" text="Redutor">
      <formula>NOT(ISERROR(SEARCH("Redutor",B5)))</formula>
    </cfRule>
    <cfRule type="containsText" dxfId="2564" priority="31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80B28DCD-2F1A-4AD9-8DA2-78EA69C78919}">
      <formula1>$J$5:$J$11</formula1>
    </dataValidation>
    <dataValidation type="list" allowBlank="1" showInputMessage="1" showErrorMessage="1" sqref="B5:H93" xr:uid="{60BAEF51-D376-4A93-AB2A-CC04A5DAAB8B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078020E-D8E4-487D-A96B-BCC3E38C5F38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28AEBCFD-6DC9-48D6-A761-1708D4B63EB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9C04B2AD-FEBF-465C-9C78-3A0F7A36FF7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5" operator="containsText" id="{5CE5D621-5A08-43E9-A0E5-DDCD85D6977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3C4E3D05-C31D-4C11-8C98-6B678BF16A42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46AC7895-4017-4E0A-AD4B-332511089344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91D965C4-8A85-433C-9C3F-BAC60A0652C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8E443040-C782-419F-B55F-CB8E193D453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672382DF-AF01-4722-AF34-39428629B72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1C8D162C-B85C-478A-975D-BF2469825DD1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A0D3F21E-5C57-4687-8831-96BE239C719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4424F892-EDE6-4C36-8850-4F64AE561EFD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8418B65F-EF45-4475-991B-431BB78FFAE7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F9BDF86C-8A1B-4AB9-BB98-0544DD62E33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393D608B-48EB-4357-A2A2-1D8789D8486C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02CC79BA-D4DC-46C2-AB5C-DE69C66B24D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DBF1B4DE-AA7C-4D0D-B802-3083EED9A0B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FC0771AE-3D02-48FC-BCBF-4952472CB2B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0" operator="containsText" id="{E469E92B-806D-4951-B2EA-7C9A4AF678D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D736762F-539B-4457-A178-A7916CE6E9DC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522D5231-77B9-45D5-9F88-F2AFDD616CD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B083B098-A0AB-438D-A217-6250860AE66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BF500493-11A8-4B62-A167-EB3848C0AF21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BC23180F-E50E-44D9-B797-ABAD3BEC74B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9C6E410D-240F-431C-BE19-B8E8E8BF565B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4AB987D7-075A-47FB-BC09-FD8E2C8D73A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0" operator="containsText" id="{637BA06E-21D8-4D8A-AAB3-7A076C1E929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3225-709E-4EAE-916B-4857A6C5EEB2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8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163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44760</v>
      </c>
      <c r="C3" s="11">
        <f t="shared" ref="C3:H3" si="0">B3+1</f>
        <v>44761</v>
      </c>
      <c r="D3" s="11">
        <f t="shared" si="0"/>
        <v>44762</v>
      </c>
      <c r="E3" s="11">
        <f t="shared" si="0"/>
        <v>44763</v>
      </c>
      <c r="F3" s="11">
        <f t="shared" si="0"/>
        <v>44764</v>
      </c>
      <c r="G3" s="11">
        <f t="shared" si="0"/>
        <v>44765</v>
      </c>
      <c r="H3" s="12">
        <f t="shared" si="0"/>
        <v>44766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1</v>
      </c>
      <c r="L5" s="54">
        <f t="shared" ref="L5:L18" si="2">K5/$K$19</f>
        <v>0.14285714285714285</v>
      </c>
      <c r="M5" s="58">
        <f>B3</f>
        <v>44760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1</v>
      </c>
      <c r="L6" s="54">
        <f t="shared" si="2"/>
        <v>0.14285714285714285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1</v>
      </c>
      <c r="L7" s="54">
        <f t="shared" si="2"/>
        <v>0.14285714285714285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2</v>
      </c>
      <c r="L9" s="54">
        <f t="shared" si="2"/>
        <v>0.2857142857142857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>COUNTIF($B$5:$H$93,J15)</f>
        <v>2</v>
      </c>
      <c r="L15" s="54">
        <f t="shared" si="2"/>
        <v>0.2857142857142857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 t="s">
        <v>4</v>
      </c>
      <c r="F18" s="9"/>
      <c r="G18" s="9"/>
      <c r="H18" s="9"/>
      <c r="J18" s="36" t="s">
        <v>164</v>
      </c>
      <c r="K18" s="1">
        <f>COUNTIF($B$5:$H$93,J18)</f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 t="s">
        <v>2</v>
      </c>
      <c r="K19" s="1">
        <f>SUM(K5:K17)</f>
        <v>7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 t="s">
        <v>30</v>
      </c>
      <c r="C34" s="9" t="s">
        <v>30</v>
      </c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 t="s">
        <v>127</v>
      </c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 t="s">
        <v>5</v>
      </c>
      <c r="D51" s="9"/>
      <c r="E51" s="9" t="s">
        <v>121</v>
      </c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 t="s">
        <v>121</v>
      </c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555" priority="40" operator="containsText" text="Pivô">
      <formula>NOT(ISERROR(SEARCH("Pivô",A1)))</formula>
    </cfRule>
    <cfRule type="containsText" dxfId="2554" priority="39" operator="containsText" text="Pivô">
      <formula>NOT(ISERROR(SEARCH("Pivô",A1)))</formula>
    </cfRule>
  </conditionalFormatting>
  <conditionalFormatting sqref="B5:H93">
    <cfRule type="containsText" dxfId="2553" priority="2" operator="containsText" text="Desponte">
      <formula>NOT(ISERROR(SEARCH("Desponte",B5)))</formula>
    </cfRule>
  </conditionalFormatting>
  <conditionalFormatting sqref="B5:H95">
    <cfRule type="containsText" dxfId="2532" priority="24" operator="containsText" text="Pulverização">
      <formula>NOT(ISERROR(SEARCH("Pulverização",B5)))</formula>
    </cfRule>
    <cfRule type="cellIs" dxfId="2531" priority="25" operator="greaterThan">
      <formula>$J$5</formula>
    </cfRule>
    <cfRule type="containsText" dxfId="2530" priority="26" operator="containsText" text="Cardã">
      <formula>NOT(ISERROR(SEARCH("Cardã",B5)))</formula>
    </cfRule>
    <cfRule type="containsText" dxfId="2529" priority="27" operator="containsText" text="Pneu">
      <formula>NOT(ISERROR(SEARCH("Pneu",B5)))</formula>
    </cfRule>
    <cfRule type="containsText" dxfId="2528" priority="28" operator="containsText" text="Vedação">
      <formula>NOT(ISERROR(SEARCH("Vedação",B5)))</formula>
    </cfRule>
    <cfRule type="containsText" dxfId="2527" priority="29" operator="containsText" text="Retentor">
      <formula>NOT(ISERROR(SEARCH("Retentor",B5)))</formula>
    </cfRule>
    <cfRule type="containsText" dxfId="2526" priority="30" operator="containsText" text="Motorredutor">
      <formula>NOT(ISERROR(SEARCH("Motorredutor",B5)))</formula>
    </cfRule>
    <cfRule type="containsText" dxfId="2525" priority="31" operator="containsText" text="Redutor">
      <formula>NOT(ISERROR(SEARCH("Redutor",B5)))</formula>
    </cfRule>
    <cfRule type="containsText" dxfId="2524" priority="32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AB2F7BDB-3FFD-4430-93CC-22636FDDA75D}">
      <formula1>$J$5:$J$18</formula1>
    </dataValidation>
    <dataValidation type="list" allowBlank="1" showInputMessage="1" showErrorMessage="1" sqref="B94:H95" xr:uid="{1D3795FD-DAE2-4CE7-A32C-93FD5F1BFFE8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09715F4E-66F7-4DE4-A347-BF3FFC4AF2E4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B2B06347-9817-4884-9933-4606C57EE80C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" operator="containsText" id="{07046D67-0D53-47E7-B8D9-26EC59F9FDA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6" operator="containsText" id="{EAA7E71F-69C3-4422-95A5-681F381F60F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" operator="containsText" id="{946A2193-0F33-4DE9-93A6-BC3E0E73AE71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8" operator="containsText" id="{8778B521-EE05-40EE-98C8-C40F4957FED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9" operator="containsText" id="{0CC5E346-3ABA-42D8-8F58-E26227299EB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0" operator="containsText" id="{35A04C9E-2705-4535-9CB6-0EC0A02FE4CC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EE77A97B-04F2-4817-9F23-AEB0929F829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453A9B74-6AA3-4A11-BD07-D288D30076A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5106053D-2623-4B85-80CB-521E608F64D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A0153259-AB17-4AF7-A556-44B581A475B9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FAA78C49-7ACE-457F-9CE6-B2E58BE9ECF9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CCC77004-474C-4CA2-A1D3-F50BD481C00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8BBD651C-3510-4A23-8855-A09BCE92C2C1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799590E0-4937-4C1A-A06E-AF52D24E9CCA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4CDAE606-91A0-44B0-ADA8-8AA1E899CC6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" operator="containsText" id="{F13B8DF1-FBDB-4F96-9C29-A881265AF5D5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7CB96452-D3AD-4010-AB0A-1236798F05D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1" operator="containsText" id="{C7FD7006-4BF2-490B-91D3-10FC84E8DDC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3" operator="containsText" id="{3E7E95EE-EFB5-45B2-95FD-03F48CC0E218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4" operator="containsText" id="{CFA1B3E0-6D5B-4DB9-AD81-CF6917B38DB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5" operator="containsText" id="{107F6F34-DB70-4357-A8EF-2E60CEF1F44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6" operator="containsText" id="{E68D6E7F-8E36-43C4-B0F6-50E3B532B834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7" operator="containsText" id="{9414B3C5-AEB2-473D-94DA-745DBE0EB54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8" operator="containsText" id="{C33E55B3-8B81-4BD5-9F52-BB24135DBF5F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44A8BC4A-4D3F-46CC-9174-28B08BA1A3B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1" operator="containsText" id="{81CF8C95-572F-440B-A515-1D73EEBE3D0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E34-A338-4892-A8EC-F67B75122638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8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165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44767</v>
      </c>
      <c r="C3" s="11">
        <f t="shared" ref="C3:H3" si="0">B3+1</f>
        <v>44768</v>
      </c>
      <c r="D3" s="11">
        <f t="shared" si="0"/>
        <v>44769</v>
      </c>
      <c r="E3" s="11">
        <f t="shared" si="0"/>
        <v>44770</v>
      </c>
      <c r="F3" s="11">
        <f t="shared" si="0"/>
        <v>44771</v>
      </c>
      <c r="G3" s="11">
        <f t="shared" si="0"/>
        <v>44772</v>
      </c>
      <c r="H3" s="12">
        <f t="shared" si="0"/>
        <v>44773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18" si="2">K5/$K$19</f>
        <v>0.2</v>
      </c>
      <c r="M5" s="58">
        <f>B3</f>
        <v>44767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2</v>
      </c>
      <c r="L6" s="54">
        <f t="shared" si="2"/>
        <v>0.13333333333333333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2</v>
      </c>
      <c r="L8" s="54">
        <f t="shared" si="2"/>
        <v>0.13333333333333333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4</v>
      </c>
      <c r="L9" s="54">
        <f t="shared" si="2"/>
        <v>0.26666666666666666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1</v>
      </c>
      <c r="L10" s="54">
        <f t="shared" si="2"/>
        <v>6.6666666666666666E-2</v>
      </c>
    </row>
    <row r="11" spans="1:16" x14ac:dyDescent="0.25">
      <c r="A11" s="6" t="s">
        <v>32</v>
      </c>
      <c r="B11" s="9"/>
      <c r="C11" s="9"/>
      <c r="D11" s="9" t="s">
        <v>7</v>
      </c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 t="s">
        <v>16</v>
      </c>
      <c r="F15" s="9"/>
      <c r="G15" s="9"/>
      <c r="H15" s="9"/>
      <c r="J15" s="47" t="s">
        <v>121</v>
      </c>
      <c r="K15" s="1">
        <f>COUNTIF($B$5:$H$93,J15)</f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>COUNTIF($B$5:$H$93,J16)</f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>COUNTIF($B$5:$H$93,J17)</f>
        <v>1</v>
      </c>
      <c r="L17" s="54">
        <f t="shared" si="2"/>
        <v>6.6666666666666666E-2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>COUNTIF($B$5:$H$93,J18)</f>
        <v>2</v>
      </c>
      <c r="L18" s="54">
        <f t="shared" si="2"/>
        <v>0.13333333333333333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7" t="s">
        <v>2</v>
      </c>
      <c r="K19" s="1">
        <f>SUM(K5:K18)</f>
        <v>15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/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 t="s">
        <v>166</v>
      </c>
      <c r="C34" s="9" t="s">
        <v>30</v>
      </c>
      <c r="D34" s="9" t="s">
        <v>30</v>
      </c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 t="s">
        <v>30</v>
      </c>
      <c r="G35" s="9" t="s">
        <v>30</v>
      </c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 t="s">
        <v>7</v>
      </c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 t="s">
        <v>118</v>
      </c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 t="s">
        <v>5</v>
      </c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 t="s">
        <v>4</v>
      </c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 t="s">
        <v>4</v>
      </c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 t="s">
        <v>5</v>
      </c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 t="s">
        <v>166</v>
      </c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 t="s">
        <v>4</v>
      </c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515" priority="40" operator="containsText" text="Pivô">
      <formula>NOT(ISERROR(SEARCH("Pivô",A1)))</formula>
    </cfRule>
    <cfRule type="containsText" dxfId="2514" priority="39" operator="containsText" text="Pivô">
      <formula>NOT(ISERROR(SEARCH("Pivô",A1)))</formula>
    </cfRule>
  </conditionalFormatting>
  <conditionalFormatting sqref="B5:H93">
    <cfRule type="containsText" dxfId="2513" priority="2" operator="containsText" text="Desponte">
      <formula>NOT(ISERROR(SEARCH("Desponte",B5)))</formula>
    </cfRule>
  </conditionalFormatting>
  <conditionalFormatting sqref="B5:H95">
    <cfRule type="containsText" dxfId="2492" priority="24" operator="containsText" text="Pulverização">
      <formula>NOT(ISERROR(SEARCH("Pulverização",B5)))</formula>
    </cfRule>
    <cfRule type="cellIs" dxfId="2491" priority="25" operator="greaterThan">
      <formula>$J$5</formula>
    </cfRule>
    <cfRule type="containsText" dxfId="2490" priority="26" operator="containsText" text="Cardã">
      <formula>NOT(ISERROR(SEARCH("Cardã",B5)))</formula>
    </cfRule>
    <cfRule type="containsText" dxfId="2489" priority="27" operator="containsText" text="Pneu">
      <formula>NOT(ISERROR(SEARCH("Pneu",B5)))</formula>
    </cfRule>
    <cfRule type="containsText" dxfId="2488" priority="28" operator="containsText" text="Vedação">
      <formula>NOT(ISERROR(SEARCH("Vedação",B5)))</formula>
    </cfRule>
    <cfRule type="containsText" dxfId="2487" priority="29" operator="containsText" text="Retentor">
      <formula>NOT(ISERROR(SEARCH("Retentor",B5)))</formula>
    </cfRule>
    <cfRule type="containsText" dxfId="2486" priority="30" operator="containsText" text="Motorredutor">
      <formula>NOT(ISERROR(SEARCH("Motorredutor",B5)))</formula>
    </cfRule>
    <cfRule type="containsText" dxfId="2485" priority="31" operator="containsText" text="Redutor">
      <formula>NOT(ISERROR(SEARCH("Redutor",B5)))</formula>
    </cfRule>
    <cfRule type="containsText" dxfId="2484" priority="32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73638623-E2AF-4F39-8E6A-023F5308A6AA}">
      <formula1>$J$5:$J$11</formula1>
    </dataValidation>
    <dataValidation type="list" allowBlank="1" showInputMessage="1" showErrorMessage="1" sqref="B5:H93" xr:uid="{CD338FA8-2E0B-488D-A10E-8905CA86F00A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8ED869BD-2845-4F7A-988D-323F8F9372C0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EF08E63D-4EC0-48AF-A95B-3B53F0DA9816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" operator="containsText" id="{EA8E2E05-7ABD-4D63-ACAA-22D2A13C148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6" operator="containsText" id="{655C3D53-9F45-497D-9B7C-016CB7DBEFD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" operator="containsText" id="{4823D7EE-10F6-4F9F-81D1-BBA6B5261D27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8" operator="containsText" id="{682BB259-3983-46B3-BEAD-AD07C68AFE5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9" operator="containsText" id="{B1360DC0-0114-465A-9682-634500AA849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0" operator="containsText" id="{353B2760-D3FF-4D3C-9EDD-F170AA60D82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7DA86674-ABD6-4504-9243-889AFA9FBDB3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1EABF58C-0141-49A7-8CDE-C17A9398A13B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063C6847-4746-4B00-A725-037C6E83A8E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C4CB5485-E217-4C09-B51D-8168EC23E1C5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86EB09C0-7BD6-460A-BC19-8E82F5B690DD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846D55CF-C84F-434D-A31B-BED77FFC047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2F34D86F-6B8E-4B7E-B171-92CC194FC465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3C3E9443-6076-460F-913C-57554A55C46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C4D531F2-0063-46DB-ABF5-A8BF1B6F137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" operator="containsText" id="{05628942-53BF-4C89-8B86-55854BC28317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63CE017D-71E2-4256-82CC-877F99D9099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1" operator="containsText" id="{5453718D-546A-4727-98DC-3F95F8B1B1A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3" operator="containsText" id="{EC2252E3-D318-4D99-B0C4-DA9E66A8D3D8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4" operator="containsText" id="{F2F1EACE-FE30-4362-AF8A-A70334985F7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5" operator="containsText" id="{625820CD-1472-409D-A5D6-05FADDE2996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6" operator="containsText" id="{271C9CCC-7104-4B96-BD10-77585FE7484F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7" operator="containsText" id="{3FAA3512-63FB-4D3B-A972-B5533F278D4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8" operator="containsText" id="{47A64C7D-95BC-4AF9-86DC-9753DC90E0B2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2619FFAC-4363-451B-B496-DCCEC566BF7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1" operator="containsText" id="{F1FF8966-0C24-4484-80C8-44C10297D1DD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8161-3DDB-4C0D-A8C7-450153BF50F9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23" sqref="J23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167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44774</v>
      </c>
      <c r="C3" s="11">
        <f t="shared" ref="C3:H3" si="0">B3+1</f>
        <v>44775</v>
      </c>
      <c r="D3" s="11">
        <f t="shared" si="0"/>
        <v>44776</v>
      </c>
      <c r="E3" s="11">
        <f t="shared" si="0"/>
        <v>44777</v>
      </c>
      <c r="F3" s="11">
        <f t="shared" si="0"/>
        <v>44778</v>
      </c>
      <c r="G3" s="11">
        <f t="shared" si="0"/>
        <v>44779</v>
      </c>
      <c r="H3" s="12">
        <f t="shared" si="0"/>
        <v>44780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4</v>
      </c>
      <c r="L5" s="54">
        <f t="shared" ref="L5:L19" si="2">K5/$K$20</f>
        <v>0.4</v>
      </c>
      <c r="M5" s="58">
        <f>B3</f>
        <v>44774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3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1</v>
      </c>
      <c r="L7" s="54">
        <f t="shared" si="2"/>
        <v>0.1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2</v>
      </c>
      <c r="L9" s="54">
        <f t="shared" si="2"/>
        <v>0.2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2</v>
      </c>
      <c r="L10" s="54">
        <f t="shared" si="2"/>
        <v>0.2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1</v>
      </c>
      <c r="L11" s="54">
        <f t="shared" si="2"/>
        <v>0.1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ref="K14:K19" si="4">COUNTIF($B$5:$H$93,J14)</f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4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4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4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4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4"/>
        <v>1</v>
      </c>
      <c r="L19" s="54">
        <f t="shared" si="2"/>
        <v>0.1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 t="s">
        <v>2</v>
      </c>
      <c r="K20" s="1">
        <f>SUM(K5:K18)</f>
        <v>10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 t="s">
        <v>30</v>
      </c>
      <c r="D27" s="9"/>
      <c r="E27" s="9"/>
      <c r="F27" s="9"/>
      <c r="G27" s="9"/>
      <c r="H27" s="9" t="s">
        <v>30</v>
      </c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 t="s">
        <v>127</v>
      </c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 t="s">
        <v>118</v>
      </c>
      <c r="F61" s="9" t="s">
        <v>4</v>
      </c>
      <c r="G61" s="9" t="s">
        <v>4</v>
      </c>
      <c r="H61" s="9"/>
    </row>
    <row r="62" spans="1:8" x14ac:dyDescent="0.25">
      <c r="A62" s="6" t="s">
        <v>84</v>
      </c>
      <c r="B62" s="9"/>
      <c r="C62" s="9"/>
      <c r="D62" s="9"/>
      <c r="E62" s="9" t="s">
        <v>118</v>
      </c>
      <c r="F62" s="9" t="s">
        <v>4</v>
      </c>
      <c r="G62" s="9" t="s">
        <v>4</v>
      </c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 t="s">
        <v>168</v>
      </c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 t="s">
        <v>10</v>
      </c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475" priority="41" operator="containsText" text="Pivô">
      <formula>NOT(ISERROR(SEARCH("Pivô",A1)))</formula>
    </cfRule>
    <cfRule type="containsText" dxfId="2474" priority="40" operator="containsText" text="Pivô">
      <formula>NOT(ISERROR(SEARCH("Pivô",A1)))</formula>
    </cfRule>
  </conditionalFormatting>
  <conditionalFormatting sqref="B5:H93">
    <cfRule type="containsText" dxfId="2472" priority="3" operator="containsText" text="Desponte">
      <formula>NOT(ISERROR(SEARCH("Desponte",B5)))</formula>
    </cfRule>
  </conditionalFormatting>
  <conditionalFormatting sqref="B5:H95">
    <cfRule type="containsText" dxfId="2451" priority="25" operator="containsText" text="Pulverização">
      <formula>NOT(ISERROR(SEARCH("Pulverização",B5)))</formula>
    </cfRule>
    <cfRule type="cellIs" dxfId="2450" priority="26" operator="greaterThan">
      <formula>$J$5</formula>
    </cfRule>
    <cfRule type="containsText" dxfId="2449" priority="27" operator="containsText" text="Cardã">
      <formula>NOT(ISERROR(SEARCH("Cardã",B5)))</formula>
    </cfRule>
    <cfRule type="containsText" dxfId="2448" priority="28" operator="containsText" text="Pneu">
      <formula>NOT(ISERROR(SEARCH("Pneu",B5)))</formula>
    </cfRule>
    <cfRule type="containsText" dxfId="2447" priority="29" operator="containsText" text="Vedação">
      <formula>NOT(ISERROR(SEARCH("Vedação",B5)))</formula>
    </cfRule>
    <cfRule type="containsText" dxfId="2446" priority="30" operator="containsText" text="Retentor">
      <formula>NOT(ISERROR(SEARCH("Retentor",B5)))</formula>
    </cfRule>
    <cfRule type="containsText" dxfId="2445" priority="31" operator="containsText" text="Motorredutor">
      <formula>NOT(ISERROR(SEARCH("Motorredutor",B5)))</formula>
    </cfRule>
    <cfRule type="containsText" dxfId="2444" priority="32" operator="containsText" text="Redutor">
      <formula>NOT(ISERROR(SEARCH("Redutor",B5)))</formula>
    </cfRule>
    <cfRule type="containsText" dxfId="2443" priority="33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05860D85-B9B8-4473-9A6C-DE99D95A567D}">
      <formula1>$J$5:$J$19</formula1>
    </dataValidation>
    <dataValidation type="list" allowBlank="1" showInputMessage="1" showErrorMessage="1" sqref="B94:H95" xr:uid="{4794052C-6DB7-43A7-913C-D7C54870C943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0088E93-1D0F-4922-90D4-ADCDE63B9853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D87ADAF9-51BD-42EA-B355-41D7D92F3264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33B14ECB-DE93-4E19-BC68-FDA5BAF409F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3189423E-4FAA-448F-98EE-0BB383F3B819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74E67446-0051-466D-8EAD-8AE8DDB37132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964A9103-9244-4575-A6C6-C12038A9F03E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8A842461-58E1-4419-82D1-3195616BE28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4889420C-6961-456E-A08B-5C40BF438B3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B4D82A11-F056-43B7-BD81-8940EE59F90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B2BD7B3C-A730-4EE2-A8B3-ED3AFE03E27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DE955F57-44AC-45AB-ADA8-EC6F7C6D4350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F59746E7-FC24-4C40-9E57-1DDFA119D8A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D012D173-BAE0-4279-9F9B-28418F083037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44AA4A72-B51F-4900-B1F7-E70C217C3837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0E1ED061-0B12-48AB-AADD-F3A75C9098F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4F0D7FE8-D404-45A9-9A80-1A000977BCA5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30B7DD3B-BB92-4DA0-8E8C-B567EEE63232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" operator="containsText" id="{624F4E69-242D-474D-832C-340201EEE512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2" operator="containsText" id="{D31259A7-6BAF-478B-9EAC-8D9D03C9F6C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4" operator="containsText" id="{F40B53FF-5123-43E6-A8AF-EE52C6C321E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1" operator="containsText" id="{75D09BBF-2F3F-413C-BBA7-C2D3412E94A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4" operator="containsText" id="{F8C136E4-B7F8-4BDF-A680-7D3D7D77AAFC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5" operator="containsText" id="{0488D813-BDC1-4283-A075-C715FB56A7B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6" operator="containsText" id="{5D201ECC-483A-44E2-B809-DA7FD62F528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7" operator="containsText" id="{07B892FE-C2B5-4679-8C7E-E1C8B08818E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8" operator="containsText" id="{98C18050-9825-45EF-8FBA-92F1633F41B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9" operator="containsText" id="{8C622D01-90A6-4B83-A354-3168BE62324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3" operator="containsText" id="{AB2819FC-6C89-47C7-B644-C2E889AD5FB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CF4DA3F4-DE09-4778-ABF2-E6E2A4BBA5E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3BAD-74BF-4542-958E-DBED9962F3BC}">
  <sheetPr>
    <tabColor rgb="FF92D050"/>
    <pageSetUpPr fitToPage="1"/>
  </sheetPr>
  <dimension ref="A1:P93"/>
  <sheetViews>
    <sheetView showGridLines="0" topLeftCell="D1" zoomScaleNormal="100" workbookViewId="0">
      <pane ySplit="4" topLeftCell="A5" activePane="bottomLeft" state="frozen"/>
      <selection pane="bottomLeft" activeCell="J5" sqref="J5:M19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169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44781</v>
      </c>
      <c r="C3" s="11">
        <f t="shared" ref="C3:H3" si="0">B3+1</f>
        <v>44782</v>
      </c>
      <c r="D3" s="11">
        <f t="shared" si="0"/>
        <v>44783</v>
      </c>
      <c r="E3" s="11">
        <f t="shared" si="0"/>
        <v>44784</v>
      </c>
      <c r="F3" s="11">
        <f t="shared" si="0"/>
        <v>44785</v>
      </c>
      <c r="G3" s="11">
        <f t="shared" si="0"/>
        <v>44786</v>
      </c>
      <c r="H3" s="12">
        <f t="shared" si="0"/>
        <v>44787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2</v>
      </c>
      <c r="L5" s="54">
        <f t="shared" ref="L5:L19" si="2">K5/$K$20</f>
        <v>0.18181818181818182</v>
      </c>
      <c r="M5" s="58">
        <f>B3</f>
        <v>44781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2</v>
      </c>
      <c r="L6" s="54">
        <f t="shared" si="2"/>
        <v>0.18181818181818182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1</v>
      </c>
      <c r="L8" s="54">
        <f t="shared" si="2"/>
        <v>9.0909090909090912E-2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1</v>
      </c>
      <c r="L9" s="54">
        <f t="shared" si="2"/>
        <v>9.0909090909090912E-2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2</v>
      </c>
      <c r="L11" s="54">
        <f t="shared" si="2"/>
        <v>0.18181818181818182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 t="s">
        <v>7</v>
      </c>
      <c r="G14" s="9"/>
      <c r="H14" s="9"/>
      <c r="J14" s="39" t="s">
        <v>13</v>
      </c>
      <c r="K14" s="1">
        <f t="shared" si="3"/>
        <v>1</v>
      </c>
      <c r="L14" s="54">
        <f t="shared" si="2"/>
        <v>9.0909090909090912E-2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 t="s">
        <v>13</v>
      </c>
      <c r="F16" s="9"/>
      <c r="G16" s="9"/>
      <c r="H16" s="9"/>
      <c r="J16" s="53" t="s">
        <v>15</v>
      </c>
      <c r="K16" s="1">
        <f t="shared" si="3"/>
        <v>1</v>
      </c>
      <c r="L16" s="54">
        <f t="shared" si="2"/>
        <v>9.0909090909090912E-2</v>
      </c>
    </row>
    <row r="17" spans="1:12" x14ac:dyDescent="0.25">
      <c r="A17" s="6" t="s">
        <v>39</v>
      </c>
      <c r="B17" s="9"/>
      <c r="C17" s="9"/>
      <c r="D17" s="9"/>
      <c r="E17" s="9"/>
      <c r="F17" s="9" t="s">
        <v>15</v>
      </c>
      <c r="G17" s="9"/>
      <c r="H17" s="9"/>
      <c r="J17" s="56" t="s">
        <v>16</v>
      </c>
      <c r="K17" s="1">
        <f t="shared" si="3"/>
        <v>1</v>
      </c>
      <c r="L17" s="54">
        <f t="shared" si="2"/>
        <v>9.0909090909090912E-2</v>
      </c>
    </row>
    <row r="18" spans="1:12" x14ac:dyDescent="0.25">
      <c r="A18" s="6" t="s">
        <v>40</v>
      </c>
      <c r="B18" s="9"/>
      <c r="C18" s="9"/>
      <c r="D18" s="9"/>
      <c r="E18" s="9" t="s">
        <v>16</v>
      </c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 t="s">
        <v>2</v>
      </c>
      <c r="K20" s="1">
        <f>SUM(K5:K18)</f>
        <v>11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 t="s">
        <v>5</v>
      </c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 t="s">
        <v>30</v>
      </c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 t="s">
        <v>5</v>
      </c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 t="s">
        <v>4</v>
      </c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 t="s">
        <v>4</v>
      </c>
      <c r="H51" s="9"/>
    </row>
    <row r="52" spans="1:8" x14ac:dyDescent="0.25">
      <c r="A52" s="6" t="s">
        <v>74</v>
      </c>
      <c r="B52" s="9" t="s">
        <v>10</v>
      </c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 t="s">
        <v>10</v>
      </c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434" priority="41" operator="containsText" text="Pivô">
      <formula>NOT(ISERROR(SEARCH("Pivô",A1)))</formula>
    </cfRule>
    <cfRule type="containsText" dxfId="2433" priority="40" operator="containsText" text="Pivô">
      <formula>NOT(ISERROR(SEARCH("Pivô",A1)))</formula>
    </cfRule>
  </conditionalFormatting>
  <conditionalFormatting sqref="B5:H93">
    <cfRule type="containsText" dxfId="2431" priority="3" operator="containsText" text="Desponte">
      <formula>NOT(ISERROR(SEARCH("Desponte",B5)))</formula>
    </cfRule>
  </conditionalFormatting>
  <conditionalFormatting sqref="B5:H95">
    <cfRule type="containsText" dxfId="2410" priority="25" operator="containsText" text="Pulverização">
      <formula>NOT(ISERROR(SEARCH("Pulverização",B5)))</formula>
    </cfRule>
    <cfRule type="cellIs" dxfId="2409" priority="26" operator="greaterThan">
      <formula>$J$5</formula>
    </cfRule>
    <cfRule type="containsText" dxfId="2408" priority="27" operator="containsText" text="Cardã">
      <formula>NOT(ISERROR(SEARCH("Cardã",B5)))</formula>
    </cfRule>
    <cfRule type="containsText" dxfId="2407" priority="28" operator="containsText" text="Pneu">
      <formula>NOT(ISERROR(SEARCH("Pneu",B5)))</formula>
    </cfRule>
    <cfRule type="containsText" dxfId="2406" priority="29" operator="containsText" text="Vedação">
      <formula>NOT(ISERROR(SEARCH("Vedação",B5)))</formula>
    </cfRule>
    <cfRule type="containsText" dxfId="2405" priority="30" operator="containsText" text="Retentor">
      <formula>NOT(ISERROR(SEARCH("Retentor",B5)))</formula>
    </cfRule>
    <cfRule type="containsText" dxfId="2404" priority="31" operator="containsText" text="Motorredutor">
      <formula>NOT(ISERROR(SEARCH("Motorredutor",B5)))</formula>
    </cfRule>
    <cfRule type="containsText" dxfId="2403" priority="32" operator="containsText" text="Redutor">
      <formula>NOT(ISERROR(SEARCH("Redutor",B5)))</formula>
    </cfRule>
    <cfRule type="containsText" dxfId="2402" priority="33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02789FD0-CB90-4481-B2BB-3F2D86F43C44}">
      <formula1>$J$5:$J$11</formula1>
    </dataValidation>
    <dataValidation type="list" allowBlank="1" showInputMessage="1" showErrorMessage="1" sqref="B5:H93" xr:uid="{145E7750-592A-43F7-BD53-A702F1EA578F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5E36CDA-C4F9-4F86-BCA3-FB98A51108F2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066EBD4A-5FEA-481E-99B3-BACE1FC0D396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22790495-33F5-416B-B9F4-7C578554D2F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EC177880-0A66-4B5E-845A-F393673EC20C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171CE592-798D-4497-BF27-DBB3D6FB863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C6555317-E3CE-40BB-8B36-8CDBB87A2A06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72993445-E334-4AB4-AE68-A00FB6C8100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2123F4F5-C858-40F4-8CB0-EEA30F29CF6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0939502B-C3B3-4C01-81A3-67BB30D799E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1D8051E7-EBFB-4C10-BFD7-7266091091E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2CF77C4F-3954-43B9-9380-91E651BA9ED9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70D8FD15-9FB9-4667-B17C-EB5DC8F3F2A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A2558A51-EE4F-4245-83BB-921F6B2A5CFF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47F06A9A-D3C8-42AC-88BC-56C297037FFB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FF982525-0805-4C2B-8AC6-28ADDF3E808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C0957478-D7ED-4D7A-85D8-54686EEC74A6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9106F081-FD5A-4E3D-A472-D0290ED5D622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" operator="containsText" id="{FB6D7DB9-0B2F-4910-91F4-C0E9DF2CDDC8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2" operator="containsText" id="{5043E9A1-CF5D-4EA5-891A-91DFEC36DAE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4" operator="containsText" id="{C761AE2C-B2F6-42C4-9831-B3E72344BF7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1" operator="containsText" id="{935798E6-2689-486D-856D-D2EDF056476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4" operator="containsText" id="{1A6EEDDA-98E9-4D28-B7C3-BB063AEDF861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5" operator="containsText" id="{CBF2374F-2E02-430B-8CF2-A500C6CB602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6" operator="containsText" id="{C4C327D7-5314-4CF2-ABC0-5B9D7B3CD984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7" operator="containsText" id="{91093AF1-8D98-4B6C-9755-EF9C78B1124D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8" operator="containsText" id="{5EC95F7B-9BEA-45CB-AA90-1072CA4E75A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9" operator="containsText" id="{C17A2C21-A33B-40E1-AEA9-BEEEFCEDE782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3" operator="containsText" id="{8387EFB6-746C-4D7F-AD1D-8BB403BCE13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0C625CFE-ACFB-456B-942A-03BC56ED26F5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18E4-1A99-4453-8FBF-6F3DB7779AED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L23" sqref="L23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170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44788</v>
      </c>
      <c r="C3" s="11">
        <f t="shared" ref="C3:H3" si="0">B3+1</f>
        <v>44789</v>
      </c>
      <c r="D3" s="11">
        <f t="shared" si="0"/>
        <v>44790</v>
      </c>
      <c r="E3" s="11">
        <f t="shared" si="0"/>
        <v>44791</v>
      </c>
      <c r="F3" s="11">
        <f t="shared" si="0"/>
        <v>44792</v>
      </c>
      <c r="G3" s="11">
        <f t="shared" si="0"/>
        <v>44793</v>
      </c>
      <c r="H3" s="12">
        <f t="shared" si="0"/>
        <v>44794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0</v>
      </c>
      <c r="L5" s="54">
        <f t="shared" ref="L5:L19" si="2">K5/$K$20</f>
        <v>0</v>
      </c>
      <c r="M5" s="58">
        <f>B3</f>
        <v>44788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3</v>
      </c>
      <c r="L6" s="54">
        <f t="shared" si="2"/>
        <v>0.25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1</v>
      </c>
      <c r="L8" s="54">
        <f t="shared" si="2"/>
        <v>8.3333333333333329E-2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3</v>
      </c>
      <c r="L9" s="54">
        <f t="shared" si="2"/>
        <v>0.25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 t="s">
        <v>7</v>
      </c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2</v>
      </c>
      <c r="L15" s="54">
        <f t="shared" si="2"/>
        <v>0.16666666666666666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1</v>
      </c>
      <c r="L16" s="54">
        <f t="shared" si="2"/>
        <v>8.3333333333333329E-2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2</v>
      </c>
      <c r="L17" s="54">
        <f t="shared" si="2"/>
        <v>0.16666666666666666</v>
      </c>
    </row>
    <row r="18" spans="1:12" x14ac:dyDescent="0.25">
      <c r="A18" s="6" t="s">
        <v>40</v>
      </c>
      <c r="B18" s="9"/>
      <c r="C18" s="9" t="s">
        <v>16</v>
      </c>
      <c r="D18" s="9"/>
      <c r="E18" s="9"/>
      <c r="F18" s="9" t="s">
        <v>16</v>
      </c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 t="s">
        <v>2</v>
      </c>
      <c r="K20" s="1">
        <f>SUM(K5:K18)</f>
        <v>12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 t="s">
        <v>15</v>
      </c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 t="s">
        <v>30</v>
      </c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 t="s">
        <v>5</v>
      </c>
      <c r="D47" s="9" t="s">
        <v>30</v>
      </c>
      <c r="E47" s="9"/>
      <c r="F47" s="9" t="s">
        <v>30</v>
      </c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 t="s">
        <v>5</v>
      </c>
      <c r="F50" s="9"/>
      <c r="G50" s="9"/>
      <c r="H50" s="9"/>
    </row>
    <row r="51" spans="1:8" x14ac:dyDescent="0.25">
      <c r="A51" s="6" t="s">
        <v>73</v>
      </c>
      <c r="B51" s="9"/>
      <c r="C51" s="9" t="s">
        <v>5</v>
      </c>
      <c r="D51" s="9"/>
      <c r="E51" s="9"/>
      <c r="F51" s="9"/>
      <c r="G51" s="9"/>
      <c r="H51" s="9"/>
    </row>
    <row r="52" spans="1:8" x14ac:dyDescent="0.25">
      <c r="A52" s="6" t="s">
        <v>74</v>
      </c>
      <c r="B52" s="9" t="s">
        <v>121</v>
      </c>
      <c r="C52" s="9" t="s">
        <v>121</v>
      </c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393" priority="41" operator="containsText" text="Pivô">
      <formula>NOT(ISERROR(SEARCH("Pivô",A1)))</formula>
    </cfRule>
    <cfRule type="containsText" dxfId="2392" priority="40" operator="containsText" text="Pivô">
      <formula>NOT(ISERROR(SEARCH("Pivô",A1)))</formula>
    </cfRule>
  </conditionalFormatting>
  <conditionalFormatting sqref="B5:H93">
    <cfRule type="containsText" dxfId="2390" priority="3" operator="containsText" text="Desponte">
      <formula>NOT(ISERROR(SEARCH("Desponte",B5)))</formula>
    </cfRule>
  </conditionalFormatting>
  <conditionalFormatting sqref="B5:H95">
    <cfRule type="containsText" dxfId="2369" priority="25" operator="containsText" text="Pulverização">
      <formula>NOT(ISERROR(SEARCH("Pulverização",B5)))</formula>
    </cfRule>
    <cfRule type="cellIs" dxfId="2368" priority="26" operator="greaterThan">
      <formula>$J$5</formula>
    </cfRule>
    <cfRule type="containsText" dxfId="2367" priority="27" operator="containsText" text="Cardã">
      <formula>NOT(ISERROR(SEARCH("Cardã",B5)))</formula>
    </cfRule>
    <cfRule type="containsText" dxfId="2366" priority="28" operator="containsText" text="Pneu">
      <formula>NOT(ISERROR(SEARCH("Pneu",B5)))</formula>
    </cfRule>
    <cfRule type="containsText" dxfId="2365" priority="29" operator="containsText" text="Vedação">
      <formula>NOT(ISERROR(SEARCH("Vedação",B5)))</formula>
    </cfRule>
    <cfRule type="containsText" dxfId="2364" priority="30" operator="containsText" text="Retentor">
      <formula>NOT(ISERROR(SEARCH("Retentor",B5)))</formula>
    </cfRule>
    <cfRule type="containsText" dxfId="2363" priority="31" operator="containsText" text="Motorredutor">
      <formula>NOT(ISERROR(SEARCH("Motorredutor",B5)))</formula>
    </cfRule>
    <cfRule type="containsText" dxfId="2362" priority="32" operator="containsText" text="Redutor">
      <formula>NOT(ISERROR(SEARCH("Redutor",B5)))</formula>
    </cfRule>
    <cfRule type="containsText" dxfId="2361" priority="33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09E56CAB-CE06-4835-B6BD-55C6446D332C}">
      <formula1>$J$5:$J$19</formula1>
    </dataValidation>
    <dataValidation type="list" allowBlank="1" showInputMessage="1" showErrorMessage="1" sqref="B94:H95" xr:uid="{42DE02E9-761D-489C-B1BE-9C4E5176433F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5224FA3-F456-4685-A496-FBDED6C48DA4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BC080761-57CB-4448-B85E-52001350382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79086AF9-5343-4BC8-9444-00B2D9E4138B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B0822B2C-A976-4CB5-80F0-0120B13EBAF6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9CD1DCA2-AA84-4F0C-A26D-ABBDA0EA5CD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CB3628CB-18D2-4721-873C-BFEE279F1FE1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A378A397-DA2E-4346-ABDC-EFB67FF9CF1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FE76B217-FC06-4A28-83C6-F94F0B203CB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9BF61CC6-6355-4714-9485-962ED0C701E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B2BB45F0-A6EF-4314-AE6F-8BD1B0839FB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56C416EA-7A8D-46CA-8418-50E688BA3A9E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AA1341B2-30B9-42FE-B8E5-E0661D534C9C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9376EDCE-7DAC-46E4-9718-09F096C7EF87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FC38F384-CDC9-4C1F-B7A2-038A6143639F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A0DD5477-2922-41DD-A5E0-70885D1DBD8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7EA7E05F-B42C-4207-B205-B012634DF24B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2E8EB8F6-BA37-4766-B4E5-5D836CF661B4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" operator="containsText" id="{527DBF2A-DC8D-41F7-A010-5ECF427A19C1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2" operator="containsText" id="{558644FE-8505-4C06-872A-6A7D21D1386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4" operator="containsText" id="{8DE7FEB8-9F2F-4ED8-BF54-C7EE945329E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1" operator="containsText" id="{2853E08C-0E4A-48B3-812C-C50B54A014A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4" operator="containsText" id="{F0F2878E-886F-442C-AC0C-6115B1052532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5" operator="containsText" id="{72879F42-899E-43A1-A92F-F092C8AADCB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6" operator="containsText" id="{AE86D167-C624-470E-BB11-40F166EE3B1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7" operator="containsText" id="{062145C4-2020-49C7-ACA3-1880F9CC407C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8" operator="containsText" id="{88694600-4E79-40EC-AF2C-A7F1A098E6B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9" operator="containsText" id="{7C878956-5A06-4463-AC77-C916A086269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3" operator="containsText" id="{EA13C413-C34E-4E7A-9762-D3F10339774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BB34C013-5D91-4899-B8E0-7B6AA595C04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0202-5600-4E08-B814-18B54A28F332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L19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171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44795</v>
      </c>
      <c r="C3" s="11">
        <f t="shared" ref="C3:H3" si="0">B3+1</f>
        <v>44796</v>
      </c>
      <c r="D3" s="11">
        <f t="shared" si="0"/>
        <v>44797</v>
      </c>
      <c r="E3" s="11">
        <f t="shared" si="0"/>
        <v>44798</v>
      </c>
      <c r="F3" s="11">
        <f t="shared" si="0"/>
        <v>44799</v>
      </c>
      <c r="G3" s="11">
        <f t="shared" si="0"/>
        <v>44800</v>
      </c>
      <c r="H3" s="12">
        <f t="shared" si="0"/>
        <v>44801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19" si="2">K5/$K$20</f>
        <v>0.21428571428571427</v>
      </c>
      <c r="M5" s="58">
        <f>B3</f>
        <v>44795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2</v>
      </c>
      <c r="L6" s="54">
        <f t="shared" si="2"/>
        <v>0.14285714285714285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3</v>
      </c>
      <c r="L8" s="54">
        <f t="shared" si="2"/>
        <v>0.21428571428571427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2</v>
      </c>
      <c r="L9" s="54">
        <f t="shared" si="2"/>
        <v>0.14285714285714285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 t="s">
        <v>7</v>
      </c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0</v>
      </c>
      <c r="L14" s="54">
        <f t="shared" si="2"/>
        <v>0</v>
      </c>
    </row>
    <row r="15" spans="1:16" x14ac:dyDescent="0.25">
      <c r="A15" s="6" t="s">
        <v>37</v>
      </c>
      <c r="B15" s="9" t="s">
        <v>7</v>
      </c>
      <c r="C15" s="9" t="s">
        <v>7</v>
      </c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1</v>
      </c>
      <c r="L16" s="54">
        <f t="shared" si="2"/>
        <v>7.1428571428571425E-2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2</v>
      </c>
      <c r="L17" s="54">
        <f t="shared" si="2"/>
        <v>0.14285714285714285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1</v>
      </c>
      <c r="L19" s="54">
        <f t="shared" si="2"/>
        <v>7.1428571428571425E-2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7" t="s">
        <v>2</v>
      </c>
      <c r="K20" s="1">
        <f>SUM(K5:K19)</f>
        <v>14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/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 t="s">
        <v>168</v>
      </c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 t="s">
        <v>4</v>
      </c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 t="s">
        <v>30</v>
      </c>
      <c r="C37" s="9" t="s">
        <v>30</v>
      </c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 t="s">
        <v>5</v>
      </c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 t="s">
        <v>4</v>
      </c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 t="s">
        <v>4</v>
      </c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 t="s">
        <v>5</v>
      </c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 t="s">
        <v>15</v>
      </c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 t="s">
        <v>16</v>
      </c>
      <c r="C86" s="9"/>
      <c r="D86" s="9" t="s">
        <v>16</v>
      </c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352" priority="41" operator="containsText" text="Pivô">
      <formula>NOT(ISERROR(SEARCH("Pivô",A1)))</formula>
    </cfRule>
    <cfRule type="containsText" dxfId="2351" priority="40" operator="containsText" text="Pivô">
      <formula>NOT(ISERROR(SEARCH("Pivô",A1)))</formula>
    </cfRule>
  </conditionalFormatting>
  <conditionalFormatting sqref="B5:H93">
    <cfRule type="containsText" dxfId="2349" priority="3" operator="containsText" text="Desponte">
      <formula>NOT(ISERROR(SEARCH("Desponte",B5)))</formula>
    </cfRule>
  </conditionalFormatting>
  <conditionalFormatting sqref="B5:H95">
    <cfRule type="containsText" dxfId="2328" priority="25" operator="containsText" text="Pulverização">
      <formula>NOT(ISERROR(SEARCH("Pulverização",B5)))</formula>
    </cfRule>
    <cfRule type="cellIs" dxfId="2327" priority="26" operator="greaterThan">
      <formula>$J$5</formula>
    </cfRule>
    <cfRule type="containsText" dxfId="2326" priority="27" operator="containsText" text="Cardã">
      <formula>NOT(ISERROR(SEARCH("Cardã",B5)))</formula>
    </cfRule>
    <cfRule type="containsText" dxfId="2325" priority="28" operator="containsText" text="Pneu">
      <formula>NOT(ISERROR(SEARCH("Pneu",B5)))</formula>
    </cfRule>
    <cfRule type="containsText" dxfId="2324" priority="29" operator="containsText" text="Vedação">
      <formula>NOT(ISERROR(SEARCH("Vedação",B5)))</formula>
    </cfRule>
    <cfRule type="containsText" dxfId="2323" priority="30" operator="containsText" text="Retentor">
      <formula>NOT(ISERROR(SEARCH("Retentor",B5)))</formula>
    </cfRule>
    <cfRule type="containsText" dxfId="2322" priority="31" operator="containsText" text="Motorredutor">
      <formula>NOT(ISERROR(SEARCH("Motorredutor",B5)))</formula>
    </cfRule>
    <cfRule type="containsText" dxfId="2321" priority="32" operator="containsText" text="Redutor">
      <formula>NOT(ISERROR(SEARCH("Redutor",B5)))</formula>
    </cfRule>
    <cfRule type="containsText" dxfId="2320" priority="33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5402BDEA-61F0-495D-8A81-E9C70F047F77}">
      <formula1>$J$5:$J$11</formula1>
    </dataValidation>
    <dataValidation type="list" allowBlank="1" showInputMessage="1" showErrorMessage="1" sqref="B5:H93" xr:uid="{52E1A3FA-E6D9-4315-85B1-CB125A257934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B9496FB-017E-4C1F-BC43-7D677B36A098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17628959-4F6F-4A6A-AFDE-13695C74A6E4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AAAA5613-2DF3-47E1-9D00-6EDC17F2FB3B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7F8E4EBE-12C3-419E-B1A5-8FBF453C23B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A0966EE7-4CF8-4A1D-A1EB-9E22A7A7D523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A2294271-C58C-4A31-A553-C1E9777A0F3D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007FB274-3C98-4853-B708-DADD5899B41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4907AC70-F0AE-4698-B655-4D2803E5FA1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56A0A705-1B5B-4941-AE84-BC94A8382B3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3EA33151-AD7A-45C6-A11B-0FDF82E2E36D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219758B1-63D5-4376-BDC2-D9F6A6243A1D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5DA17D87-62C3-488C-AED0-6950087FB89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0A7F7CCF-087F-49A8-A48F-673D54B12895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AAC9E47B-754A-4CC7-89BD-DB95233D664B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580F027C-3364-4A71-9AF8-D4EB25E4A82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BEBE4D23-A113-4FF6-A9CE-27E318A113A2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1F350C80-9B59-4DC1-907E-DD127A948FE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" operator="containsText" id="{C4561B71-3040-4241-B338-B556A2BC231F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2" operator="containsText" id="{7008C266-A927-4FD6-A309-C11A8871DBE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4" operator="containsText" id="{E62A99C5-3F99-4971-9611-654DD33F8D6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1" operator="containsText" id="{EE60697A-178B-449B-85A5-297B2AFD701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4" operator="containsText" id="{69F1A059-9A8E-4E89-BAD6-EEADC64D46E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5" operator="containsText" id="{47B5E228-B2C4-42E9-9F37-FAF461043DC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6" operator="containsText" id="{4EB26E06-4A09-4979-B1C0-B3D624FB04C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7" operator="containsText" id="{DCF8D429-A241-4A57-8D5F-CEB892ABCE8F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8" operator="containsText" id="{72D8B8B3-453D-4755-B2C0-506E4B73570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9" operator="containsText" id="{885087F8-3549-49C0-A693-CD2467A92B1F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3" operator="containsText" id="{FC1D8251-37EA-46C4-959C-923A7841C51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F66914C4-FBEA-43FA-B5E9-7E11F72FDEA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F665-D1BA-4C4C-B31E-4822373E0713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L20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172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44802</v>
      </c>
      <c r="C3" s="11">
        <f t="shared" ref="C3:H3" si="0">B3+1</f>
        <v>44803</v>
      </c>
      <c r="D3" s="11">
        <f t="shared" si="0"/>
        <v>44804</v>
      </c>
      <c r="E3" s="11">
        <f t="shared" si="0"/>
        <v>44805</v>
      </c>
      <c r="F3" s="11">
        <f t="shared" si="0"/>
        <v>44806</v>
      </c>
      <c r="G3" s="11">
        <f t="shared" si="0"/>
        <v>44807</v>
      </c>
      <c r="H3" s="12">
        <f t="shared" si="0"/>
        <v>44808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 t="s">
        <v>5</v>
      </c>
      <c r="G5" s="8" t="s">
        <v>4</v>
      </c>
      <c r="H5" s="8"/>
      <c r="J5" s="20" t="s">
        <v>4</v>
      </c>
      <c r="K5" s="1">
        <f>COUNTIF($B$5:$H$93,J5)</f>
        <v>1</v>
      </c>
      <c r="L5" s="54">
        <f t="shared" ref="L5:L20" si="2">K5/$K$21</f>
        <v>4.5454545454545456E-2</v>
      </c>
      <c r="M5" s="58">
        <f>B3</f>
        <v>44802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20" si="3">COUNTIF($B$5:$H$93,J6)</f>
        <v>1</v>
      </c>
      <c r="L6" s="54">
        <f t="shared" si="2"/>
        <v>4.5454545454545456E-2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1</v>
      </c>
      <c r="L8" s="54">
        <f t="shared" si="2"/>
        <v>4.5454545454545456E-2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1</v>
      </c>
      <c r="L9" s="54">
        <f t="shared" si="2"/>
        <v>4.5454545454545456E-2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2</v>
      </c>
      <c r="L10" s="54">
        <f t="shared" si="2"/>
        <v>9.0909090909090912E-2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4.5454545454545456E-2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2</v>
      </c>
      <c r="L14" s="54">
        <f t="shared" si="2"/>
        <v>9.0909090909090912E-2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 t="s">
        <v>7</v>
      </c>
      <c r="E16" s="9"/>
      <c r="F16" s="9"/>
      <c r="G16" s="9"/>
      <c r="H16" s="9"/>
      <c r="J16" s="53" t="s">
        <v>15</v>
      </c>
      <c r="K16" s="1">
        <f t="shared" si="3"/>
        <v>5</v>
      </c>
      <c r="L16" s="54">
        <f t="shared" si="2"/>
        <v>0.22727272727272727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1</v>
      </c>
      <c r="L17" s="54">
        <f t="shared" si="2"/>
        <v>4.5454545454545456E-2</v>
      </c>
    </row>
    <row r="18" spans="1:12" x14ac:dyDescent="0.25">
      <c r="A18" s="6" t="s">
        <v>40</v>
      </c>
      <c r="B18" s="9"/>
      <c r="C18" s="9"/>
      <c r="D18" s="9" t="s">
        <v>12</v>
      </c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4" t="s">
        <v>173</v>
      </c>
      <c r="K20" s="1">
        <f t="shared" si="3"/>
        <v>7</v>
      </c>
      <c r="L20" s="54">
        <f t="shared" si="2"/>
        <v>0.31818181818181818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7" t="s">
        <v>2</v>
      </c>
      <c r="K21" s="1">
        <f>SUM(K5:K20)</f>
        <v>22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 t="s">
        <v>15</v>
      </c>
      <c r="C27" s="9"/>
      <c r="D27" s="9"/>
      <c r="E27" s="9"/>
      <c r="F27" s="9" t="s">
        <v>15</v>
      </c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 t="s">
        <v>13</v>
      </c>
      <c r="C35" s="9" t="s">
        <v>13</v>
      </c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 t="s">
        <v>30</v>
      </c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 t="s">
        <v>118</v>
      </c>
      <c r="G48" s="9" t="s">
        <v>118</v>
      </c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 t="s">
        <v>173</v>
      </c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 t="s">
        <v>173</v>
      </c>
      <c r="H56" s="9" t="s">
        <v>173</v>
      </c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 t="s">
        <v>15</v>
      </c>
      <c r="C61" s="9" t="s">
        <v>15</v>
      </c>
      <c r="D61" s="9" t="s">
        <v>15</v>
      </c>
      <c r="E61" s="9"/>
      <c r="F61" s="9"/>
      <c r="G61" s="9" t="s">
        <v>173</v>
      </c>
      <c r="H61" s="9" t="s">
        <v>173</v>
      </c>
    </row>
    <row r="62" spans="1:8" x14ac:dyDescent="0.25">
      <c r="A62" s="6" t="s">
        <v>84</v>
      </c>
      <c r="B62" s="9"/>
      <c r="C62" s="9"/>
      <c r="D62" s="9"/>
      <c r="E62" s="9"/>
      <c r="F62" s="9"/>
      <c r="G62" s="9" t="s">
        <v>173</v>
      </c>
      <c r="H62" s="9" t="s">
        <v>173</v>
      </c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 t="s">
        <v>16</v>
      </c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311" priority="42" operator="containsText" text="Pivô">
      <formula>NOT(ISERROR(SEARCH("Pivô",A1)))</formula>
    </cfRule>
    <cfRule type="containsText" dxfId="2310" priority="41" operator="containsText" text="Pivô">
      <formula>NOT(ISERROR(SEARCH("Pivô",A1)))</formula>
    </cfRule>
  </conditionalFormatting>
  <conditionalFormatting sqref="B5:H93">
    <cfRule type="containsText" dxfId="2307" priority="4" operator="containsText" text="Desponte">
      <formula>NOT(ISERROR(SEARCH("Desponte",B5)))</formula>
    </cfRule>
  </conditionalFormatting>
  <conditionalFormatting sqref="B5:H95">
    <cfRule type="containsText" dxfId="2286" priority="26" operator="containsText" text="Pulverização">
      <formula>NOT(ISERROR(SEARCH("Pulverização",B5)))</formula>
    </cfRule>
    <cfRule type="cellIs" dxfId="2285" priority="27" operator="greaterThan">
      <formula>$J$5</formula>
    </cfRule>
    <cfRule type="containsText" dxfId="2284" priority="28" operator="containsText" text="Cardã">
      <formula>NOT(ISERROR(SEARCH("Cardã",B5)))</formula>
    </cfRule>
    <cfRule type="containsText" dxfId="2283" priority="29" operator="containsText" text="Pneu">
      <formula>NOT(ISERROR(SEARCH("Pneu",B5)))</formula>
    </cfRule>
    <cfRule type="containsText" dxfId="2282" priority="30" operator="containsText" text="Vedação">
      <formula>NOT(ISERROR(SEARCH("Vedação",B5)))</formula>
    </cfRule>
    <cfRule type="containsText" dxfId="2281" priority="31" operator="containsText" text="Retentor">
      <formula>NOT(ISERROR(SEARCH("Retentor",B5)))</formula>
    </cfRule>
    <cfRule type="containsText" dxfId="2280" priority="33" operator="containsText" text="Redutor">
      <formula>NOT(ISERROR(SEARCH("Redutor",B5)))</formula>
    </cfRule>
    <cfRule type="containsText" dxfId="2279" priority="34" operator="containsText" text="Bomba">
      <formula>NOT(ISERROR(SEARCH("Bomba",B5)))</formula>
    </cfRule>
    <cfRule type="containsText" dxfId="2276" priority="32" operator="containsText" text="Motorredutor">
      <formula>NOT(ISERROR(SEARCH("Motorredutor",B5)))</formula>
    </cfRule>
  </conditionalFormatting>
  <dataValidations count="2">
    <dataValidation type="list" allowBlank="1" showInputMessage="1" showErrorMessage="1" sqref="B5:H93" xr:uid="{51B4CC2A-23C9-4956-AA07-0057F2D1E975}">
      <formula1>$J$5:$J$20</formula1>
    </dataValidation>
    <dataValidation type="list" allowBlank="1" showInputMessage="1" showErrorMessage="1" sqref="B94:H95" xr:uid="{9F0400E3-F3AA-42F7-A89A-9248ECCA489B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05AF19F-8939-495D-901C-13E11FAE02DC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" operator="containsText" id="{9E1F9F50-4059-4EA8-B7B7-A9C0B525D47E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" operator="containsText" id="{5C2C87A1-32F2-4442-9AEC-A4B78E9D5445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B474EE7F-7050-4542-AD03-560334D5328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3D36AA20-3CBF-411F-AE64-6A115213DD6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8" operator="containsText" id="{484EBEAF-FDC9-499C-AB0E-3FFC6B6BE6B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9" operator="containsText" id="{034FA63A-ACEB-4A27-83D5-567DD4D1EE5A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10" operator="containsText" id="{BCAB33A8-2ACA-4F65-A598-97F205BF036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1" operator="containsText" id="{0B7B1A8B-D2BC-4C19-A9D6-4BED1C96FA3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2" operator="containsText" id="{3529004C-C0B1-4D5A-B395-D84285B6B19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4" operator="containsText" id="{B086AD84-3C66-4EAF-A2DB-1567CACC8C9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A8FF331C-A193-44BD-8ED6-77C967A382EB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6" operator="containsText" id="{3D7D1128-0C65-4A80-8979-9B2F7A4B6A5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247CBEEC-139F-4704-943D-4E764D08AF6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8" operator="containsText" id="{F7E880ED-FBB8-4633-B8A5-A89EEC8EE55B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9" operator="containsText" id="{78B82D11-DC2C-4E3F-833C-888BEC07E33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20" operator="containsText" id="{7F03F351-1C2B-49A5-B09A-46214CCB3EAE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1" operator="containsText" id="{7766CD05-428C-4F76-94E2-48F174D7C85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2" operator="containsText" id="{EAF90654-2247-4E48-BC1E-D545FAD5D9A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3" operator="containsText" id="{7B82807A-2A57-473D-923E-1BA9FED2878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5" operator="containsText" id="{7BBE2AD0-BB11-4244-ACBC-217A1D41C86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" operator="containsText" id="{6E24F56F-DADD-4FD9-95F0-3A8A15BC2541}">
            <xm:f>NOT(ISERROR(SEARCH($J$20,B5)))</xm:f>
            <xm:f>$J$20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5" operator="containsText" id="{BFC4DC7B-9CB6-47B6-9C28-FE9920D59B7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6" operator="containsText" id="{C8F8B08E-E161-4002-9B19-E9FCDE6876E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8" operator="containsText" id="{294A57A9-4C46-4E78-BF60-63B4E72BD6D9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9" operator="containsText" id="{502FD5A0-CAAB-47E4-8E65-63A30925AAB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0" operator="containsText" id="{3646E4D1-B58C-45AC-A1DF-D4E4062154DB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0A32F5D6-891B-4865-8C18-A7B5C7E2A18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7" operator="containsText" id="{90E576B1-CCE2-47FD-A240-3AB86DF9E1C7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3" operator="containsText" id="{63D95410-D2C6-4965-A3C7-0127BE2F401D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2DEC-0565-458C-98EC-C7583C73261B}">
  <sheetPr>
    <tabColor rgb="FF92D050"/>
    <pageSetUpPr fitToPage="1"/>
  </sheetPr>
  <dimension ref="A1:P93"/>
  <sheetViews>
    <sheetView showGridLines="0" topLeftCell="G1" zoomScaleNormal="100" workbookViewId="0">
      <pane ySplit="4" topLeftCell="A5" activePane="bottomLeft" state="frozen"/>
      <selection pane="bottomLeft" activeCell="L7" sqref="L7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174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44809</v>
      </c>
      <c r="C3" s="11">
        <f t="shared" ref="C3:H3" si="0">B3+1</f>
        <v>44810</v>
      </c>
      <c r="D3" s="11">
        <f t="shared" si="0"/>
        <v>44811</v>
      </c>
      <c r="E3" s="11">
        <f t="shared" si="0"/>
        <v>44812</v>
      </c>
      <c r="F3" s="11">
        <f t="shared" si="0"/>
        <v>44813</v>
      </c>
      <c r="G3" s="11">
        <f t="shared" si="0"/>
        <v>44814</v>
      </c>
      <c r="H3" s="12">
        <f t="shared" si="0"/>
        <v>44815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0</v>
      </c>
      <c r="L5" s="54">
        <f t="shared" ref="L5:L20" si="2">K5/$K$21</f>
        <v>0</v>
      </c>
      <c r="M5" s="58">
        <f>B3</f>
        <v>44809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20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2</v>
      </c>
      <c r="L8" s="54">
        <f t="shared" si="2"/>
        <v>0.15384615384615385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2</v>
      </c>
      <c r="L10" s="54">
        <f t="shared" si="2"/>
        <v>0.15384615384615385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 t="s">
        <v>7</v>
      </c>
      <c r="D14" s="9"/>
      <c r="E14" s="9"/>
      <c r="F14" s="9"/>
      <c r="G14" s="9"/>
      <c r="H14" s="9"/>
      <c r="J14" s="39" t="s">
        <v>13</v>
      </c>
      <c r="K14" s="1">
        <f t="shared" si="3"/>
        <v>3</v>
      </c>
      <c r="L14" s="54">
        <f t="shared" si="2"/>
        <v>0.23076923076923078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1</v>
      </c>
      <c r="L15" s="54">
        <f t="shared" si="2"/>
        <v>7.6923076923076927E-2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1</v>
      </c>
      <c r="L17" s="54">
        <f t="shared" si="2"/>
        <v>7.6923076923076927E-2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4" t="s">
        <v>173</v>
      </c>
      <c r="K20" s="1">
        <f t="shared" si="3"/>
        <v>4</v>
      </c>
      <c r="L20" s="54">
        <f t="shared" si="2"/>
        <v>0.30769230769230771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 t="s">
        <v>118</v>
      </c>
      <c r="H21" s="9"/>
      <c r="J21" s="7" t="s">
        <v>2</v>
      </c>
      <c r="K21" s="1">
        <f>SUM(K5:K20)</f>
        <v>13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/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 t="s">
        <v>13</v>
      </c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 t="s">
        <v>13</v>
      </c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 t="s">
        <v>118</v>
      </c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 t="s">
        <v>13</v>
      </c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 t="s">
        <v>16</v>
      </c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 t="s">
        <v>173</v>
      </c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 t="s">
        <v>121</v>
      </c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 t="s">
        <v>173</v>
      </c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 t="s">
        <v>173</v>
      </c>
      <c r="C62" s="9"/>
      <c r="D62" s="9"/>
      <c r="E62" s="9" t="s">
        <v>173</v>
      </c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 t="s">
        <v>7</v>
      </c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269" priority="42" operator="containsText" text="Pivô">
      <formula>NOT(ISERROR(SEARCH("Pivô",A1)))</formula>
    </cfRule>
    <cfRule type="containsText" dxfId="2268" priority="41" operator="containsText" text="Pivô">
      <formula>NOT(ISERROR(SEARCH("Pivô",A1)))</formula>
    </cfRule>
  </conditionalFormatting>
  <conditionalFormatting sqref="B5:H93">
    <cfRule type="containsText" dxfId="2265" priority="4" operator="containsText" text="Desponte">
      <formula>NOT(ISERROR(SEARCH("Desponte",B5)))</formula>
    </cfRule>
  </conditionalFormatting>
  <conditionalFormatting sqref="B5:H95">
    <cfRule type="containsText" dxfId="2244" priority="26" operator="containsText" text="Pulverização">
      <formula>NOT(ISERROR(SEARCH("Pulverização",B5)))</formula>
    </cfRule>
    <cfRule type="cellIs" dxfId="2243" priority="27" operator="greaterThan">
      <formula>$J$5</formula>
    </cfRule>
    <cfRule type="containsText" dxfId="2242" priority="28" operator="containsText" text="Cardã">
      <formula>NOT(ISERROR(SEARCH("Cardã",B5)))</formula>
    </cfRule>
    <cfRule type="containsText" dxfId="2241" priority="29" operator="containsText" text="Pneu">
      <formula>NOT(ISERROR(SEARCH("Pneu",B5)))</formula>
    </cfRule>
    <cfRule type="containsText" dxfId="2240" priority="30" operator="containsText" text="Vedação">
      <formula>NOT(ISERROR(SEARCH("Vedação",B5)))</formula>
    </cfRule>
    <cfRule type="containsText" dxfId="2239" priority="31" operator="containsText" text="Retentor">
      <formula>NOT(ISERROR(SEARCH("Retentor",B5)))</formula>
    </cfRule>
    <cfRule type="containsText" dxfId="2238" priority="33" operator="containsText" text="Redutor">
      <formula>NOT(ISERROR(SEARCH("Redutor",B5)))</formula>
    </cfRule>
    <cfRule type="containsText" dxfId="2237" priority="34" operator="containsText" text="Bomba">
      <formula>NOT(ISERROR(SEARCH("Bomba",B5)))</formula>
    </cfRule>
    <cfRule type="containsText" dxfId="2234" priority="32" operator="containsText" text="Motorredutor">
      <formula>NOT(ISERROR(SEARCH("Motorredutor",B5)))</formula>
    </cfRule>
  </conditionalFormatting>
  <dataValidations count="2">
    <dataValidation type="list" allowBlank="1" showInputMessage="1" showErrorMessage="1" sqref="B94:H95" xr:uid="{4A35AF1D-F915-4637-865D-9B5F0B88F9DC}">
      <formula1>$J$5:$J$11</formula1>
    </dataValidation>
    <dataValidation type="list" allowBlank="1" showInputMessage="1" showErrorMessage="1" sqref="B5:H93" xr:uid="{6DE95545-C7A9-47FA-AE7E-76C7A5D1BCEB}">
      <formula1>$J$5:$J$20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9DD5BD8-3CE6-423C-B9EC-C3C8CE46C1CE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" operator="containsText" id="{CF52551B-D542-473F-B9F3-C3FD55A2B891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" operator="containsText" id="{E6A86E94-05E4-42CE-8B7C-13B11AF1D76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1F89C251-2CFE-4782-B25C-A7342386F5B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F5D07E13-480C-4039-A1B1-008B61BE7487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8" operator="containsText" id="{E634260A-6E2E-4F4B-8C0E-D507D53B30A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9" operator="containsText" id="{3CB50DF9-A636-4B08-86D0-3A5B76CEBF9E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10" operator="containsText" id="{71C8D90A-A21F-45C4-9BE1-DE904BBE1F9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1" operator="containsText" id="{32F81BA4-62EF-4F8D-BEF7-2067A7C6D18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2" operator="containsText" id="{4774907C-1673-4B69-811A-B61A82B712A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4" operator="containsText" id="{235D1F1F-749C-43DF-A97A-B0752FD4A07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98C73D7C-501F-41FB-AFC3-8DDE68BCDAAF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6" operator="containsText" id="{63BA689A-B059-42C5-BF91-B1A2DFE8DCD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AB8EE151-2A94-41D0-AD5E-2CCB165DAE3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8" operator="containsText" id="{3660188A-743A-45D6-9F54-70365AC81E7F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9" operator="containsText" id="{8FA3ABBD-659F-4C61-91C4-FE324FE3A48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20" operator="containsText" id="{0E7A9645-BB27-4F9C-BCFE-25ADA0FBF695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1" operator="containsText" id="{1EDE6D77-A5C6-4162-9E14-C041EFBD06B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2" operator="containsText" id="{890D460C-A0BD-4363-B157-95803B1E27D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3" operator="containsText" id="{EADFF46C-BDE9-49C6-9F8A-AEEF97728BB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5" operator="containsText" id="{638BD32B-F17F-4FC4-B55A-AB90934866D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" operator="containsText" id="{252F8B0E-B9B1-48BB-8F3F-6CACE827B0D9}">
            <xm:f>NOT(ISERROR(SEARCH($J$20,B5)))</xm:f>
            <xm:f>$J$20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5" operator="containsText" id="{05395222-9C3C-4943-A7E7-0502F4D1BA88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6" operator="containsText" id="{D10A45FC-66E6-49DE-AC33-E524B86AF00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8" operator="containsText" id="{08C42848-9B88-4E25-BEEA-DFF96CEA127A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9" operator="containsText" id="{6DF78955-1507-4F36-9E53-93152F3F9CC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0" operator="containsText" id="{A89092CD-AE60-445E-9C4A-7AAC46E0AF03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1C6D6956-EBC6-48CD-B439-10BCDDDE40A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7" operator="containsText" id="{A59265B9-214B-4ECD-9278-8B6158B7296A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3" operator="containsText" id="{6ECC4F63-A590-4F09-A632-25CF29AAC8A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2B48-E4DD-4D45-9998-80ED88EE781C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L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175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44816</v>
      </c>
      <c r="C3" s="11">
        <f t="shared" ref="C3:H3" si="0">B3+1</f>
        <v>44817</v>
      </c>
      <c r="D3" s="11">
        <f t="shared" si="0"/>
        <v>44818</v>
      </c>
      <c r="E3" s="11">
        <f t="shared" si="0"/>
        <v>44819</v>
      </c>
      <c r="F3" s="11">
        <f t="shared" si="0"/>
        <v>44820</v>
      </c>
      <c r="G3" s="11">
        <f t="shared" si="0"/>
        <v>44821</v>
      </c>
      <c r="H3" s="12">
        <f t="shared" si="0"/>
        <v>44822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 t="s">
        <v>168</v>
      </c>
      <c r="F5" s="8"/>
      <c r="G5" s="8"/>
      <c r="H5" s="8"/>
      <c r="J5" s="20" t="s">
        <v>4</v>
      </c>
      <c r="K5" s="1">
        <f>COUNTIF($B$5:$H$93,J5)</f>
        <v>5</v>
      </c>
      <c r="L5" s="54">
        <f t="shared" ref="L5:L21" si="2">K5/$K$22</f>
        <v>0.21739130434782608</v>
      </c>
      <c r="M5" s="58">
        <f>B3</f>
        <v>44816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2</v>
      </c>
      <c r="L6" s="54">
        <f t="shared" si="2"/>
        <v>8.6956521739130432E-2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3</v>
      </c>
      <c r="L13" s="54">
        <f t="shared" si="2"/>
        <v>0.13043478260869565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1</v>
      </c>
      <c r="L14" s="54">
        <f t="shared" si="2"/>
        <v>4.3478260869565216E-2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1</v>
      </c>
      <c r="L15" s="54">
        <f t="shared" si="2"/>
        <v>4.3478260869565216E-2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1</v>
      </c>
      <c r="L19" s="54">
        <f t="shared" si="2"/>
        <v>4.3478260869565216E-2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10</v>
      </c>
      <c r="L20" s="54">
        <f t="shared" si="2"/>
        <v>0.43478260869565216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23</v>
      </c>
    </row>
    <row r="23" spans="1:12" x14ac:dyDescent="0.25">
      <c r="A23" s="6" t="s">
        <v>45</v>
      </c>
      <c r="B23" s="9" t="s">
        <v>12</v>
      </c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 t="s">
        <v>121</v>
      </c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 t="s">
        <v>4</v>
      </c>
      <c r="F36" s="9"/>
      <c r="G36" s="9"/>
      <c r="H36" s="9"/>
    </row>
    <row r="37" spans="1:8" x14ac:dyDescent="0.25">
      <c r="A37" s="6" t="s">
        <v>59</v>
      </c>
      <c r="B37" s="9" t="s">
        <v>13</v>
      </c>
      <c r="C37" s="9"/>
      <c r="D37" s="9" t="s">
        <v>4</v>
      </c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 t="s">
        <v>4</v>
      </c>
      <c r="C54" s="9"/>
      <c r="D54" s="9" t="s">
        <v>5</v>
      </c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 t="s">
        <v>4</v>
      </c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 t="s">
        <v>5</v>
      </c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 t="s">
        <v>4</v>
      </c>
      <c r="D61" s="9"/>
      <c r="E61" s="9"/>
      <c r="F61" s="9"/>
      <c r="G61" s="9"/>
      <c r="H61" s="9"/>
    </row>
    <row r="62" spans="1:8" x14ac:dyDescent="0.25">
      <c r="A62" s="6" t="s">
        <v>84</v>
      </c>
      <c r="B62" s="9" t="s">
        <v>12</v>
      </c>
      <c r="C62" s="9" t="s">
        <v>12</v>
      </c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 t="s">
        <v>176</v>
      </c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 t="s">
        <v>176</v>
      </c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 t="s">
        <v>176</v>
      </c>
      <c r="D74" s="9" t="s">
        <v>176</v>
      </c>
      <c r="E74" s="9" t="s">
        <v>176</v>
      </c>
      <c r="F74" s="9" t="s">
        <v>176</v>
      </c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 t="s">
        <v>176</v>
      </c>
      <c r="D76" s="9" t="s">
        <v>176</v>
      </c>
      <c r="E76" s="9" t="s">
        <v>176</v>
      </c>
      <c r="F76" s="9"/>
      <c r="G76" s="9" t="s">
        <v>176</v>
      </c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227" priority="42" operator="containsText" text="Pivô">
      <formula>NOT(ISERROR(SEARCH("Pivô",A1)))</formula>
    </cfRule>
    <cfRule type="containsText" dxfId="2226" priority="43" operator="containsText" text="Pivô">
      <formula>NOT(ISERROR(SEARCH("Pivô",A1)))</formula>
    </cfRule>
  </conditionalFormatting>
  <conditionalFormatting sqref="B5:H93">
    <cfRule type="containsText" dxfId="2224" priority="5" operator="containsText" text="Desponte">
      <formula>NOT(ISERROR(SEARCH("Desponte",B5)))</formula>
    </cfRule>
    <cfRule type="containsText" dxfId="2196" priority="126" operator="containsText" text="Cardã">
      <formula>NOT(ISERROR(SEARCH("Cardã",B5)))</formula>
    </cfRule>
    <cfRule type="cellIs" dxfId="2195" priority="123" operator="equal">
      <formula>$J$20</formula>
    </cfRule>
    <cfRule type="containsText" dxfId="2194" priority="124" operator="containsText" text="Pulverização">
      <formula>NOT(ISERROR(SEARCH("Pulverização",B5)))</formula>
    </cfRule>
    <cfRule type="cellIs" dxfId="2193" priority="125" operator="greaterThan">
      <formula>$J$5</formula>
    </cfRule>
    <cfRule type="containsText" dxfId="2192" priority="127" operator="containsText" text="Pneu">
      <formula>NOT(ISERROR(SEARCH("Pneu",B5)))</formula>
    </cfRule>
    <cfRule type="containsText" dxfId="2191" priority="128" operator="containsText" text="Vedação">
      <formula>NOT(ISERROR(SEARCH("Vedação",B5)))</formula>
    </cfRule>
    <cfRule type="containsText" dxfId="2190" priority="129" operator="containsText" text="Retentor">
      <formula>NOT(ISERROR(SEARCH("Retentor",B5)))</formula>
    </cfRule>
    <cfRule type="containsText" dxfId="2189" priority="130" operator="containsText" text="Motorredutor">
      <formula>NOT(ISERROR(SEARCH("Motorredutor",B5)))</formula>
    </cfRule>
    <cfRule type="containsText" dxfId="2188" priority="131" operator="containsText" text="Redutor">
      <formula>NOT(ISERROR(SEARCH("Redutor",B5)))</formula>
    </cfRule>
    <cfRule type="containsText" dxfId="2187" priority="132" operator="containsText" text="Bomba">
      <formula>NOT(ISERROR(SEARCH("Bomba",B5)))</formula>
    </cfRule>
  </conditionalFormatting>
  <conditionalFormatting sqref="B94:H95">
    <cfRule type="containsText" dxfId="2179" priority="46" operator="containsText" text="Pulverização">
      <formula>NOT(ISERROR(SEARCH("Pulverização",B94)))</formula>
    </cfRule>
    <cfRule type="cellIs" dxfId="2178" priority="47" operator="greaterThan">
      <formula>$J$5</formula>
    </cfRule>
    <cfRule type="containsText" dxfId="2177" priority="48" operator="containsText" text="Cardã">
      <formula>NOT(ISERROR(SEARCH("Cardã",B94)))</formula>
    </cfRule>
    <cfRule type="containsText" dxfId="2176" priority="49" operator="containsText" text="Pneu">
      <formula>NOT(ISERROR(SEARCH("Pneu",B94)))</formula>
    </cfRule>
    <cfRule type="containsText" dxfId="2175" priority="50" operator="containsText" text="Vedação">
      <formula>NOT(ISERROR(SEARCH("Vedação",B94)))</formula>
    </cfRule>
    <cfRule type="containsText" dxfId="2174" priority="51" operator="containsText" text="Retentor">
      <formula>NOT(ISERROR(SEARCH("Retentor",B94)))</formula>
    </cfRule>
    <cfRule type="containsText" dxfId="2173" priority="52" operator="containsText" text="Motorredutor">
      <formula>NOT(ISERROR(SEARCH("Motorredutor",B94)))</formula>
    </cfRule>
    <cfRule type="containsText" dxfId="2172" priority="53" operator="containsText" text="Redutor">
      <formula>NOT(ISERROR(SEARCH("Redutor",B94)))</formula>
    </cfRule>
    <cfRule type="containsText" dxfId="2171" priority="54" operator="containsText" text="Bomba">
      <formula>NOT(ISERROR(SEARCH("Bomba",B94)))</formula>
    </cfRule>
  </conditionalFormatting>
  <dataValidations count="2">
    <dataValidation type="list" allowBlank="1" showInputMessage="1" showErrorMessage="1" sqref="B94:H95" xr:uid="{53F78FB4-AA52-43D8-A192-E93FF06B8A30}">
      <formula1>$J$5:$J$11</formula1>
    </dataValidation>
    <dataValidation type="list" allowBlank="1" showInputMessage="1" showErrorMessage="1" sqref="B5:H93" xr:uid="{34D6B95B-42A6-48FE-A680-797EA5DE59CE}">
      <formula1>$J$5:$J$20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C44EC060-1C80-4BCA-8693-939782E21F06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629E3D9F-9E03-4869-886D-5A8D5BE3F7B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" operator="containsText" id="{CFC9A2CB-DDAD-4597-B393-C3D8AA68C69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8" operator="containsText" id="{2F5CB938-3D85-4810-8C52-09EADD03C7B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9" operator="containsText" id="{4F6E63F7-341C-4492-BC82-24807A5AEA9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0" operator="containsText" id="{03825057-F647-47FF-90DE-6556A266570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11" operator="containsText" id="{720176F3-F319-4BCF-B27F-96623344E1F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2" operator="containsText" id="{95083920-D423-4A19-88CE-77C9685577D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3" operator="containsText" id="{06D424FF-9F34-4971-A559-BCA486C5352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5" operator="containsText" id="{9013D77F-2C4E-4EB1-8EFC-3FDD0D003749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A7819281-B06B-4CF7-9B78-1B6E0DCFB83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7" operator="containsText" id="{07B8AFCC-815B-431C-93E2-576634CD5F0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8" operator="containsText" id="{871315E3-AD82-408F-9747-2E60D174282C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9" operator="containsText" id="{B5496302-BD94-43DF-8187-B25F94407EF1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20" operator="containsText" id="{441571A9-0D83-478A-B009-8D6F0941A20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21" operator="containsText" id="{211843CE-EC05-4ED1-866C-F79E8FA3C859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2" operator="containsText" id="{2DC10843-9488-4D9C-8AD5-2F75344D45A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3" operator="containsText" id="{0A5DFC7C-E96E-4D44-B47D-15D738D5DA7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4" operator="containsText" id="{89BF9E65-51F9-4A06-BA49-73F4F3A778F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7AD475ED-AABD-4F24-AA0A-249B56332A4D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6" operator="containsText" id="{B39937BD-6890-489D-A032-B0FE75BC7BD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3AACB8A9-8671-4E80-BE61-5F6E0D57B4D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7" operator="containsText" id="{3DC5ACBB-5ACA-4F43-9843-96BCE37E490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8" operator="containsText" id="{F2063ED1-3999-4127-8D56-23E03AAD080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CFC1E698-C481-4FC6-A896-6AC4D5238F6C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0" operator="containsText" id="{0884D887-9992-4B32-AFA3-6213CFC4035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49" operator="containsText" id="{D69F38A6-44B9-4C7C-BF7A-A6F9C991DBE6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" operator="containsText" id="{0C80124E-556B-4B92-954B-D669E718D445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5" operator="containsText" id="{2A4A7457-F24A-4D83-A826-E6D6C8C7A8DA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4" operator="containsText" id="{AC0A7C1F-CAC1-456A-98D3-940007B9F75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  <x14:conditionalFormatting xmlns:xm="http://schemas.microsoft.com/office/excel/2006/main">
          <x14:cfRule type="containsText" priority="55" operator="containsText" id="{E2AA7FC1-9B81-4ABC-BB63-8535F3BE97C7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6" operator="containsText" id="{AADDA162-0C15-4544-9EC6-74D56E892A78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8" operator="containsText" id="{156D0787-4E0D-47E5-B29E-4649075CA2F2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9" operator="containsText" id="{5264CCE3-7672-46F6-ABF3-796CCC8CB255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60" operator="containsText" id="{B9D042E3-6C31-4D1D-B3DB-715901EF6326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57" operator="containsText" id="{7D885EDF-2016-44A1-BD22-C334CB8D1AFC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B94:H95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DD10-7063-4CDF-BC24-4BF4747B3327}">
  <sheetPr>
    <tabColor rgb="FF92D050"/>
    <pageSetUpPr fitToPage="1"/>
  </sheetPr>
  <dimension ref="A1:P93"/>
  <sheetViews>
    <sheetView showGridLines="0" topLeftCell="B1" zoomScaleNormal="100" workbookViewId="0">
      <pane ySplit="4" topLeftCell="A5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177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44823</v>
      </c>
      <c r="C3" s="11">
        <f t="shared" ref="C3:H3" si="0">B3+1</f>
        <v>44824</v>
      </c>
      <c r="D3" s="11">
        <f t="shared" si="0"/>
        <v>44825</v>
      </c>
      <c r="E3" s="11">
        <f t="shared" si="0"/>
        <v>44826</v>
      </c>
      <c r="F3" s="11">
        <f t="shared" si="0"/>
        <v>44827</v>
      </c>
      <c r="G3" s="11">
        <f t="shared" si="0"/>
        <v>44828</v>
      </c>
      <c r="H3" s="12">
        <f t="shared" si="0"/>
        <v>44829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21" si="2">K5/$K$22</f>
        <v>0.13636363636363635</v>
      </c>
      <c r="M5" s="58">
        <f>B3</f>
        <v>44823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1</v>
      </c>
      <c r="L6" s="54">
        <f t="shared" si="2"/>
        <v>4.5454545454545456E-2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1</v>
      </c>
      <c r="L8" s="54">
        <f t="shared" si="2"/>
        <v>4.5454545454545456E-2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2</v>
      </c>
      <c r="L14" s="54">
        <f t="shared" si="2"/>
        <v>9.0909090909090912E-2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1</v>
      </c>
      <c r="L17" s="54">
        <f t="shared" si="2"/>
        <v>4.5454545454545456E-2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14</v>
      </c>
      <c r="L20" s="54">
        <f t="shared" si="2"/>
        <v>0.63636363636363635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22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 t="s">
        <v>4</v>
      </c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 t="s">
        <v>176</v>
      </c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 t="s">
        <v>4</v>
      </c>
      <c r="D36" s="9"/>
      <c r="E36" s="9" t="s">
        <v>5</v>
      </c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 t="s">
        <v>4</v>
      </c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 t="s">
        <v>16</v>
      </c>
      <c r="F51" s="9"/>
      <c r="G51" s="9"/>
      <c r="H51" s="9"/>
    </row>
    <row r="52" spans="1:8" x14ac:dyDescent="0.25">
      <c r="A52" s="6" t="s">
        <v>74</v>
      </c>
      <c r="B52" s="9"/>
      <c r="C52" s="9"/>
      <c r="D52" s="9" t="s">
        <v>7</v>
      </c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 t="s">
        <v>176</v>
      </c>
      <c r="C63" s="9" t="s">
        <v>176</v>
      </c>
      <c r="D63" s="9"/>
      <c r="E63" s="9" t="s">
        <v>176</v>
      </c>
      <c r="F63" s="9" t="s">
        <v>176</v>
      </c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 t="s">
        <v>176</v>
      </c>
      <c r="C65" s="9" t="s">
        <v>176</v>
      </c>
      <c r="D65" s="9" t="s">
        <v>176</v>
      </c>
      <c r="E65" s="9" t="s">
        <v>176</v>
      </c>
      <c r="F65" s="9" t="s">
        <v>176</v>
      </c>
      <c r="G65" s="9"/>
      <c r="H65" s="9"/>
    </row>
    <row r="66" spans="1:8" x14ac:dyDescent="0.25">
      <c r="A66" s="6" t="s">
        <v>88</v>
      </c>
      <c r="B66" s="9"/>
      <c r="C66" s="9"/>
      <c r="D66" s="9" t="s">
        <v>176</v>
      </c>
      <c r="E66" s="9" t="s">
        <v>176</v>
      </c>
      <c r="F66" s="9" t="s">
        <v>176</v>
      </c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 t="s">
        <v>176</v>
      </c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 t="s">
        <v>13</v>
      </c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 t="s">
        <v>13</v>
      </c>
      <c r="F93" s="9"/>
      <c r="G93" s="9"/>
      <c r="H93" s="9"/>
    </row>
  </sheetData>
  <mergeCells count="1">
    <mergeCell ref="A1:H2"/>
  </mergeCells>
  <conditionalFormatting sqref="A1:A1048576">
    <cfRule type="containsText" dxfId="2169" priority="31" operator="containsText" text="Pivô">
      <formula>NOT(ISERROR(SEARCH("Pivô",A1)))</formula>
    </cfRule>
    <cfRule type="containsText" dxfId="2168" priority="32" operator="containsText" text="Pivô">
      <formula>NOT(ISERROR(SEARCH("Pivô",A1)))</formula>
    </cfRule>
  </conditionalFormatting>
  <conditionalFormatting sqref="B5:H93">
    <cfRule type="containsText" dxfId="2166" priority="3" operator="containsText" text="Desponte">
      <formula>NOT(ISERROR(SEARCH("Desponte",B5)))</formula>
    </cfRule>
    <cfRule type="containsText" dxfId="2138" priority="53" operator="containsText" text="Cardã">
      <formula>NOT(ISERROR(SEARCH("Cardã",B5)))</formula>
    </cfRule>
    <cfRule type="cellIs" dxfId="2137" priority="50" operator="equal">
      <formula>$J$20</formula>
    </cfRule>
    <cfRule type="containsText" dxfId="2136" priority="51" operator="containsText" text="Pulverização">
      <formula>NOT(ISERROR(SEARCH("Pulverização",B5)))</formula>
    </cfRule>
    <cfRule type="cellIs" dxfId="2135" priority="52" operator="greaterThan">
      <formula>$J$5</formula>
    </cfRule>
    <cfRule type="containsText" dxfId="2134" priority="54" operator="containsText" text="Pneu">
      <formula>NOT(ISERROR(SEARCH("Pneu",B5)))</formula>
    </cfRule>
    <cfRule type="containsText" dxfId="2133" priority="55" operator="containsText" text="Vedação">
      <formula>NOT(ISERROR(SEARCH("Vedação",B5)))</formula>
    </cfRule>
    <cfRule type="containsText" dxfId="2132" priority="56" operator="containsText" text="Retentor">
      <formula>NOT(ISERROR(SEARCH("Retentor",B5)))</formula>
    </cfRule>
    <cfRule type="containsText" dxfId="2131" priority="57" operator="containsText" text="Motorredutor">
      <formula>NOT(ISERROR(SEARCH("Motorredutor",B5)))</formula>
    </cfRule>
    <cfRule type="containsText" dxfId="2130" priority="58" operator="containsText" text="Redutor">
      <formula>NOT(ISERROR(SEARCH("Redutor",B5)))</formula>
    </cfRule>
    <cfRule type="containsText" dxfId="2129" priority="59" operator="containsText" text="Bomba">
      <formula>NOT(ISERROR(SEARCH("Bomba",B5)))</formula>
    </cfRule>
  </conditionalFormatting>
  <conditionalFormatting sqref="B94:H95">
    <cfRule type="containsText" dxfId="2121" priority="35" operator="containsText" text="Pulverização">
      <formula>NOT(ISERROR(SEARCH("Pulverização",B94)))</formula>
    </cfRule>
    <cfRule type="cellIs" dxfId="2120" priority="36" operator="greaterThan">
      <formula>$J$5</formula>
    </cfRule>
    <cfRule type="containsText" dxfId="2119" priority="37" operator="containsText" text="Cardã">
      <formula>NOT(ISERROR(SEARCH("Cardã",B94)))</formula>
    </cfRule>
    <cfRule type="containsText" dxfId="2118" priority="38" operator="containsText" text="Pneu">
      <formula>NOT(ISERROR(SEARCH("Pneu",B94)))</formula>
    </cfRule>
    <cfRule type="containsText" dxfId="2117" priority="39" operator="containsText" text="Vedação">
      <formula>NOT(ISERROR(SEARCH("Vedação",B94)))</formula>
    </cfRule>
    <cfRule type="containsText" dxfId="2116" priority="40" operator="containsText" text="Retentor">
      <formula>NOT(ISERROR(SEARCH("Retentor",B94)))</formula>
    </cfRule>
    <cfRule type="containsText" dxfId="2115" priority="41" operator="containsText" text="Motorredutor">
      <formula>NOT(ISERROR(SEARCH("Motorredutor",B94)))</formula>
    </cfRule>
    <cfRule type="containsText" dxfId="2114" priority="42" operator="containsText" text="Redutor">
      <formula>NOT(ISERROR(SEARCH("Redutor",B94)))</formula>
    </cfRule>
    <cfRule type="containsText" dxfId="2113" priority="43" operator="containsText" text="Bomba">
      <formula>NOT(ISERROR(SEARCH("Bomba",B94)))</formula>
    </cfRule>
  </conditionalFormatting>
  <dataValidations count="2">
    <dataValidation type="list" allowBlank="1" showInputMessage="1" showErrorMessage="1" sqref="B5:H93" xr:uid="{BF451E80-10F2-4943-B4F4-314F6B189B16}">
      <formula1>$J$5:$J$20</formula1>
    </dataValidation>
    <dataValidation type="list" allowBlank="1" showInputMessage="1" showErrorMessage="1" sqref="B94:H95" xr:uid="{196DD04B-3682-4017-8025-5904558E1128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43FD295-64C3-4FE8-9DEF-64ABA9F2D102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49C00D4A-733F-419C-A367-BDA0E46E5B8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DC7DC638-7283-4E75-B8D0-EB9336BAB98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6F1784D2-3ECE-43BC-A21D-412CE43C8A3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F957AEE2-0C11-40FD-9F3A-465C25B8092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92AFC120-D9C6-43FA-AEC5-ECC245ED8C33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982AF727-CFFF-4D99-BEE4-BE0954417E1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AD5D0A27-35BD-4A71-9C49-89280B433D1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E34112BA-8A09-40A2-B38D-D84E233612B2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18428CE8-0412-43C7-B92D-2E2224CF3E6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DD0868C6-DACE-40AA-AAA3-4912E95D055F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0C6C6233-E135-407D-922D-061AA9E0B59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683D6524-9D55-4BCE-8A02-64480333B17A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69327AD2-9954-4096-89B2-2722E93CC36D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F1B31457-321A-4D62-B823-8FD1C799271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C77EFE22-D48E-493A-B508-577EF5C9151E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B5494B89-BA86-48B5-95F5-D3541D1D31A1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1" operator="containsText" id="{627797B0-8322-4EA4-8155-6E5D99FCF8C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F03454EB-D345-4319-B353-A9EAE524DEA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30" operator="containsText" id="{12645FF9-255B-445A-B3A9-E293599EDD06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2398338C-7711-4BB7-8620-749A75C8793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5" operator="containsText" id="{C86C5C50-09C6-4519-BC80-B5AFD323B9BD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6" operator="containsText" id="{B58460E2-2219-463C-A224-9D693F03975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27" operator="containsText" id="{4B5FEBE9-016C-40E3-8CBC-0901A8827D1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03DD12A4-21BF-4054-A2F0-9931C846BF7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9" operator="containsText" id="{AF21CA07-A735-4E13-94DF-3F0864E4957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60" operator="containsText" id="{767819E3-18D1-4D9F-9E14-DF4BE4018D68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" operator="containsText" id="{AEA29138-5993-41A7-B41E-4701476EC195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3" operator="containsText" id="{34133E08-B5A8-4B34-AA1C-6D3A9858311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B50DD8B6-E906-4E7D-B374-10B9B0F373A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  <x14:conditionalFormatting xmlns:xm="http://schemas.microsoft.com/office/excel/2006/main">
          <x14:cfRule type="containsText" priority="44" operator="containsText" id="{E18B4CD9-807C-414D-94D8-1D5CD57B90F3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45" operator="containsText" id="{BF1CC9F1-35B0-4D37-AD35-C887164F3818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7" operator="containsText" id="{FC24953E-040A-4CBB-9F00-1EE3046804B8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8" operator="containsText" id="{0D46F7F0-05B1-4C53-B260-ABE400FE8058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9" operator="containsText" id="{4C7D78B1-081D-4E30-87B4-480A38CE1C90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6" operator="containsText" id="{85F849AE-E5E0-442D-909C-A71E74C18B34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B94:H95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7DD8-79FD-47DD-8A56-171EA245D57C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178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44830</v>
      </c>
      <c r="C3" s="11">
        <f t="shared" ref="C3:H3" si="0">B3+1</f>
        <v>44831</v>
      </c>
      <c r="D3" s="11">
        <f t="shared" si="0"/>
        <v>44832</v>
      </c>
      <c r="E3" s="11">
        <f t="shared" si="0"/>
        <v>44833</v>
      </c>
      <c r="F3" s="11">
        <f t="shared" si="0"/>
        <v>44834</v>
      </c>
      <c r="G3" s="11">
        <f t="shared" si="0"/>
        <v>44835</v>
      </c>
      <c r="H3" s="12">
        <f t="shared" si="0"/>
        <v>44836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 t="s">
        <v>4</v>
      </c>
      <c r="D5" s="8" t="s">
        <v>5</v>
      </c>
      <c r="E5" s="8"/>
      <c r="F5" s="8"/>
      <c r="G5" s="8"/>
      <c r="H5" s="8"/>
      <c r="J5" s="20" t="s">
        <v>4</v>
      </c>
      <c r="K5" s="1">
        <f>COUNTIF($B$5:$H$93,J5)</f>
        <v>5</v>
      </c>
      <c r="L5" s="54">
        <f t="shared" ref="L5:L21" si="2">K5/$K$22</f>
        <v>0.33333333333333331</v>
      </c>
      <c r="M5" s="58">
        <f>B3</f>
        <v>44830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2</v>
      </c>
      <c r="L6" s="54">
        <f t="shared" si="2"/>
        <v>0.13333333333333333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1</v>
      </c>
      <c r="L7" s="54">
        <f t="shared" si="2"/>
        <v>6.6666666666666666E-2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2</v>
      </c>
      <c r="L10" s="54">
        <f t="shared" si="2"/>
        <v>0.13333333333333333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2</v>
      </c>
      <c r="L14" s="54">
        <f t="shared" si="2"/>
        <v>0.13333333333333333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2</v>
      </c>
      <c r="L20" s="54">
        <f t="shared" si="2"/>
        <v>0.13333333333333333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1</v>
      </c>
      <c r="L21" s="54">
        <f t="shared" si="2"/>
        <v>6.6666666666666666E-2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15</v>
      </c>
    </row>
    <row r="23" spans="1:12" x14ac:dyDescent="0.25">
      <c r="A23" s="6" t="s">
        <v>45</v>
      </c>
      <c r="B23" s="9"/>
      <c r="C23" s="9"/>
      <c r="D23" s="9"/>
      <c r="E23" s="9"/>
      <c r="F23" s="9" t="s">
        <v>118</v>
      </c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 t="s">
        <v>4</v>
      </c>
      <c r="D27" s="9"/>
      <c r="E27" s="9" t="s">
        <v>13</v>
      </c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 t="s">
        <v>118</v>
      </c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 t="s">
        <v>176</v>
      </c>
    </row>
    <row r="35" spans="1:8" x14ac:dyDescent="0.25">
      <c r="A35" s="6" t="s">
        <v>57</v>
      </c>
      <c r="B35" s="9"/>
      <c r="C35" s="9" t="s">
        <v>176</v>
      </c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 t="s">
        <v>13</v>
      </c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 t="s">
        <v>173</v>
      </c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 t="s">
        <v>127</v>
      </c>
      <c r="C59" s="9"/>
      <c r="D59" s="9"/>
      <c r="E59" s="9"/>
      <c r="F59" s="9" t="s">
        <v>4</v>
      </c>
      <c r="G59" s="9"/>
      <c r="H59" s="9"/>
    </row>
    <row r="60" spans="1:8" x14ac:dyDescent="0.25">
      <c r="A60" s="6" t="s">
        <v>82</v>
      </c>
      <c r="B60" s="9"/>
      <c r="C60" s="9"/>
      <c r="D60" s="9" t="s">
        <v>5</v>
      </c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 t="s">
        <v>4</v>
      </c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 t="s">
        <v>4</v>
      </c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111" priority="31" operator="containsText" text="Pivô">
      <formula>NOT(ISERROR(SEARCH("Pivô",A1)))</formula>
    </cfRule>
    <cfRule type="containsText" dxfId="2110" priority="32" operator="containsText" text="Pivô">
      <formula>NOT(ISERROR(SEARCH("Pivô",A1)))</formula>
    </cfRule>
  </conditionalFormatting>
  <conditionalFormatting sqref="B5:H93">
    <cfRule type="containsText" dxfId="2108" priority="3" operator="containsText" text="Desponte">
      <formula>NOT(ISERROR(SEARCH("Desponte",B5)))</formula>
    </cfRule>
    <cfRule type="containsText" dxfId="2080" priority="53" operator="containsText" text="Cardã">
      <formula>NOT(ISERROR(SEARCH("Cardã",B5)))</formula>
    </cfRule>
    <cfRule type="cellIs" dxfId="2079" priority="50" operator="equal">
      <formula>$J$20</formula>
    </cfRule>
    <cfRule type="containsText" dxfId="2078" priority="51" operator="containsText" text="Pulverização">
      <formula>NOT(ISERROR(SEARCH("Pulverização",B5)))</formula>
    </cfRule>
    <cfRule type="cellIs" dxfId="2077" priority="52" operator="greaterThan">
      <formula>$J$5</formula>
    </cfRule>
    <cfRule type="containsText" dxfId="2076" priority="54" operator="containsText" text="Pneu">
      <formula>NOT(ISERROR(SEARCH("Pneu",B5)))</formula>
    </cfRule>
    <cfRule type="containsText" dxfId="2075" priority="55" operator="containsText" text="Vedação">
      <formula>NOT(ISERROR(SEARCH("Vedação",B5)))</formula>
    </cfRule>
    <cfRule type="containsText" dxfId="2074" priority="56" operator="containsText" text="Retentor">
      <formula>NOT(ISERROR(SEARCH("Retentor",B5)))</formula>
    </cfRule>
    <cfRule type="containsText" dxfId="2073" priority="57" operator="containsText" text="Motorredutor">
      <formula>NOT(ISERROR(SEARCH("Motorredutor",B5)))</formula>
    </cfRule>
    <cfRule type="containsText" dxfId="2072" priority="58" operator="containsText" text="Redutor">
      <formula>NOT(ISERROR(SEARCH("Redutor",B5)))</formula>
    </cfRule>
    <cfRule type="containsText" dxfId="2071" priority="59" operator="containsText" text="Bomba">
      <formula>NOT(ISERROR(SEARCH("Bomba",B5)))</formula>
    </cfRule>
  </conditionalFormatting>
  <conditionalFormatting sqref="B94:H95">
    <cfRule type="containsText" dxfId="2063" priority="35" operator="containsText" text="Pulverização">
      <formula>NOT(ISERROR(SEARCH("Pulverização",B94)))</formula>
    </cfRule>
    <cfRule type="cellIs" dxfId="2062" priority="36" operator="greaterThan">
      <formula>$J$5</formula>
    </cfRule>
    <cfRule type="containsText" dxfId="2061" priority="37" operator="containsText" text="Cardã">
      <formula>NOT(ISERROR(SEARCH("Cardã",B94)))</formula>
    </cfRule>
    <cfRule type="containsText" dxfId="2060" priority="38" operator="containsText" text="Pneu">
      <formula>NOT(ISERROR(SEARCH("Pneu",B94)))</formula>
    </cfRule>
    <cfRule type="containsText" dxfId="2059" priority="39" operator="containsText" text="Vedação">
      <formula>NOT(ISERROR(SEARCH("Vedação",B94)))</formula>
    </cfRule>
    <cfRule type="containsText" dxfId="2058" priority="40" operator="containsText" text="Retentor">
      <formula>NOT(ISERROR(SEARCH("Retentor",B94)))</formula>
    </cfRule>
    <cfRule type="containsText" dxfId="2057" priority="41" operator="containsText" text="Motorredutor">
      <formula>NOT(ISERROR(SEARCH("Motorredutor",B94)))</formula>
    </cfRule>
    <cfRule type="containsText" dxfId="2056" priority="42" operator="containsText" text="Redutor">
      <formula>NOT(ISERROR(SEARCH("Redutor",B94)))</formula>
    </cfRule>
    <cfRule type="containsText" dxfId="2055" priority="43" operator="containsText" text="Bomba">
      <formula>NOT(ISERROR(SEARCH("Bomba",B94)))</formula>
    </cfRule>
  </conditionalFormatting>
  <dataValidations count="2">
    <dataValidation type="list" allowBlank="1" showInputMessage="1" showErrorMessage="1" sqref="B94:H95" xr:uid="{5D89AFBB-C689-4747-88F9-A9B800F6F73B}">
      <formula1>$J$5:$J$11</formula1>
    </dataValidation>
    <dataValidation type="list" allowBlank="1" showInputMessage="1" showErrorMessage="1" sqref="B5:H93" xr:uid="{69EC2832-EE1F-4D55-AB9D-35A1EA549697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E64213A-D7B0-4A03-BB8E-6C4F7179A6AF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1A22CB62-DF17-4D4E-BFE0-B353ECA7E626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40BCF7B6-F503-4ED0-AEE8-32AE2BEF50D2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6CE4BE3A-DA81-4327-A794-20C21DD2B9C7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6364A2DB-10EA-452E-8D00-7195442A91D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4D67C453-88FB-43E0-BE1C-BAE8477B6307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0764A8D6-F50E-4177-8794-C8FBBCECA65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5F0B8AF1-E021-4559-9ED0-F180F33BC66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B0FEC92A-83EB-438F-BC02-A30CE1571FC5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77A02ADD-E976-43C5-BC0D-796F1FAF6EA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4B85E100-1BF9-4157-84DE-9E00884774E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CCAF4898-E4EE-4D3F-BA87-E9700E3A9833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53022A21-0B9E-44DF-AB29-5B4D7401682E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EA5DC5EC-A6AD-4015-BBAE-B61A91755E6C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E7B7E11E-8002-464E-8AC8-979AA3903A7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66994C3D-E043-496F-869B-52F228D24EBE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62AEDF7A-4531-4E8C-AC86-BAD3B21050E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1" operator="containsText" id="{B0D7B03E-689E-4A37-856D-4EF15F929DC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A44E5736-6EBA-430D-A4C2-67F0A52EE0D0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30" operator="containsText" id="{B127324C-C7E0-4443-8E16-6B4D525159E9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4280471B-7262-457B-9382-CC4B408B81C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5" operator="containsText" id="{7193A547-7010-4797-8EAC-D7AC6F4015F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6" operator="containsText" id="{EB55D298-31AD-4D32-B29D-7BDE4123503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27" operator="containsText" id="{41DF8B11-5535-4DD5-A4B9-6232479C1C6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A9676712-910B-4CF8-9ACC-5F66BA2B592D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9" operator="containsText" id="{9F97D149-61D0-4B8C-A077-019B36D8208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60" operator="containsText" id="{F1D1ADA8-60D4-4CE0-ADF7-C7E91249CB83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" operator="containsText" id="{B16C9189-0EE4-4DD3-8C77-5F0C5C541888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3" operator="containsText" id="{00339A98-CCE6-4195-82BC-F348D367EC6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1D58ACA0-FFC3-4D49-9971-925B253998D5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  <x14:conditionalFormatting xmlns:xm="http://schemas.microsoft.com/office/excel/2006/main">
          <x14:cfRule type="containsText" priority="44" operator="containsText" id="{E622E5AD-8504-48D8-A4B6-D951357A87F3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45" operator="containsText" id="{C057CC76-E7D9-42F8-9B30-267D3E49C678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7" operator="containsText" id="{3F89E49D-F57D-4469-9C5F-5ED7BE7BF82B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8" operator="containsText" id="{591D299D-9CBF-4463-B3AC-8FF43F186D1A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9" operator="containsText" id="{E4E72C2F-39F9-46B9-B729-D22095A79E28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6" operator="containsText" id="{91A0C5D7-9B44-4950-AC1B-21101FC039AB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B94:H95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45E6-6063-4DAA-A12A-89E61B72CD6B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179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44837</v>
      </c>
      <c r="C3" s="11">
        <f t="shared" ref="C3:H3" si="0">B3+1</f>
        <v>44838</v>
      </c>
      <c r="D3" s="11">
        <f t="shared" si="0"/>
        <v>44839</v>
      </c>
      <c r="E3" s="11">
        <f t="shared" si="0"/>
        <v>44840</v>
      </c>
      <c r="F3" s="11">
        <f t="shared" si="0"/>
        <v>44841</v>
      </c>
      <c r="G3" s="11">
        <f t="shared" si="0"/>
        <v>44842</v>
      </c>
      <c r="H3" s="12">
        <f t="shared" si="0"/>
        <v>44843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 t="s">
        <v>4</v>
      </c>
      <c r="F5" s="8"/>
      <c r="G5" s="8"/>
      <c r="H5" s="8"/>
      <c r="J5" s="20" t="s">
        <v>4</v>
      </c>
      <c r="K5" s="1">
        <f>COUNTIF($B$5:$H$93,J5)</f>
        <v>6</v>
      </c>
      <c r="L5" s="54">
        <f t="shared" ref="L5:L21" si="2">K5/$K$22</f>
        <v>0.3</v>
      </c>
      <c r="M5" s="58">
        <f>B3</f>
        <v>44837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1</v>
      </c>
      <c r="L6" s="54">
        <f t="shared" si="2"/>
        <v>0.05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1</v>
      </c>
      <c r="L8" s="54">
        <f t="shared" si="2"/>
        <v>0.05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1</v>
      </c>
      <c r="L11" s="54">
        <f t="shared" si="2"/>
        <v>0.05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5</v>
      </c>
      <c r="L16" s="54">
        <f t="shared" si="2"/>
        <v>0.25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5</v>
      </c>
      <c r="L20" s="54">
        <f t="shared" si="2"/>
        <v>0.25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1</v>
      </c>
      <c r="L21" s="54">
        <f t="shared" si="2"/>
        <v>0.05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 t="s">
        <v>176</v>
      </c>
      <c r="C27" s="9" t="s">
        <v>176</v>
      </c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 t="s">
        <v>15</v>
      </c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 t="s">
        <v>15</v>
      </c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 t="s">
        <v>176</v>
      </c>
      <c r="C34" s="9" t="s">
        <v>4</v>
      </c>
      <c r="D34" s="9"/>
      <c r="E34" s="9"/>
      <c r="F34" s="9" t="s">
        <v>15</v>
      </c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 t="s">
        <v>176</v>
      </c>
      <c r="G35" s="9" t="s">
        <v>176</v>
      </c>
      <c r="H35" s="9"/>
    </row>
    <row r="36" spans="1:8" x14ac:dyDescent="0.25">
      <c r="A36" s="6" t="s">
        <v>58</v>
      </c>
      <c r="B36" s="9"/>
      <c r="C36" s="9"/>
      <c r="D36" s="9"/>
      <c r="E36" s="9"/>
      <c r="F36" s="9" t="s">
        <v>15</v>
      </c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 t="s">
        <v>15</v>
      </c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 t="s">
        <v>173</v>
      </c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 t="s">
        <v>7</v>
      </c>
      <c r="E53" s="9"/>
      <c r="F53" s="9"/>
      <c r="G53" s="9"/>
      <c r="H53" s="9"/>
    </row>
    <row r="54" spans="1:8" x14ac:dyDescent="0.25">
      <c r="A54" s="6" t="s">
        <v>76</v>
      </c>
      <c r="B54" s="9"/>
      <c r="C54" s="9" t="s">
        <v>10</v>
      </c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 t="s">
        <v>4</v>
      </c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 t="s">
        <v>4</v>
      </c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 t="s">
        <v>4</v>
      </c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 t="s">
        <v>5</v>
      </c>
      <c r="E76" s="9"/>
      <c r="F76" s="9" t="s">
        <v>4</v>
      </c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2053" priority="31" operator="containsText" text="Pivô">
      <formula>NOT(ISERROR(SEARCH("Pivô",A1)))</formula>
    </cfRule>
    <cfRule type="containsText" dxfId="2052" priority="32" operator="containsText" text="Pivô">
      <formula>NOT(ISERROR(SEARCH("Pivô",A1)))</formula>
    </cfRule>
  </conditionalFormatting>
  <conditionalFormatting sqref="B5:H93">
    <cfRule type="containsText" dxfId="2050" priority="3" operator="containsText" text="Desponte">
      <formula>NOT(ISERROR(SEARCH("Desponte",B5)))</formula>
    </cfRule>
    <cfRule type="containsText" dxfId="2022" priority="53" operator="containsText" text="Cardã">
      <formula>NOT(ISERROR(SEARCH("Cardã",B5)))</formula>
    </cfRule>
    <cfRule type="cellIs" dxfId="2021" priority="50" operator="equal">
      <formula>$J$20</formula>
    </cfRule>
    <cfRule type="containsText" dxfId="2020" priority="51" operator="containsText" text="Pulverização">
      <formula>NOT(ISERROR(SEARCH("Pulverização",B5)))</formula>
    </cfRule>
    <cfRule type="cellIs" dxfId="2019" priority="52" operator="greaterThan">
      <formula>$J$5</formula>
    </cfRule>
    <cfRule type="containsText" dxfId="2018" priority="54" operator="containsText" text="Pneu">
      <formula>NOT(ISERROR(SEARCH("Pneu",B5)))</formula>
    </cfRule>
    <cfRule type="containsText" dxfId="2017" priority="55" operator="containsText" text="Vedação">
      <formula>NOT(ISERROR(SEARCH("Vedação",B5)))</formula>
    </cfRule>
    <cfRule type="containsText" dxfId="2016" priority="56" operator="containsText" text="Retentor">
      <formula>NOT(ISERROR(SEARCH("Retentor",B5)))</formula>
    </cfRule>
    <cfRule type="containsText" dxfId="2015" priority="57" operator="containsText" text="Motorredutor">
      <formula>NOT(ISERROR(SEARCH("Motorredutor",B5)))</formula>
    </cfRule>
    <cfRule type="containsText" dxfId="2014" priority="58" operator="containsText" text="Redutor">
      <formula>NOT(ISERROR(SEARCH("Redutor",B5)))</formula>
    </cfRule>
    <cfRule type="containsText" dxfId="2013" priority="59" operator="containsText" text="Bomba">
      <formula>NOT(ISERROR(SEARCH("Bomba",B5)))</formula>
    </cfRule>
  </conditionalFormatting>
  <conditionalFormatting sqref="B94:H95">
    <cfRule type="containsText" dxfId="2005" priority="35" operator="containsText" text="Pulverização">
      <formula>NOT(ISERROR(SEARCH("Pulverização",B94)))</formula>
    </cfRule>
    <cfRule type="cellIs" dxfId="2004" priority="36" operator="greaterThan">
      <formula>$J$5</formula>
    </cfRule>
    <cfRule type="containsText" dxfId="2003" priority="37" operator="containsText" text="Cardã">
      <formula>NOT(ISERROR(SEARCH("Cardã",B94)))</formula>
    </cfRule>
    <cfRule type="containsText" dxfId="2002" priority="38" operator="containsText" text="Pneu">
      <formula>NOT(ISERROR(SEARCH("Pneu",B94)))</formula>
    </cfRule>
    <cfRule type="containsText" dxfId="2001" priority="39" operator="containsText" text="Vedação">
      <formula>NOT(ISERROR(SEARCH("Vedação",B94)))</formula>
    </cfRule>
    <cfRule type="containsText" dxfId="2000" priority="40" operator="containsText" text="Retentor">
      <formula>NOT(ISERROR(SEARCH("Retentor",B94)))</formula>
    </cfRule>
    <cfRule type="containsText" dxfId="1999" priority="41" operator="containsText" text="Motorredutor">
      <formula>NOT(ISERROR(SEARCH("Motorredutor",B94)))</formula>
    </cfRule>
    <cfRule type="containsText" dxfId="1998" priority="42" operator="containsText" text="Redutor">
      <formula>NOT(ISERROR(SEARCH("Redutor",B94)))</formula>
    </cfRule>
    <cfRule type="containsText" dxfId="1997" priority="43" operator="containsText" text="Bomba">
      <formula>NOT(ISERROR(SEARCH("Bomba",B94)))</formula>
    </cfRule>
  </conditionalFormatting>
  <dataValidations count="2">
    <dataValidation type="list" allowBlank="1" showInputMessage="1" showErrorMessage="1" sqref="B5:H93" xr:uid="{1B0C27CB-19E2-4551-9EF2-9B19F6CEEE3F}">
      <formula1>$J$5:$J$21</formula1>
    </dataValidation>
    <dataValidation type="list" allowBlank="1" showInputMessage="1" showErrorMessage="1" sqref="B94:H95" xr:uid="{D73D51A0-4275-4144-B427-EE02A6C83AFF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4BDDD64-4D89-49B8-AED0-986FE76B1AF0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8662A37C-0ADC-4A95-8D35-43B416D2073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FF003E98-C66E-459C-B00C-5EC2A32FA9C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6828C6FA-BC83-425A-BD89-9ADA5D6E783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7CB4E6EC-EA23-4AC2-B96D-20A5DB8C2D3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5E70B721-BDAE-4309-A8F1-3ED3B1FCBBD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C1D5C4AB-90F8-4595-A523-3CB38B1448D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6F6756B5-3ECC-459E-B497-7CACEA3B141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2C841D1D-670D-41BB-9CC0-B97A883B7BE5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18843B3B-F30D-4BAC-821F-900573FE9AB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8379E046-75A2-402B-867E-207742EBE1D1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11889886-51DD-4590-A0C7-6D30410F93B3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ED7B90D0-4CD5-4DE4-B5F5-7575AE3B413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D6887FF8-3DF2-41C1-A1FD-5BE2CA916836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B0A6C8C4-B643-43D4-AA27-26FD4FC7FA3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179569D9-7327-4640-90E2-F5C1947BE1FA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5F3CDA33-8D53-4822-ACA9-740EC445BAB4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1" operator="containsText" id="{D27CC4F1-1B55-46F8-9A9E-AD37E2518B7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0E25ED95-7170-4A22-9454-EF30AC5CEBD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30" operator="containsText" id="{D31002B7-4F16-4BA8-9C9D-918CA3F24DAA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01E838BF-A748-4853-AB9D-1F1CA31354D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5" operator="containsText" id="{19A11320-A8A0-496C-8A6F-A079CE43BDC7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6" operator="containsText" id="{741D703F-9E83-43A0-A328-E742E46E86E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27" operator="containsText" id="{54517BC3-E7D3-44CE-A527-DD585490A78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BC6D0D35-8123-4E4D-8DB9-BE94EC3CA1BF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9" operator="containsText" id="{A646627E-B5DD-4354-8FC0-296794E419D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60" operator="containsText" id="{EE690077-C1E6-4893-A4D9-74FA55BF0B30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" operator="containsText" id="{5CCC2D37-464E-46A3-A744-91516B4221FB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3" operator="containsText" id="{C17097C5-7D09-4CDA-BD24-984148985EE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BA97F7DF-BC9D-4F68-B0B6-3341E5F44DCE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  <x14:conditionalFormatting xmlns:xm="http://schemas.microsoft.com/office/excel/2006/main">
          <x14:cfRule type="containsText" priority="44" operator="containsText" id="{CAB6E895-7BD8-435D-B13B-A0CB23646C9F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45" operator="containsText" id="{0E6DAE48-D3DE-4EAA-B874-A227A8C537D5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7" operator="containsText" id="{D79979F3-A9A3-49AC-B521-1BA04BB6564D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8" operator="containsText" id="{91958F46-0745-4C40-A4DE-8632F2B9DFDA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9" operator="containsText" id="{603AFFCE-F0DE-4D75-A08F-30425FCC4B16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6" operator="containsText" id="{5DD4DF99-2FDB-4884-A9ED-F56DEA731793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B94:H95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431F-746B-4C15-A036-9324A4B9EFD2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180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44844</v>
      </c>
      <c r="C3" s="11">
        <f t="shared" ref="C3:H3" si="0">B3+1</f>
        <v>44845</v>
      </c>
      <c r="D3" s="11">
        <f t="shared" si="0"/>
        <v>44846</v>
      </c>
      <c r="E3" s="11">
        <f t="shared" si="0"/>
        <v>44847</v>
      </c>
      <c r="F3" s="11">
        <f t="shared" si="0"/>
        <v>44848</v>
      </c>
      <c r="G3" s="11">
        <f t="shared" si="0"/>
        <v>44849</v>
      </c>
      <c r="H3" s="12">
        <f t="shared" si="0"/>
        <v>44850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21" si="2">K5/$K$22</f>
        <v>8.8235294117647065E-2</v>
      </c>
      <c r="M5" s="58">
        <f>B3</f>
        <v>44844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2</v>
      </c>
      <c r="L8" s="54">
        <f t="shared" si="2"/>
        <v>5.8823529411764705E-2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 t="s">
        <v>15</v>
      </c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 t="s">
        <v>15</v>
      </c>
      <c r="J10" s="25" t="s">
        <v>118</v>
      </c>
      <c r="K10" s="1">
        <f t="shared" si="3"/>
        <v>2</v>
      </c>
      <c r="L10" s="54">
        <f t="shared" si="2"/>
        <v>5.8823529411764705E-2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 t="s">
        <v>15</v>
      </c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2.9411764705882353E-2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16</v>
      </c>
      <c r="L16" s="54">
        <f t="shared" si="2"/>
        <v>0.47058823529411764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1</v>
      </c>
      <c r="L17" s="54">
        <f t="shared" si="2"/>
        <v>2.9411764705882353E-2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 t="s">
        <v>15</v>
      </c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9</v>
      </c>
      <c r="L20" s="54">
        <f t="shared" si="2"/>
        <v>0.26470588235294118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34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 t="s">
        <v>176</v>
      </c>
      <c r="D27" s="9" t="s">
        <v>176</v>
      </c>
      <c r="E27" s="9"/>
      <c r="F27" s="9"/>
      <c r="G27" s="9"/>
      <c r="H27" s="9"/>
      <c r="J27" s="7"/>
    </row>
    <row r="28" spans="1:12" x14ac:dyDescent="0.25">
      <c r="A28" s="6" t="s">
        <v>50</v>
      </c>
      <c r="B28" s="9" t="s">
        <v>4</v>
      </c>
      <c r="C28" s="9"/>
      <c r="D28" s="9"/>
      <c r="E28" s="9"/>
      <c r="F28" s="9" t="s">
        <v>176</v>
      </c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 t="s">
        <v>176</v>
      </c>
      <c r="D30" s="9" t="s">
        <v>176</v>
      </c>
      <c r="E30" s="9"/>
      <c r="F30" s="9" t="s">
        <v>176</v>
      </c>
      <c r="G30" s="9"/>
      <c r="H30" s="9" t="s">
        <v>15</v>
      </c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 t="s">
        <v>15</v>
      </c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 t="s">
        <v>15</v>
      </c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 t="s">
        <v>176</v>
      </c>
      <c r="D34" s="9"/>
      <c r="E34" s="9"/>
      <c r="F34" s="9"/>
      <c r="G34" s="9"/>
      <c r="H34" s="9" t="s">
        <v>15</v>
      </c>
    </row>
    <row r="35" spans="1:8" x14ac:dyDescent="0.25">
      <c r="A35" s="6" t="s">
        <v>57</v>
      </c>
      <c r="B35" s="9"/>
      <c r="C35" s="9"/>
      <c r="D35" s="9"/>
      <c r="E35" s="9"/>
      <c r="F35" s="9"/>
      <c r="G35" s="9" t="s">
        <v>176</v>
      </c>
      <c r="H35" s="9" t="s">
        <v>15</v>
      </c>
    </row>
    <row r="36" spans="1:8" x14ac:dyDescent="0.25">
      <c r="A36" s="6" t="s">
        <v>58</v>
      </c>
      <c r="B36" s="9"/>
      <c r="C36" s="9"/>
      <c r="D36" s="9"/>
      <c r="E36" s="9"/>
      <c r="F36" s="9" t="s">
        <v>12</v>
      </c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 t="s">
        <v>4</v>
      </c>
      <c r="E47" s="9"/>
      <c r="F47" s="9"/>
      <c r="G47" s="9"/>
      <c r="H47" s="9" t="s">
        <v>176</v>
      </c>
    </row>
    <row r="48" spans="1:8" x14ac:dyDescent="0.25">
      <c r="A48" s="6" t="s">
        <v>70</v>
      </c>
      <c r="B48" s="9" t="s">
        <v>118</v>
      </c>
      <c r="C48" s="9" t="s">
        <v>118</v>
      </c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 t="s">
        <v>7</v>
      </c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 t="s">
        <v>7</v>
      </c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 t="s">
        <v>16</v>
      </c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 t="s">
        <v>4</v>
      </c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 t="s">
        <v>15</v>
      </c>
      <c r="D63" s="9"/>
      <c r="E63" s="9"/>
      <c r="F63" s="9"/>
      <c r="G63" s="9" t="s">
        <v>15</v>
      </c>
      <c r="H63" s="9" t="s">
        <v>15</v>
      </c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 t="s">
        <v>15</v>
      </c>
      <c r="D65" s="9"/>
      <c r="E65" s="9"/>
      <c r="F65" s="9" t="s">
        <v>15</v>
      </c>
      <c r="G65" s="9"/>
      <c r="H65" s="9" t="s">
        <v>15</v>
      </c>
    </row>
    <row r="66" spans="1:8" x14ac:dyDescent="0.25">
      <c r="A66" s="6" t="s">
        <v>88</v>
      </c>
      <c r="B66" s="9"/>
      <c r="C66" s="9"/>
      <c r="D66" s="9"/>
      <c r="E66" s="9" t="s">
        <v>15</v>
      </c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995" priority="31" operator="containsText" text="Pivô">
      <formula>NOT(ISERROR(SEARCH("Pivô",A1)))</formula>
    </cfRule>
    <cfRule type="containsText" dxfId="1994" priority="32" operator="containsText" text="Pivô">
      <formula>NOT(ISERROR(SEARCH("Pivô",A1)))</formula>
    </cfRule>
  </conditionalFormatting>
  <conditionalFormatting sqref="B5:H93">
    <cfRule type="containsText" dxfId="1992" priority="3" operator="containsText" text="Desponte">
      <formula>NOT(ISERROR(SEARCH("Desponte",B5)))</formula>
    </cfRule>
    <cfRule type="containsText" dxfId="1964" priority="53" operator="containsText" text="Cardã">
      <formula>NOT(ISERROR(SEARCH("Cardã",B5)))</formula>
    </cfRule>
    <cfRule type="cellIs" dxfId="1963" priority="50" operator="equal">
      <formula>$J$20</formula>
    </cfRule>
    <cfRule type="containsText" dxfId="1962" priority="51" operator="containsText" text="Pulverização">
      <formula>NOT(ISERROR(SEARCH("Pulverização",B5)))</formula>
    </cfRule>
    <cfRule type="cellIs" dxfId="1961" priority="52" operator="greaterThan">
      <formula>$J$5</formula>
    </cfRule>
    <cfRule type="containsText" dxfId="1960" priority="54" operator="containsText" text="Pneu">
      <formula>NOT(ISERROR(SEARCH("Pneu",B5)))</formula>
    </cfRule>
    <cfRule type="containsText" dxfId="1959" priority="55" operator="containsText" text="Vedação">
      <formula>NOT(ISERROR(SEARCH("Vedação",B5)))</formula>
    </cfRule>
    <cfRule type="containsText" dxfId="1958" priority="56" operator="containsText" text="Retentor">
      <formula>NOT(ISERROR(SEARCH("Retentor",B5)))</formula>
    </cfRule>
    <cfRule type="containsText" dxfId="1957" priority="57" operator="containsText" text="Motorredutor">
      <formula>NOT(ISERROR(SEARCH("Motorredutor",B5)))</formula>
    </cfRule>
    <cfRule type="containsText" dxfId="1956" priority="58" operator="containsText" text="Redutor">
      <formula>NOT(ISERROR(SEARCH("Redutor",B5)))</formula>
    </cfRule>
    <cfRule type="containsText" dxfId="1955" priority="59" operator="containsText" text="Bomba">
      <formula>NOT(ISERROR(SEARCH("Bomba",B5)))</formula>
    </cfRule>
  </conditionalFormatting>
  <conditionalFormatting sqref="B94:H95">
    <cfRule type="containsText" dxfId="1947" priority="35" operator="containsText" text="Pulverização">
      <formula>NOT(ISERROR(SEARCH("Pulverização",B94)))</formula>
    </cfRule>
    <cfRule type="cellIs" dxfId="1946" priority="36" operator="greaterThan">
      <formula>$J$5</formula>
    </cfRule>
    <cfRule type="containsText" dxfId="1945" priority="37" operator="containsText" text="Cardã">
      <formula>NOT(ISERROR(SEARCH("Cardã",B94)))</formula>
    </cfRule>
    <cfRule type="containsText" dxfId="1944" priority="38" operator="containsText" text="Pneu">
      <formula>NOT(ISERROR(SEARCH("Pneu",B94)))</formula>
    </cfRule>
    <cfRule type="containsText" dxfId="1943" priority="39" operator="containsText" text="Vedação">
      <formula>NOT(ISERROR(SEARCH("Vedação",B94)))</formula>
    </cfRule>
    <cfRule type="containsText" dxfId="1942" priority="40" operator="containsText" text="Retentor">
      <formula>NOT(ISERROR(SEARCH("Retentor",B94)))</formula>
    </cfRule>
    <cfRule type="containsText" dxfId="1941" priority="41" operator="containsText" text="Motorredutor">
      <formula>NOT(ISERROR(SEARCH("Motorredutor",B94)))</formula>
    </cfRule>
    <cfRule type="containsText" dxfId="1940" priority="42" operator="containsText" text="Redutor">
      <formula>NOT(ISERROR(SEARCH("Redutor",B94)))</formula>
    </cfRule>
    <cfRule type="containsText" dxfId="1939" priority="43" operator="containsText" text="Bomba">
      <formula>NOT(ISERROR(SEARCH("Bomba",B94)))</formula>
    </cfRule>
  </conditionalFormatting>
  <dataValidations count="2">
    <dataValidation type="list" allowBlank="1" showInputMessage="1" showErrorMessage="1" sqref="B94:H95" xr:uid="{0C5BACD5-15D3-41F4-9044-3AFF3813AB05}">
      <formula1>$J$5:$J$11</formula1>
    </dataValidation>
    <dataValidation type="list" allowBlank="1" showInputMessage="1" showErrorMessage="1" sqref="B5:H93" xr:uid="{F6D421F2-998B-4C5F-A662-4DB66431D88C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9C18DA1-07D8-4B62-834C-6703C446A600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6FB92B9C-E3D6-4F8B-9A48-5BCDAD8B8841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AA99F3C6-5083-4D75-A9D6-D2B5046EFC45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A458022F-A585-43B0-AD80-F0BC27E45671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05456C07-7E07-4C8F-9E7A-0B61E33E226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33C28186-4669-49D2-8362-5166760E45F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1510506F-7075-4993-B732-9616DD301B6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35F47488-EFA3-4726-80ED-937991525E0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E15D00A2-FD7A-45EE-9A90-DEDF70E1D83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99412F21-4F6B-499E-999B-FF9AFFABD2E9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CB186255-A31B-4E62-8484-27CB545A4AB9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495506E6-882C-4BA4-B23A-16C2E7E567A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6C52E0E5-82BD-4AD6-8C28-96C39466E25F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5D304E28-8C25-430E-9623-D012231A6888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4A99C284-A49D-489E-B12B-F3022D056E2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02EE28DC-81CF-4EFC-8C9B-BB73C32772E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D0D3F98D-6251-4AB6-B243-B097797AB5A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1" operator="containsText" id="{980EC215-2117-4AF6-A712-2CF0B362E7D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548CECBC-9DFF-41E5-B36C-B1F762BF3F2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30" operator="containsText" id="{55E11CED-0DFC-46E0-9239-5BDBB5A4B274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79019DCE-9605-4945-8660-6E4913DF431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5" operator="containsText" id="{EAFB0F47-02EF-4826-AA6A-88D451B99100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6" operator="containsText" id="{79384925-1D6C-429A-89CE-D460A13168B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27" operator="containsText" id="{D88FB962-4703-47BB-8C87-AFA086AC9E97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F932BD8F-17DC-439D-8543-72CCEF3FA8E1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9" operator="containsText" id="{BE7C667C-88B9-480A-B522-CBD151DAB03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60" operator="containsText" id="{5C85B197-E473-478F-9CBF-0BB38344F0DA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" operator="containsText" id="{568A4F1E-3E9A-485F-BFA6-4130CD415FD7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3" operator="containsText" id="{F1945CD5-6C0A-43BA-8A12-27180A691F5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7D173380-785E-476A-A6B3-420740C50C98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  <x14:conditionalFormatting xmlns:xm="http://schemas.microsoft.com/office/excel/2006/main">
          <x14:cfRule type="containsText" priority="44" operator="containsText" id="{8A54B68B-4693-4F13-A38C-5D32976B3D32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45" operator="containsText" id="{1EF3768A-6FEC-4DEF-AEF0-85960F01995C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7" operator="containsText" id="{4E78682B-0A4B-44EB-995B-04F5F0DAC79E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8" operator="containsText" id="{CEA0D37D-45DD-407A-8495-8DA45EFD9D0F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9" operator="containsText" id="{D2C86441-A8F1-4989-97C7-5031221AEB8A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6" operator="containsText" id="{828B5E4B-49D2-436E-AED0-7CAF63F1E00A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B94:H95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DF5B-E30D-4B8C-8A20-7F859F3FC79F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0.7109375" bestFit="1" customWidth="1"/>
  </cols>
  <sheetData>
    <row r="1" spans="1:16" x14ac:dyDescent="0.25">
      <c r="A1" s="68" t="s">
        <v>181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44851</v>
      </c>
      <c r="C3" s="11">
        <f t="shared" ref="C3:H3" si="0">B3+1</f>
        <v>44852</v>
      </c>
      <c r="D3" s="11">
        <f t="shared" si="0"/>
        <v>44853</v>
      </c>
      <c r="E3" s="11">
        <f t="shared" si="0"/>
        <v>44854</v>
      </c>
      <c r="F3" s="11">
        <f t="shared" si="0"/>
        <v>44855</v>
      </c>
      <c r="G3" s="11">
        <f t="shared" si="0"/>
        <v>44856</v>
      </c>
      <c r="H3" s="12">
        <f t="shared" si="0"/>
        <v>44857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0</v>
      </c>
      <c r="L5" s="54">
        <f t="shared" ref="L5:L21" si="2">K5/$K$22</f>
        <v>0</v>
      </c>
      <c r="M5" s="58">
        <f>B3</f>
        <v>44851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1</v>
      </c>
      <c r="L6" s="54">
        <f t="shared" si="2"/>
        <v>3.0303030303030304E-2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3</v>
      </c>
      <c r="L8" s="54">
        <f t="shared" si="2"/>
        <v>9.0909090909090912E-2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2</v>
      </c>
      <c r="L10" s="54">
        <f t="shared" si="2"/>
        <v>6.0606060606060608E-2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5</v>
      </c>
      <c r="L14" s="54">
        <f t="shared" si="2"/>
        <v>0.15151515151515152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14</v>
      </c>
      <c r="L16" s="54">
        <f t="shared" si="2"/>
        <v>0.42424242424242425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 t="s">
        <v>15</v>
      </c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8</v>
      </c>
      <c r="L20" s="54">
        <f t="shared" si="2"/>
        <v>0.24242424242424243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33</v>
      </c>
    </row>
    <row r="23" spans="1:12" x14ac:dyDescent="0.25">
      <c r="A23" s="6" t="s">
        <v>45</v>
      </c>
      <c r="B23" s="9"/>
      <c r="C23" s="9"/>
      <c r="D23" s="9" t="s">
        <v>118</v>
      </c>
      <c r="E23" s="9" t="s">
        <v>118</v>
      </c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 t="s">
        <v>5</v>
      </c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 t="s">
        <v>15</v>
      </c>
      <c r="F27" s="9"/>
      <c r="G27" s="9"/>
      <c r="H27" s="9"/>
      <c r="J27" s="7"/>
    </row>
    <row r="28" spans="1:12" x14ac:dyDescent="0.25">
      <c r="A28" s="6" t="s">
        <v>50</v>
      </c>
      <c r="B28" s="9"/>
      <c r="C28" s="9" t="s">
        <v>176</v>
      </c>
      <c r="D28" s="9" t="s">
        <v>176</v>
      </c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 t="s">
        <v>176</v>
      </c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 t="s">
        <v>13</v>
      </c>
      <c r="C34" s="9"/>
      <c r="D34" s="9" t="s">
        <v>176</v>
      </c>
      <c r="E34" s="9" t="s">
        <v>15</v>
      </c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 t="s">
        <v>176</v>
      </c>
      <c r="C37" s="9"/>
      <c r="D37" s="9"/>
      <c r="E37" s="9" t="s">
        <v>15</v>
      </c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 t="s">
        <v>176</v>
      </c>
      <c r="C47" s="9" t="s">
        <v>176</v>
      </c>
      <c r="D47" s="9"/>
      <c r="E47" s="9"/>
      <c r="F47" s="9"/>
      <c r="G47" s="9"/>
      <c r="H47" s="9" t="s">
        <v>176</v>
      </c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 t="s">
        <v>13</v>
      </c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 t="s">
        <v>7</v>
      </c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 t="s">
        <v>7</v>
      </c>
      <c r="D52" s="9" t="s">
        <v>7</v>
      </c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 t="s">
        <v>13</v>
      </c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 t="s">
        <v>13</v>
      </c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 t="s">
        <v>15</v>
      </c>
      <c r="D63" s="9"/>
      <c r="E63" s="9"/>
      <c r="F63" s="9" t="s">
        <v>15</v>
      </c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 t="s">
        <v>15</v>
      </c>
      <c r="C65" s="9" t="s">
        <v>15</v>
      </c>
      <c r="D65" s="9"/>
      <c r="E65" s="9"/>
      <c r="F65" s="9"/>
      <c r="G65" s="9"/>
      <c r="H65" s="9" t="s">
        <v>15</v>
      </c>
    </row>
    <row r="66" spans="1:8" x14ac:dyDescent="0.25">
      <c r="A66" s="6" t="s">
        <v>88</v>
      </c>
      <c r="B66" s="9" t="s">
        <v>15</v>
      </c>
      <c r="C66" s="9" t="s">
        <v>15</v>
      </c>
      <c r="D66" s="9"/>
      <c r="E66" s="9"/>
      <c r="F66" s="9" t="s">
        <v>15</v>
      </c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 t="s">
        <v>15</v>
      </c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 t="s">
        <v>15</v>
      </c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 t="s">
        <v>13</v>
      </c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937" priority="31" operator="containsText" text="Pivô">
      <formula>NOT(ISERROR(SEARCH("Pivô",A1)))</formula>
    </cfRule>
    <cfRule type="containsText" dxfId="1936" priority="32" operator="containsText" text="Pivô">
      <formula>NOT(ISERROR(SEARCH("Pivô",A1)))</formula>
    </cfRule>
  </conditionalFormatting>
  <conditionalFormatting sqref="B5:H93">
    <cfRule type="containsText" dxfId="1934" priority="3" operator="containsText" text="Desponte">
      <formula>NOT(ISERROR(SEARCH("Desponte",B5)))</formula>
    </cfRule>
    <cfRule type="containsText" dxfId="1906" priority="53" operator="containsText" text="Cardã">
      <formula>NOT(ISERROR(SEARCH("Cardã",B5)))</formula>
    </cfRule>
    <cfRule type="cellIs" dxfId="1905" priority="50" operator="equal">
      <formula>$J$20</formula>
    </cfRule>
    <cfRule type="containsText" dxfId="1904" priority="51" operator="containsText" text="Pulverização">
      <formula>NOT(ISERROR(SEARCH("Pulverização",B5)))</formula>
    </cfRule>
    <cfRule type="cellIs" dxfId="1903" priority="52" operator="greaterThan">
      <formula>$J$5</formula>
    </cfRule>
    <cfRule type="containsText" dxfId="1902" priority="54" operator="containsText" text="Pneu">
      <formula>NOT(ISERROR(SEARCH("Pneu",B5)))</formula>
    </cfRule>
    <cfRule type="containsText" dxfId="1901" priority="55" operator="containsText" text="Vedação">
      <formula>NOT(ISERROR(SEARCH("Vedação",B5)))</formula>
    </cfRule>
    <cfRule type="containsText" dxfId="1900" priority="56" operator="containsText" text="Retentor">
      <formula>NOT(ISERROR(SEARCH("Retentor",B5)))</formula>
    </cfRule>
    <cfRule type="containsText" dxfId="1899" priority="57" operator="containsText" text="Motorredutor">
      <formula>NOT(ISERROR(SEARCH("Motorredutor",B5)))</formula>
    </cfRule>
    <cfRule type="containsText" dxfId="1898" priority="58" operator="containsText" text="Redutor">
      <formula>NOT(ISERROR(SEARCH("Redutor",B5)))</formula>
    </cfRule>
    <cfRule type="containsText" dxfId="1897" priority="59" operator="containsText" text="Bomba">
      <formula>NOT(ISERROR(SEARCH("Bomba",B5)))</formula>
    </cfRule>
  </conditionalFormatting>
  <conditionalFormatting sqref="B94:H95">
    <cfRule type="containsText" dxfId="1889" priority="35" operator="containsText" text="Pulverização">
      <formula>NOT(ISERROR(SEARCH("Pulverização",B94)))</formula>
    </cfRule>
    <cfRule type="cellIs" dxfId="1888" priority="36" operator="greaterThan">
      <formula>$J$5</formula>
    </cfRule>
    <cfRule type="containsText" dxfId="1887" priority="37" operator="containsText" text="Cardã">
      <formula>NOT(ISERROR(SEARCH("Cardã",B94)))</formula>
    </cfRule>
    <cfRule type="containsText" dxfId="1886" priority="38" operator="containsText" text="Pneu">
      <formula>NOT(ISERROR(SEARCH("Pneu",B94)))</formula>
    </cfRule>
    <cfRule type="containsText" dxfId="1885" priority="39" operator="containsText" text="Vedação">
      <formula>NOT(ISERROR(SEARCH("Vedação",B94)))</formula>
    </cfRule>
    <cfRule type="containsText" dxfId="1884" priority="40" operator="containsText" text="Retentor">
      <formula>NOT(ISERROR(SEARCH("Retentor",B94)))</formula>
    </cfRule>
    <cfRule type="containsText" dxfId="1883" priority="41" operator="containsText" text="Motorredutor">
      <formula>NOT(ISERROR(SEARCH("Motorredutor",B94)))</formula>
    </cfRule>
    <cfRule type="containsText" dxfId="1882" priority="42" operator="containsText" text="Redutor">
      <formula>NOT(ISERROR(SEARCH("Redutor",B94)))</formula>
    </cfRule>
    <cfRule type="containsText" dxfId="1881" priority="43" operator="containsText" text="Bomba">
      <formula>NOT(ISERROR(SEARCH("Bomba",B94)))</formula>
    </cfRule>
  </conditionalFormatting>
  <dataValidations count="2">
    <dataValidation type="list" allowBlank="1" showInputMessage="1" showErrorMessage="1" sqref="B5:H93" xr:uid="{08909846-1718-47CF-A77F-C642499703C3}">
      <formula1>$J$5:$J$21</formula1>
    </dataValidation>
    <dataValidation type="list" allowBlank="1" showInputMessage="1" showErrorMessage="1" sqref="B94:H95" xr:uid="{7AD95B1E-65F5-427A-A6F0-B58AA5D46E60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35F4769-FF4E-4FFA-87B0-479F584C3CBD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D41DC7D1-6341-45E0-BD3A-9161D09C7357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6389EF4F-890A-4270-BB36-E6961B9ABB8F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E731DB08-98BC-4B3D-B79D-4217408D5DF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C636A9FF-CD38-45D9-A246-AE3AB8DEBF9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E10F52BC-1FAA-4A45-967B-1BA59649440D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861F3233-2A1B-4CE9-827B-8DC80F79297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3CD2FD91-4471-463C-AA33-8C2FEBB4068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91683D14-4036-475E-AF99-971424E48C02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660CF4D5-F3E8-404D-952B-A7A9E359BDF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BC5DBC81-E524-46E3-8858-AD255FA6BE3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EBFEDAD7-A9FA-4B83-A226-5715DC910D8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7068E4CC-7FCF-4092-820E-5E3F06F91EFC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A5A29C61-45E2-4CA6-B2CB-4850B5C7861D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41578267-4567-4B51-A53E-2F30FA6B87B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E8CA53D6-A096-41CB-A0C4-1D233834A526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565E33A1-BC02-4BA1-8EB9-827138C3508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1" operator="containsText" id="{DF9FE6D5-6516-41AA-A65D-EB428B64A69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E7C22A73-7C43-4BA5-AB94-9196E82E428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30" operator="containsText" id="{956D33E6-7E62-4F1A-BCFC-698C6FE1C48E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83BFDA01-677E-4EED-AC10-5D7761C429F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5" operator="containsText" id="{D740CB05-62B3-4083-AAD6-2A7E638E4C50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6" operator="containsText" id="{60703DF5-90B0-459D-9B13-C05D001783F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27" operator="containsText" id="{69BBE223-58CE-4472-AEC3-1411B5F5F37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62EAF73F-B802-48CF-B560-6186F4D77868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9" operator="containsText" id="{4856EE5D-9CE9-4AA4-8EF6-B736C03DEA7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60" operator="containsText" id="{18122E26-B29B-42EF-BA55-9C2C92B4B00E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" operator="containsText" id="{AB73807C-591B-4CD7-B6AE-72259CB7A95F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3" operator="containsText" id="{FAA7EB45-4364-4069-B73B-F1E0C4CFC38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D80109ED-CB53-4143-9271-01FD0216D73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  <x14:conditionalFormatting xmlns:xm="http://schemas.microsoft.com/office/excel/2006/main">
          <x14:cfRule type="containsText" priority="44" operator="containsText" id="{DD1DCF45-2DC3-4FE9-9884-91E419A0284A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45" operator="containsText" id="{9FF5841D-F687-43B9-BC1D-368CFAA13336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7" operator="containsText" id="{A9E9EF11-33DB-4F92-BB30-6151B6CCB4E5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8" operator="containsText" id="{313C5970-5BDC-4858-9511-A15BD23C4B48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9" operator="containsText" id="{12E2B418-8226-4E9B-AECB-A5F59A808BC0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6" operator="containsText" id="{3EA963E5-4036-477C-A6D4-19F5AFF4F8F0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B94:H95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7D00-29FC-4DBE-B5FC-BC21AD46DBAA}">
  <sheetPr>
    <tabColor rgb="FF92D050"/>
    <pageSetUpPr fitToPage="1"/>
  </sheetPr>
  <dimension ref="A1:P93"/>
  <sheetViews>
    <sheetView showGridLines="0" topLeftCell="F1" zoomScale="115" zoomScaleNormal="115" workbookViewId="0">
      <pane ySplit="4" topLeftCell="A8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182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44858</v>
      </c>
      <c r="C3" s="11">
        <f t="shared" ref="C3:H3" si="0">B3+1</f>
        <v>44859</v>
      </c>
      <c r="D3" s="11">
        <f t="shared" si="0"/>
        <v>44860</v>
      </c>
      <c r="E3" s="11">
        <f t="shared" si="0"/>
        <v>44861</v>
      </c>
      <c r="F3" s="11">
        <f t="shared" si="0"/>
        <v>44862</v>
      </c>
      <c r="G3" s="11">
        <f t="shared" si="0"/>
        <v>44863</v>
      </c>
      <c r="H3" s="12">
        <f t="shared" si="0"/>
        <v>44864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1</v>
      </c>
      <c r="L5" s="54">
        <f t="shared" ref="L5:L21" si="2">K5/$K$22</f>
        <v>4.3478260869565216E-2</v>
      </c>
      <c r="M5" s="58">
        <f>B3</f>
        <v>44858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5</v>
      </c>
      <c r="L6" s="54">
        <f t="shared" si="2"/>
        <v>0.21739130434782608</v>
      </c>
    </row>
    <row r="7" spans="1:16" x14ac:dyDescent="0.25">
      <c r="A7" s="6" t="s">
        <v>26</v>
      </c>
      <c r="B7" s="9"/>
      <c r="C7" s="9"/>
      <c r="D7" s="9"/>
      <c r="E7" s="9" t="s">
        <v>5</v>
      </c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1</v>
      </c>
      <c r="L8" s="54">
        <f t="shared" si="2"/>
        <v>4.3478260869565216E-2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3</v>
      </c>
      <c r="L14" s="54">
        <f t="shared" si="2"/>
        <v>0.13043478260869565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7</v>
      </c>
      <c r="L16" s="54">
        <f t="shared" si="2"/>
        <v>0.30434782608695654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6</v>
      </c>
      <c r="L20" s="54">
        <f t="shared" si="2"/>
        <v>0.2608695652173913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23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 t="s">
        <v>15</v>
      </c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 t="s">
        <v>15</v>
      </c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 t="s">
        <v>13</v>
      </c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 t="s">
        <v>15</v>
      </c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 t="s">
        <v>176</v>
      </c>
      <c r="F35" s="9"/>
      <c r="G35" s="9"/>
      <c r="H35" s="9"/>
    </row>
    <row r="36" spans="1:8" x14ac:dyDescent="0.25">
      <c r="A36" s="6" t="s">
        <v>58</v>
      </c>
      <c r="B36" s="9" t="s">
        <v>13</v>
      </c>
      <c r="C36" s="9"/>
      <c r="D36" s="9"/>
      <c r="E36" s="9" t="s">
        <v>15</v>
      </c>
      <c r="F36" s="9"/>
      <c r="G36" s="9"/>
      <c r="H36" s="9" t="s">
        <v>176</v>
      </c>
    </row>
    <row r="37" spans="1:8" x14ac:dyDescent="0.25">
      <c r="A37" s="6" t="s">
        <v>59</v>
      </c>
      <c r="B37" s="9"/>
      <c r="C37" s="9"/>
      <c r="D37" s="9"/>
      <c r="E37" s="9" t="s">
        <v>176</v>
      </c>
      <c r="F37" s="9" t="s">
        <v>176</v>
      </c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 t="s">
        <v>4</v>
      </c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 t="s">
        <v>176</v>
      </c>
      <c r="F47" s="9" t="s">
        <v>176</v>
      </c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 t="s">
        <v>7</v>
      </c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 t="s">
        <v>13</v>
      </c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 t="s">
        <v>5</v>
      </c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 t="s">
        <v>15</v>
      </c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 t="s">
        <v>15</v>
      </c>
      <c r="C66" s="9"/>
      <c r="D66" s="9" t="s">
        <v>15</v>
      </c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 t="s">
        <v>5</v>
      </c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 t="s">
        <v>5</v>
      </c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 t="s">
        <v>5</v>
      </c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879" priority="31" operator="containsText" text="Pivô">
      <formula>NOT(ISERROR(SEARCH("Pivô",A1)))</formula>
    </cfRule>
    <cfRule type="containsText" dxfId="1878" priority="32" operator="containsText" text="Pivô">
      <formula>NOT(ISERROR(SEARCH("Pivô",A1)))</formula>
    </cfRule>
  </conditionalFormatting>
  <conditionalFormatting sqref="B5:H93">
    <cfRule type="containsText" dxfId="1876" priority="3" operator="containsText" text="Desponte">
      <formula>NOT(ISERROR(SEARCH("Desponte",B5)))</formula>
    </cfRule>
    <cfRule type="containsText" dxfId="1848" priority="53" operator="containsText" text="Cardã">
      <formula>NOT(ISERROR(SEARCH("Cardã",B5)))</formula>
    </cfRule>
    <cfRule type="cellIs" dxfId="1847" priority="50" operator="equal">
      <formula>$J$20</formula>
    </cfRule>
    <cfRule type="containsText" dxfId="1846" priority="51" operator="containsText" text="Pulverização">
      <formula>NOT(ISERROR(SEARCH("Pulverização",B5)))</formula>
    </cfRule>
    <cfRule type="cellIs" dxfId="1845" priority="52" operator="greaterThan">
      <formula>$J$5</formula>
    </cfRule>
    <cfRule type="containsText" dxfId="1844" priority="54" operator="containsText" text="Pneu">
      <formula>NOT(ISERROR(SEARCH("Pneu",B5)))</formula>
    </cfRule>
    <cfRule type="containsText" dxfId="1843" priority="55" operator="containsText" text="Vedação">
      <formula>NOT(ISERROR(SEARCH("Vedação",B5)))</formula>
    </cfRule>
    <cfRule type="containsText" dxfId="1842" priority="56" operator="containsText" text="Retentor">
      <formula>NOT(ISERROR(SEARCH("Retentor",B5)))</formula>
    </cfRule>
    <cfRule type="containsText" dxfId="1841" priority="57" operator="containsText" text="Motorredutor">
      <formula>NOT(ISERROR(SEARCH("Motorredutor",B5)))</formula>
    </cfRule>
    <cfRule type="containsText" dxfId="1840" priority="58" operator="containsText" text="Redutor">
      <formula>NOT(ISERROR(SEARCH("Redutor",B5)))</formula>
    </cfRule>
    <cfRule type="containsText" dxfId="1839" priority="59" operator="containsText" text="Bomba">
      <formula>NOT(ISERROR(SEARCH("Bomba",B5)))</formula>
    </cfRule>
  </conditionalFormatting>
  <conditionalFormatting sqref="B94:H95">
    <cfRule type="containsText" dxfId="1831" priority="35" operator="containsText" text="Pulverização">
      <formula>NOT(ISERROR(SEARCH("Pulverização",B94)))</formula>
    </cfRule>
    <cfRule type="cellIs" dxfId="1830" priority="36" operator="greaterThan">
      <formula>$J$5</formula>
    </cfRule>
    <cfRule type="containsText" dxfId="1829" priority="37" operator="containsText" text="Cardã">
      <formula>NOT(ISERROR(SEARCH("Cardã",B94)))</formula>
    </cfRule>
    <cfRule type="containsText" dxfId="1828" priority="38" operator="containsText" text="Pneu">
      <formula>NOT(ISERROR(SEARCH("Pneu",B94)))</formula>
    </cfRule>
    <cfRule type="containsText" dxfId="1827" priority="39" operator="containsText" text="Vedação">
      <formula>NOT(ISERROR(SEARCH("Vedação",B94)))</formula>
    </cfRule>
    <cfRule type="containsText" dxfId="1826" priority="40" operator="containsText" text="Retentor">
      <formula>NOT(ISERROR(SEARCH("Retentor",B94)))</formula>
    </cfRule>
    <cfRule type="containsText" dxfId="1825" priority="41" operator="containsText" text="Motorredutor">
      <formula>NOT(ISERROR(SEARCH("Motorredutor",B94)))</formula>
    </cfRule>
    <cfRule type="containsText" dxfId="1824" priority="42" operator="containsText" text="Redutor">
      <formula>NOT(ISERROR(SEARCH("Redutor",B94)))</formula>
    </cfRule>
    <cfRule type="containsText" dxfId="1823" priority="43" operator="containsText" text="Bomba">
      <formula>NOT(ISERROR(SEARCH("Bomba",B94)))</formula>
    </cfRule>
  </conditionalFormatting>
  <dataValidations count="2">
    <dataValidation type="list" allowBlank="1" showInputMessage="1" showErrorMessage="1" sqref="B94:H95" xr:uid="{831530B2-03DC-4DBB-9F0F-DF07BF90A980}">
      <formula1>$J$5:$J$11</formula1>
    </dataValidation>
    <dataValidation type="list" allowBlank="1" showInputMessage="1" showErrorMessage="1" sqref="B5:H93" xr:uid="{FE995C83-6570-49D5-9005-1F86A79A3ED6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366F0D4-DD63-4AA1-A0A9-5877385DB512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37EE0C8C-EBC7-4DCC-9DB8-056C5E510731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E390B8FB-F2AF-4924-863F-255D7CC92A22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1E017138-C2A2-4E69-85F5-6B7122446B68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95692DA5-CB78-4494-B11C-031C232F21E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0707D92A-354E-4770-BFAC-46F74F5A7250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3DBD8AB2-CC3B-41DD-9BBF-CC4F321F5E8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BEF224FC-2DE0-4D64-AB59-9F94B06DF6D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E721DE86-CF9D-420E-9EF9-379A38CF77F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25A789D8-6274-4C71-914C-583676F7975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4D59DD5A-A40F-4472-9D9B-86C7744DB1EA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D9851640-9165-47A7-B881-51F5C1B80F9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52601202-5A30-4E03-8F4B-43D029A14157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B57F7341-A022-462E-BC17-EE1688763CE1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A6090C31-510B-485D-AD45-F6A1F4DD566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32591F2A-C17A-4D15-9B11-E89D5748C249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5F28DBDA-1EBF-484A-9EF4-C38503D6CE62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1" operator="containsText" id="{69631373-B945-48F8-AF04-39C89DDF898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9C5382FC-E42E-430E-80CE-980BB6F8901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30" operator="containsText" id="{7FBBD881-E9A9-48D1-B78D-67F9F82F7982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BB391F3B-99E9-4DF6-AB0A-60A1B712F33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5" operator="containsText" id="{A86D34E2-9344-4BEF-A595-439879874E48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6" operator="containsText" id="{58CAE2E9-1FDD-4D71-9A63-0DC763A6B56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27" operator="containsText" id="{D7368586-36CE-416A-9450-329DF77067C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562EA341-B418-42F2-92AD-F0F2E2A1E33C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9" operator="containsText" id="{4439F31D-2FBC-4940-A388-50BD16CA7C5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60" operator="containsText" id="{6137E100-1CDA-43BB-A926-73D4F4445E31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" operator="containsText" id="{8BEF4148-5B68-4269-BE74-D99FDECB0F9D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3" operator="containsText" id="{9888423B-E5B7-4CC4-A87B-47A520F4D12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12" operator="containsText" id="{A26B046F-CB76-4D06-AC15-9F7EA59BF26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  <x14:conditionalFormatting xmlns:xm="http://schemas.microsoft.com/office/excel/2006/main">
          <x14:cfRule type="containsText" priority="44" operator="containsText" id="{17F83AEA-7FB1-4C52-B8D9-45A91448CB36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45" operator="containsText" id="{5C3CEE25-F454-4DEF-B396-E922443ACCCE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7" operator="containsText" id="{66813F71-F2C8-4A3B-A934-5582F3CB8D19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8" operator="containsText" id="{31CDAFA6-59C7-4A30-B6A9-2848BFFED56D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9" operator="containsText" id="{0BD6DE97-7B55-485B-B46A-F067FB18BB93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6" operator="containsText" id="{5723E8CE-6CFF-45A3-A625-C7583FEAFD10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B94:H95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ECBF-7C00-43B9-A0D9-175D86871571}">
  <sheetPr>
    <tabColor rgb="FF92D050"/>
    <pageSetUpPr fitToPage="1"/>
  </sheetPr>
  <dimension ref="A1:P93"/>
  <sheetViews>
    <sheetView showGridLines="0" topLeftCell="D1" zoomScale="115" zoomScaleNormal="115" workbookViewId="0">
      <pane ySplit="4" topLeftCell="A5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183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44865</v>
      </c>
      <c r="C3" s="11">
        <f t="shared" ref="C3:H3" si="0">B3+1</f>
        <v>44866</v>
      </c>
      <c r="D3" s="11">
        <f t="shared" si="0"/>
        <v>44867</v>
      </c>
      <c r="E3" s="11">
        <f t="shared" si="0"/>
        <v>44868</v>
      </c>
      <c r="F3" s="11">
        <f t="shared" si="0"/>
        <v>44869</v>
      </c>
      <c r="G3" s="11">
        <f t="shared" si="0"/>
        <v>44870</v>
      </c>
      <c r="H3" s="12">
        <f t="shared" si="0"/>
        <v>44871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 t="s">
        <v>176</v>
      </c>
      <c r="D5" s="8"/>
      <c r="E5" s="8"/>
      <c r="F5" s="8"/>
      <c r="G5" s="8"/>
      <c r="H5" s="8"/>
      <c r="J5" s="20" t="s">
        <v>4</v>
      </c>
      <c r="K5" s="1">
        <f>COUNTIF($B$5:$H$93,J5)</f>
        <v>4</v>
      </c>
      <c r="L5" s="54">
        <f t="shared" ref="L5:L21" si="2">K5/$K$22</f>
        <v>0.66666666666666663</v>
      </c>
      <c r="M5" s="58">
        <f>B3</f>
        <v>44865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 t="s">
        <v>4</v>
      </c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 t="s">
        <v>4</v>
      </c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2</v>
      </c>
      <c r="L20" s="54">
        <f t="shared" si="2"/>
        <v>0.33333333333333331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6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 t="s">
        <v>176</v>
      </c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 t="s">
        <v>4</v>
      </c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 t="s">
        <v>4</v>
      </c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821" priority="31" operator="containsText" text="Pivô">
      <formula>NOT(ISERROR(SEARCH("Pivô",A1)))</formula>
    </cfRule>
    <cfRule type="containsText" dxfId="1820" priority="32" operator="containsText" text="Pivô">
      <formula>NOT(ISERROR(SEARCH("Pivô",A1)))</formula>
    </cfRule>
  </conditionalFormatting>
  <conditionalFormatting sqref="B5:H93">
    <cfRule type="containsText" dxfId="1817" priority="3" operator="containsText" text="Desponte">
      <formula>NOT(ISERROR(SEARCH("Desponte",B5)))</formula>
    </cfRule>
    <cfRule type="containsText" dxfId="1797" priority="58" operator="containsText" text="Redutor">
      <formula>NOT(ISERROR(SEARCH("Redutor",B5)))</formula>
    </cfRule>
    <cfRule type="containsText" dxfId="1796" priority="59" operator="containsText" text="Bomba">
      <formula>NOT(ISERROR(SEARCH("Bomba",B5)))</formula>
    </cfRule>
    <cfRule type="containsText" dxfId="1794" priority="54" operator="containsText" text="Pneu">
      <formula>NOT(ISERROR(SEARCH("Pneu",B5)))</formula>
    </cfRule>
    <cfRule type="cellIs" dxfId="1793" priority="50" operator="equal">
      <formula>$J$20</formula>
    </cfRule>
    <cfRule type="containsText" dxfId="1792" priority="51" operator="containsText" text="Pulverização">
      <formula>NOT(ISERROR(SEARCH("Pulverização",B5)))</formula>
    </cfRule>
    <cfRule type="cellIs" dxfId="1791" priority="52" operator="greaterThan">
      <formula>$J$5</formula>
    </cfRule>
    <cfRule type="containsText" dxfId="1790" priority="53" operator="containsText" text="Cardã">
      <formula>NOT(ISERROR(SEARCH("Cardã",B5)))</formula>
    </cfRule>
    <cfRule type="containsText" dxfId="1789" priority="55" operator="containsText" text="Vedação">
      <formula>NOT(ISERROR(SEARCH("Vedação",B5)))</formula>
    </cfRule>
    <cfRule type="containsText" dxfId="1788" priority="56" operator="containsText" text="Retentor">
      <formula>NOT(ISERROR(SEARCH("Retentor",B5)))</formula>
    </cfRule>
    <cfRule type="containsText" dxfId="1787" priority="57" operator="containsText" text="Motorredutor">
      <formula>NOT(ISERROR(SEARCH("Motorredutor",B5)))</formula>
    </cfRule>
  </conditionalFormatting>
  <conditionalFormatting sqref="B94:H95">
    <cfRule type="cellIs" dxfId="1778" priority="36" operator="greaterThan">
      <formula>$J$5</formula>
    </cfRule>
    <cfRule type="containsText" dxfId="1777" priority="37" operator="containsText" text="Cardã">
      <formula>NOT(ISERROR(SEARCH("Cardã",B94)))</formula>
    </cfRule>
    <cfRule type="containsText" dxfId="1776" priority="38" operator="containsText" text="Pneu">
      <formula>NOT(ISERROR(SEARCH("Pneu",B94)))</formula>
    </cfRule>
    <cfRule type="containsText" dxfId="1775" priority="39" operator="containsText" text="Vedação">
      <formula>NOT(ISERROR(SEARCH("Vedação",B94)))</formula>
    </cfRule>
    <cfRule type="containsText" dxfId="1774" priority="40" operator="containsText" text="Retentor">
      <formula>NOT(ISERROR(SEARCH("Retentor",B94)))</formula>
    </cfRule>
    <cfRule type="containsText" dxfId="1773" priority="35" operator="containsText" text="Pulverização">
      <formula>NOT(ISERROR(SEARCH("Pulverização",B94)))</formula>
    </cfRule>
    <cfRule type="containsText" dxfId="1772" priority="41" operator="containsText" text="Motorredutor">
      <formula>NOT(ISERROR(SEARCH("Motorredutor",B94)))</formula>
    </cfRule>
    <cfRule type="containsText" dxfId="1771" priority="42" operator="containsText" text="Redutor">
      <formula>NOT(ISERROR(SEARCH("Redutor",B94)))</formula>
    </cfRule>
    <cfRule type="containsText" dxfId="1770" priority="43" operator="containsText" text="Bomba">
      <formula>NOT(ISERROR(SEARCH("Bomba",B94)))</formula>
    </cfRule>
  </conditionalFormatting>
  <dataValidations count="2">
    <dataValidation type="list" allowBlank="1" showInputMessage="1" showErrorMessage="1" sqref="B94:H95" xr:uid="{CE8D70AD-BB89-4B68-83AF-D46CDB976A00}">
      <formula1>$J$5:$J$11</formula1>
    </dataValidation>
    <dataValidation type="list" allowBlank="1" showInputMessage="1" showErrorMessage="1" sqref="B5:H93" xr:uid="{43356D9B-8F6D-486A-90AB-0F40B07FF898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B538EB0-4233-4287-8354-EA006230E90D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EF50030D-77E3-41DE-B037-DE07838C8FFF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E745C684-FF38-48D1-8050-1D51D9CF7EB4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0D63333C-50F4-4A51-BD0A-922B50FCD6AC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DD85016D-F2C9-4351-924D-49E9775B6FD1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94BA3CEA-E4D3-4EF9-BE22-261428F0C85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A9104CA5-C097-4791-8180-D8AA5F940525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373DEB61-6A82-4732-A9CA-FF323ED0960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78D158B1-1D3D-4E56-A00F-9925A1F3A95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0D935FFF-686C-4959-BB7A-51E438F3467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3" operator="containsText" id="{3B331CBE-9716-4E61-A65A-BEE3DED3F3FD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C2898065-BFBF-48E5-8898-D5F12A2BFBD5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5" operator="containsText" id="{EE66231F-D274-489B-8B6F-F78D1A88AD5E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9D3F499E-7E2C-4C9D-B289-25C1A6E07056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7" operator="containsText" id="{0A89F060-5D41-4A63-9132-68399A2C776C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8" operator="containsText" id="{CE74EBA3-0367-4FAC-8235-6E972835C09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9" operator="containsText" id="{E640412F-4B9F-446A-A038-D9C3855F574A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0" operator="containsText" id="{49AB34B1-731D-4D40-97E4-F22E2D598EA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1" operator="containsText" id="{70BC76F0-E316-4E62-8CE3-5C66E0A49E3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2" operator="containsText" id="{A2B1D570-EED9-4A2F-BF77-10CF7054020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4" operator="containsText" id="{C28259BD-F288-4B22-AE6E-3A65D280B73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60" operator="containsText" id="{5B7CDFCE-9F03-491E-9361-4DE7E10D423F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4" operator="containsText" id="{ADCD53B7-20D8-430A-BF79-673D62F7014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46" operator="containsText" id="{B5C27C20-7A6A-4FE5-9719-979810520A3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7" operator="containsText" id="{93151B1C-016A-47F1-B407-806E05338B9C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9" operator="containsText" id="{3C7CFC35-DEC4-4924-BE8C-6ABD5FDCD0E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44" operator="containsText" id="{72C3A350-F4D1-4344-98CA-2920269846D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45" operator="containsText" id="{29F9B9E4-7A7D-43E5-AB52-A2EA0B743C9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8" operator="containsText" id="{BB662AA8-665E-431E-A4DE-AB236D378B2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33" operator="containsText" id="{E7334064-EF4D-4152-91F0-54F0D3DA479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267A-403D-4AAF-A6E3-D87EBA247634}">
  <sheetPr>
    <tabColor rgb="FF92D050"/>
    <pageSetUpPr fitToPage="1"/>
  </sheetPr>
  <dimension ref="A1:P93"/>
  <sheetViews>
    <sheetView showGridLines="0" zoomScale="115" zoomScaleNormal="115" workbookViewId="0">
      <pane ySplit="4" topLeftCell="A62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184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44872</v>
      </c>
      <c r="C3" s="11">
        <f t="shared" ref="C3:H3" si="0">B3+1</f>
        <v>44873</v>
      </c>
      <c r="D3" s="11">
        <f t="shared" si="0"/>
        <v>44874</v>
      </c>
      <c r="E3" s="11">
        <f t="shared" si="0"/>
        <v>44875</v>
      </c>
      <c r="F3" s="11">
        <f t="shared" si="0"/>
        <v>44876</v>
      </c>
      <c r="G3" s="11">
        <f t="shared" si="0"/>
        <v>44877</v>
      </c>
      <c r="H3" s="12">
        <f t="shared" si="0"/>
        <v>44878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0</v>
      </c>
      <c r="L5" s="54">
        <f t="shared" ref="L5:L21" si="2">K5/$K$22</f>
        <v>0</v>
      </c>
      <c r="M5" s="58">
        <f>B3</f>
        <v>44872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5</v>
      </c>
      <c r="L10" s="54">
        <f t="shared" si="2"/>
        <v>0.38461538461538464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7.6923076923076927E-2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2</v>
      </c>
      <c r="L14" s="54">
        <f t="shared" si="2"/>
        <v>0.15384615384615385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2</v>
      </c>
      <c r="L16" s="54">
        <f t="shared" si="2"/>
        <v>0.15384615384615385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1</v>
      </c>
      <c r="L17" s="54">
        <f t="shared" si="2"/>
        <v>7.6923076923076927E-2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2</v>
      </c>
      <c r="L20" s="54">
        <f t="shared" si="2"/>
        <v>0.15384615384615385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13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 t="s">
        <v>15</v>
      </c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 t="s">
        <v>15</v>
      </c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 t="s">
        <v>118</v>
      </c>
      <c r="C36" s="9" t="s">
        <v>12</v>
      </c>
      <c r="D36" s="9" t="s">
        <v>118</v>
      </c>
      <c r="E36" s="9" t="s">
        <v>118</v>
      </c>
      <c r="F36" s="9" t="s">
        <v>118</v>
      </c>
      <c r="G36" s="9" t="s">
        <v>118</v>
      </c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 t="s">
        <v>176</v>
      </c>
      <c r="C47" s="9" t="s">
        <v>176</v>
      </c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 t="s">
        <v>16</v>
      </c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 t="s">
        <v>13</v>
      </c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 t="s">
        <v>13</v>
      </c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769" priority="23" operator="containsText" text="Pivô">
      <formula>NOT(ISERROR(SEARCH("Pivô",A1)))</formula>
    </cfRule>
    <cfRule type="containsText" dxfId="1768" priority="24" operator="containsText" text="Pivô">
      <formula>NOT(ISERROR(SEARCH("Pivô",A1)))</formula>
    </cfRule>
  </conditionalFormatting>
  <conditionalFormatting sqref="B5:H93">
    <cfRule type="containsText" dxfId="1765" priority="3" operator="containsText" text="Desponte">
      <formula>NOT(ISERROR(SEARCH("Desponte",B5)))</formula>
    </cfRule>
    <cfRule type="containsText" dxfId="1745" priority="50" operator="containsText" text="Redutor">
      <formula>NOT(ISERROR(SEARCH("Redutor",B5)))</formula>
    </cfRule>
    <cfRule type="containsText" dxfId="1744" priority="51" operator="containsText" text="Bomba">
      <formula>NOT(ISERROR(SEARCH("Bomba",B5)))</formula>
    </cfRule>
    <cfRule type="containsText" dxfId="1742" priority="46" operator="containsText" text="Pneu">
      <formula>NOT(ISERROR(SEARCH("Pneu",B5)))</formula>
    </cfRule>
    <cfRule type="cellIs" dxfId="1741" priority="42" operator="equal">
      <formula>$J$20</formula>
    </cfRule>
    <cfRule type="containsText" dxfId="1740" priority="43" operator="containsText" text="Pulverização">
      <formula>NOT(ISERROR(SEARCH("Pulverização",B5)))</formula>
    </cfRule>
    <cfRule type="cellIs" dxfId="1739" priority="44" operator="greaterThan">
      <formula>$J$5</formula>
    </cfRule>
    <cfRule type="containsText" dxfId="1738" priority="45" operator="containsText" text="Cardã">
      <formula>NOT(ISERROR(SEARCH("Cardã",B5)))</formula>
    </cfRule>
    <cfRule type="containsText" dxfId="1737" priority="47" operator="containsText" text="Vedação">
      <formula>NOT(ISERROR(SEARCH("Vedação",B5)))</formula>
    </cfRule>
    <cfRule type="containsText" dxfId="1736" priority="48" operator="containsText" text="Retentor">
      <formula>NOT(ISERROR(SEARCH("Retentor",B5)))</formula>
    </cfRule>
    <cfRule type="containsText" dxfId="1735" priority="49" operator="containsText" text="Motorredutor">
      <formula>NOT(ISERROR(SEARCH("Motorredutor",B5)))</formula>
    </cfRule>
  </conditionalFormatting>
  <conditionalFormatting sqref="B94:H95">
    <cfRule type="cellIs" dxfId="1726" priority="28" operator="greaterThan">
      <formula>$J$5</formula>
    </cfRule>
    <cfRule type="containsText" dxfId="1725" priority="29" operator="containsText" text="Cardã">
      <formula>NOT(ISERROR(SEARCH("Cardã",B94)))</formula>
    </cfRule>
    <cfRule type="containsText" dxfId="1724" priority="30" operator="containsText" text="Pneu">
      <formula>NOT(ISERROR(SEARCH("Pneu",B94)))</formula>
    </cfRule>
    <cfRule type="containsText" dxfId="1723" priority="31" operator="containsText" text="Vedação">
      <formula>NOT(ISERROR(SEARCH("Vedação",B94)))</formula>
    </cfRule>
    <cfRule type="containsText" dxfId="1722" priority="32" operator="containsText" text="Retentor">
      <formula>NOT(ISERROR(SEARCH("Retentor",B94)))</formula>
    </cfRule>
    <cfRule type="containsText" dxfId="1721" priority="27" operator="containsText" text="Pulverização">
      <formula>NOT(ISERROR(SEARCH("Pulverização",B94)))</formula>
    </cfRule>
    <cfRule type="containsText" dxfId="1720" priority="33" operator="containsText" text="Motorredutor">
      <formula>NOT(ISERROR(SEARCH("Motorredutor",B94)))</formula>
    </cfRule>
    <cfRule type="containsText" dxfId="1719" priority="34" operator="containsText" text="Redutor">
      <formula>NOT(ISERROR(SEARCH("Redutor",B94)))</formula>
    </cfRule>
    <cfRule type="containsText" dxfId="1718" priority="35" operator="containsText" text="Bomba">
      <formula>NOT(ISERROR(SEARCH("Bomba",B94)))</formula>
    </cfRule>
  </conditionalFormatting>
  <dataValidations count="2">
    <dataValidation type="list" allowBlank="1" showInputMessage="1" showErrorMessage="1" sqref="B5:H93" xr:uid="{0C6E9079-6754-476C-AEDA-40431DE10CB4}">
      <formula1>$J$5:$J$21</formula1>
    </dataValidation>
    <dataValidation type="list" allowBlank="1" showInputMessage="1" showErrorMessage="1" sqref="B94:H95" xr:uid="{0A816BA7-96DC-4587-A26D-B5F9EFF812C7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1551CB9-CE1B-4AA3-9CAB-11A05BE439C7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38113A27-CA2F-4680-B179-89336454211C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E8A8F352-D3C0-4062-8A5B-67F9C01F585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AA665632-E67D-4C10-A03C-45A83949D0EC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3B2A5DBA-45B8-448D-90A4-92ABE3B574AF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5B0FCDB3-D498-4CE9-935A-0CCC4D27B85D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DCA92E4F-E5FF-4794-9392-6C28C45029C7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801CFD10-72B4-4AAB-857D-CB2D425E0DC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F2099490-9303-4F11-AE7C-6A61494E2F0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DF21CC3D-D65C-4D5F-96D3-BD0E3E69028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E03A37B8-AF12-4BDA-8BEE-6A15EA923F7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1D15D28A-9C06-4D78-9E5E-BC8C302AA3DE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EEF431AA-D519-4560-8EDB-7465D06F073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47093246-9F24-4B70-99F1-DDDFF4B2DBAA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B68F7501-9399-43DB-B7E5-1B0753D2E808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B14404B8-586E-4D9B-9E7D-5E827DE3332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EC16F426-DF0F-4A0F-AE35-B750602207F0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54067741-E4C7-4DD8-A257-F9FE5721A0E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818EF7E9-785A-48C9-BFBB-DD77D78CBF24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1" operator="containsText" id="{FFA3176F-7AC5-486E-B2EE-0B795F74D82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52002D43-4709-480A-B511-85C55D3FB72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AA5F24DF-EA54-4ED8-9157-74B72E248277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6" operator="containsText" id="{8E823A4E-9A71-4927-B879-8860E626F1F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8" operator="containsText" id="{C1CE8179-D09A-45BD-AB54-D1BA5DC74E17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36CC2C2F-F950-4458-9E7B-91F762561199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1" operator="containsText" id="{96C89734-99B2-4A6D-A1E5-0AB56696D933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81B35436-0C18-4F19-9836-2077BF9801DA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7" operator="containsText" id="{149F92A5-FAB8-4E4B-9DEE-24001963E8B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66317D61-ECEF-4C1D-A12C-F58A2E8C2DF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25" operator="containsText" id="{07A73718-5206-41A2-BF84-5DF291147AC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2208-1516-4F1E-90ED-F7641A6BA8A2}">
  <sheetPr>
    <tabColor rgb="FF92D050"/>
    <pageSetUpPr fitToPage="1"/>
  </sheetPr>
  <dimension ref="A1:P93"/>
  <sheetViews>
    <sheetView showGridLines="0" zoomScale="115" zoomScaleNormal="115" workbookViewId="0">
      <pane ySplit="4" topLeftCell="A29" activePane="bottomLeft" state="frozen"/>
      <selection pane="bottomLeft" activeCell="A89" sqref="A89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185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44879</v>
      </c>
      <c r="C3" s="11">
        <f t="shared" ref="C3:H3" si="0">B3+1</f>
        <v>44880</v>
      </c>
      <c r="D3" s="11">
        <f t="shared" si="0"/>
        <v>44881</v>
      </c>
      <c r="E3" s="11">
        <f t="shared" si="0"/>
        <v>44882</v>
      </c>
      <c r="F3" s="11">
        <f t="shared" si="0"/>
        <v>44883</v>
      </c>
      <c r="G3" s="11">
        <f t="shared" si="0"/>
        <v>44884</v>
      </c>
      <c r="H3" s="12">
        <f t="shared" si="0"/>
        <v>44885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 t="s">
        <v>12</v>
      </c>
      <c r="C5" s="8"/>
      <c r="D5" s="8"/>
      <c r="E5" s="8"/>
      <c r="F5" s="8"/>
      <c r="G5" s="8"/>
      <c r="H5" s="8"/>
      <c r="J5" s="20" t="s">
        <v>4</v>
      </c>
      <c r="K5" s="1">
        <f>COUNTIF($B$5:$H$93,J5)</f>
        <v>0</v>
      </c>
      <c r="L5" s="54">
        <f t="shared" ref="L5:L21" si="2">K5/$K$22</f>
        <v>0</v>
      </c>
      <c r="M5" s="58">
        <f>B3</f>
        <v>44879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1</v>
      </c>
      <c r="L10" s="54">
        <f t="shared" si="2"/>
        <v>0.5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0.5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0</v>
      </c>
      <c r="L20" s="54">
        <f t="shared" si="2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 t="s">
        <v>118</v>
      </c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717" priority="23" operator="containsText" text="Pivô">
      <formula>NOT(ISERROR(SEARCH("Pivô",A1)))</formula>
    </cfRule>
    <cfRule type="containsText" dxfId="1716" priority="24" operator="containsText" text="Pivô">
      <formula>NOT(ISERROR(SEARCH("Pivô",A1)))</formula>
    </cfRule>
  </conditionalFormatting>
  <conditionalFormatting sqref="B5:H93">
    <cfRule type="containsText" dxfId="1713" priority="3" operator="containsText" text="Desponte">
      <formula>NOT(ISERROR(SEARCH("Desponte",B5)))</formula>
    </cfRule>
    <cfRule type="containsText" dxfId="1693" priority="50" operator="containsText" text="Redutor">
      <formula>NOT(ISERROR(SEARCH("Redutor",B5)))</formula>
    </cfRule>
    <cfRule type="containsText" dxfId="1692" priority="51" operator="containsText" text="Bomba">
      <formula>NOT(ISERROR(SEARCH("Bomba",B5)))</formula>
    </cfRule>
    <cfRule type="containsText" dxfId="1690" priority="46" operator="containsText" text="Pneu">
      <formula>NOT(ISERROR(SEARCH("Pneu",B5)))</formula>
    </cfRule>
    <cfRule type="cellIs" dxfId="1689" priority="42" operator="equal">
      <formula>$J$20</formula>
    </cfRule>
    <cfRule type="containsText" dxfId="1688" priority="43" operator="containsText" text="Pulverização">
      <formula>NOT(ISERROR(SEARCH("Pulverização",B5)))</formula>
    </cfRule>
    <cfRule type="cellIs" dxfId="1687" priority="44" operator="greaterThan">
      <formula>$J$5</formula>
    </cfRule>
    <cfRule type="containsText" dxfId="1686" priority="45" operator="containsText" text="Cardã">
      <formula>NOT(ISERROR(SEARCH("Cardã",B5)))</formula>
    </cfRule>
    <cfRule type="containsText" dxfId="1685" priority="47" operator="containsText" text="Vedação">
      <formula>NOT(ISERROR(SEARCH("Vedação",B5)))</formula>
    </cfRule>
    <cfRule type="containsText" dxfId="1684" priority="48" operator="containsText" text="Retentor">
      <formula>NOT(ISERROR(SEARCH("Retentor",B5)))</formula>
    </cfRule>
    <cfRule type="containsText" dxfId="1683" priority="49" operator="containsText" text="Motorredutor">
      <formula>NOT(ISERROR(SEARCH("Motorredutor",B5)))</formula>
    </cfRule>
  </conditionalFormatting>
  <conditionalFormatting sqref="B94:H95">
    <cfRule type="cellIs" dxfId="1674" priority="28" operator="greaterThan">
      <formula>$J$5</formula>
    </cfRule>
    <cfRule type="containsText" dxfId="1673" priority="29" operator="containsText" text="Cardã">
      <formula>NOT(ISERROR(SEARCH("Cardã",B94)))</formula>
    </cfRule>
    <cfRule type="containsText" dxfId="1672" priority="30" operator="containsText" text="Pneu">
      <formula>NOT(ISERROR(SEARCH("Pneu",B94)))</formula>
    </cfRule>
    <cfRule type="containsText" dxfId="1671" priority="31" operator="containsText" text="Vedação">
      <formula>NOT(ISERROR(SEARCH("Vedação",B94)))</formula>
    </cfRule>
    <cfRule type="containsText" dxfId="1670" priority="32" operator="containsText" text="Retentor">
      <formula>NOT(ISERROR(SEARCH("Retentor",B94)))</formula>
    </cfRule>
    <cfRule type="containsText" dxfId="1669" priority="27" operator="containsText" text="Pulverização">
      <formula>NOT(ISERROR(SEARCH("Pulverização",B94)))</formula>
    </cfRule>
    <cfRule type="containsText" dxfId="1668" priority="33" operator="containsText" text="Motorredutor">
      <formula>NOT(ISERROR(SEARCH("Motorredutor",B94)))</formula>
    </cfRule>
    <cfRule type="containsText" dxfId="1667" priority="34" operator="containsText" text="Redutor">
      <formula>NOT(ISERROR(SEARCH("Redutor",B94)))</formula>
    </cfRule>
    <cfRule type="containsText" dxfId="1666" priority="35" operator="containsText" text="Bomba">
      <formula>NOT(ISERROR(SEARCH("Bomba",B94)))</formula>
    </cfRule>
  </conditionalFormatting>
  <dataValidations count="2">
    <dataValidation type="list" allowBlank="1" showInputMessage="1" showErrorMessage="1" sqref="B94:H95" xr:uid="{D98A14C8-8EBF-4BF3-ACD9-649B05D59509}">
      <formula1>$J$5:$J$11</formula1>
    </dataValidation>
    <dataValidation type="list" allowBlank="1" showInputMessage="1" showErrorMessage="1" sqref="B5:H93" xr:uid="{7E471B91-AD05-4400-B7B6-B4DF2F0625C2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1FF7BA0-5528-436B-8D60-A5E6B4461B83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B333239A-B3FF-4407-8E93-21B5EED9A456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145E8E5D-BD8C-4D34-B4BD-7DE8CCF564A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204F6182-7398-4524-B2E6-53B67C0809B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1EF59D7C-1551-43EC-AE8C-E484248788CC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802DCFDC-643D-47C2-8900-8750D90F69E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9BF3D74B-68A7-491A-8F69-84E43F6324C5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2C903CB1-EA1F-4ED0-AC13-F5BA7CE2572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607B20B1-E8AF-4CA1-8595-3EF74577260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AB137F27-9E96-47A6-90EF-F639510C3AA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427AE290-4DE7-40CF-A613-713948019EF2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9F7CBA13-9C2B-40A8-B640-37B3658AAD06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B91E01AA-C6CE-4445-B0E8-A32F39D3020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5CDC4310-DC8B-4F4C-965B-ABD6C5F6B43B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74DBA2C6-FCE0-441F-8A80-8A2DE8080D89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CB796D18-B077-4AB9-A70D-617AA74A49E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465CA917-6436-4814-ABA4-2A638721E34A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234C5EDC-4CCB-40FE-B64F-5E48CBAC0C9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FD5F0B05-5B86-4BEA-91A5-59118127A6E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1" operator="containsText" id="{5EE7F5B0-D65A-4F38-AA82-46B08379B46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44F63405-8CAE-4A48-8917-43A2A572756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32A473C2-DDEF-4866-855E-7D8DD59B7BDA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6" operator="containsText" id="{C55C0062-7C5D-4464-90D5-5B896305BFD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8" operator="containsText" id="{9BB7942B-7FBE-442F-9546-B42CF22969E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725B13B9-4D1E-4945-8B12-D7D319A7BD51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1" operator="containsText" id="{FEAB73AB-6D30-451D-9A83-E7BC66E3CC19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290CA4BF-BC15-4495-823D-0C0D700B2A96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7" operator="containsText" id="{3A57ABC3-81DB-4AC5-961B-D2DC73D3D30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EFA3BA5E-CFC9-40C2-85E8-2C9FEBCF3F2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25" operator="containsText" id="{18034CD7-72BD-44E3-BED2-4A1E1C50493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94B4-DFDE-4E4D-BB9E-CD9F6B63A1CA}">
  <sheetPr>
    <tabColor rgb="FF92D050"/>
    <pageSetUpPr fitToPage="1"/>
  </sheetPr>
  <dimension ref="A1:P93"/>
  <sheetViews>
    <sheetView showGridLines="0" zoomScale="115" zoomScaleNormal="115" workbookViewId="0">
      <pane ySplit="4" topLeftCell="A26" activePane="bottomLeft" state="frozen"/>
      <selection pane="bottomLeft" activeCell="F5" sqref="F5:F33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185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44893</v>
      </c>
      <c r="C3" s="11">
        <f t="shared" ref="C3:H3" si="0">B3+1</f>
        <v>44894</v>
      </c>
      <c r="D3" s="11">
        <f t="shared" si="0"/>
        <v>44895</v>
      </c>
      <c r="E3" s="11">
        <f t="shared" si="0"/>
        <v>44896</v>
      </c>
      <c r="F3" s="11">
        <f t="shared" si="0"/>
        <v>44897</v>
      </c>
      <c r="G3" s="11">
        <f t="shared" si="0"/>
        <v>44898</v>
      </c>
      <c r="H3" s="12">
        <f t="shared" si="0"/>
        <v>44899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 t="s">
        <v>12</v>
      </c>
      <c r="G5" s="8"/>
      <c r="H5" s="8"/>
      <c r="J5" s="20" t="s">
        <v>4</v>
      </c>
      <c r="K5" s="1">
        <f>COUNTIF($B$5:$H$93,J5)</f>
        <v>0</v>
      </c>
      <c r="L5" s="54">
        <f t="shared" ref="L5:L21" si="2">K5/$K$22</f>
        <v>0</v>
      </c>
      <c r="M5" s="58">
        <f>B3</f>
        <v>44893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0.5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1</v>
      </c>
      <c r="L14" s="54">
        <f t="shared" si="2"/>
        <v>0.5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0</v>
      </c>
      <c r="L20" s="54">
        <f t="shared" si="2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 t="s">
        <v>13</v>
      </c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665" priority="23" operator="containsText" text="Pivô">
      <formula>NOT(ISERROR(SEARCH("Pivô",A1)))</formula>
    </cfRule>
    <cfRule type="containsText" dxfId="1664" priority="24" operator="containsText" text="Pivô">
      <formula>NOT(ISERROR(SEARCH("Pivô",A1)))</formula>
    </cfRule>
  </conditionalFormatting>
  <conditionalFormatting sqref="B5:H93">
    <cfRule type="containsText" dxfId="1661" priority="3" operator="containsText" text="Desponte">
      <formula>NOT(ISERROR(SEARCH("Desponte",B5)))</formula>
    </cfRule>
    <cfRule type="containsText" dxfId="1641" priority="50" operator="containsText" text="Redutor">
      <formula>NOT(ISERROR(SEARCH("Redutor",B5)))</formula>
    </cfRule>
    <cfRule type="containsText" dxfId="1640" priority="51" operator="containsText" text="Bomba">
      <formula>NOT(ISERROR(SEARCH("Bomba",B5)))</formula>
    </cfRule>
    <cfRule type="containsText" dxfId="1638" priority="46" operator="containsText" text="Pneu">
      <formula>NOT(ISERROR(SEARCH("Pneu",B5)))</formula>
    </cfRule>
    <cfRule type="cellIs" dxfId="1637" priority="42" operator="equal">
      <formula>$J$20</formula>
    </cfRule>
    <cfRule type="containsText" dxfId="1636" priority="43" operator="containsText" text="Pulverização">
      <formula>NOT(ISERROR(SEARCH("Pulverização",B5)))</formula>
    </cfRule>
    <cfRule type="cellIs" dxfId="1635" priority="44" operator="greaterThan">
      <formula>$J$5</formula>
    </cfRule>
    <cfRule type="containsText" dxfId="1634" priority="45" operator="containsText" text="Cardã">
      <formula>NOT(ISERROR(SEARCH("Cardã",B5)))</formula>
    </cfRule>
    <cfRule type="containsText" dxfId="1633" priority="47" operator="containsText" text="Vedação">
      <formula>NOT(ISERROR(SEARCH("Vedação",B5)))</formula>
    </cfRule>
    <cfRule type="containsText" dxfId="1632" priority="48" operator="containsText" text="Retentor">
      <formula>NOT(ISERROR(SEARCH("Retentor",B5)))</formula>
    </cfRule>
    <cfRule type="containsText" dxfId="1631" priority="49" operator="containsText" text="Motorredutor">
      <formula>NOT(ISERROR(SEARCH("Motorredutor",B5)))</formula>
    </cfRule>
  </conditionalFormatting>
  <conditionalFormatting sqref="B94:H95">
    <cfRule type="cellIs" dxfId="1622" priority="28" operator="greaterThan">
      <formula>$J$5</formula>
    </cfRule>
    <cfRule type="containsText" dxfId="1621" priority="29" operator="containsText" text="Cardã">
      <formula>NOT(ISERROR(SEARCH("Cardã",B94)))</formula>
    </cfRule>
    <cfRule type="containsText" dxfId="1620" priority="30" operator="containsText" text="Pneu">
      <formula>NOT(ISERROR(SEARCH("Pneu",B94)))</formula>
    </cfRule>
    <cfRule type="containsText" dxfId="1619" priority="31" operator="containsText" text="Vedação">
      <formula>NOT(ISERROR(SEARCH("Vedação",B94)))</formula>
    </cfRule>
    <cfRule type="containsText" dxfId="1618" priority="32" operator="containsText" text="Retentor">
      <formula>NOT(ISERROR(SEARCH("Retentor",B94)))</formula>
    </cfRule>
    <cfRule type="containsText" dxfId="1617" priority="27" operator="containsText" text="Pulverização">
      <formula>NOT(ISERROR(SEARCH("Pulverização",B94)))</formula>
    </cfRule>
    <cfRule type="containsText" dxfId="1616" priority="33" operator="containsText" text="Motorredutor">
      <formula>NOT(ISERROR(SEARCH("Motorredutor",B94)))</formula>
    </cfRule>
    <cfRule type="containsText" dxfId="1615" priority="34" operator="containsText" text="Redutor">
      <formula>NOT(ISERROR(SEARCH("Redutor",B94)))</formula>
    </cfRule>
    <cfRule type="containsText" dxfId="1614" priority="35" operator="containsText" text="Bomba">
      <formula>NOT(ISERROR(SEARCH("Bomba",B94)))</formula>
    </cfRule>
  </conditionalFormatting>
  <dataValidations count="2">
    <dataValidation type="list" allowBlank="1" showInputMessage="1" showErrorMessage="1" sqref="B5:H93" xr:uid="{09C90C0B-EFAF-44BD-BB1B-2AEFA1766F0F}">
      <formula1>$J$5:$J$21</formula1>
    </dataValidation>
    <dataValidation type="list" allowBlank="1" showInputMessage="1" showErrorMessage="1" sqref="B94:H95" xr:uid="{A1927D15-AA1B-4175-AD84-5BA2F41A5F52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AAAF90B-A974-4474-96B8-0D1DE0111C3E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23978017-9105-43D4-A677-F9209CAC114A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EF32B1D8-265A-490C-8B6B-8904746B86D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40610A2D-4458-43C9-9490-4F3939465F51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84820A78-633B-48A3-98CD-A360A5FBF2D5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10E22DC1-353E-476F-A5A3-3646C03AD15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C8565C88-3CE1-4ED0-B1CF-F13673F6A915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1F8842EC-E5FF-4AEB-B747-D10B937751C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E4E4EEC1-3B9D-4DA1-9178-0802C6351AE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6D8BA40F-0356-4DC8-AD35-013882781548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0C8C715A-FE1C-4AA4-B26B-8A1B6AA0FBD3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0FD443B1-B168-4857-B1DE-91AA535427DD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A82AA827-D3EA-4B87-8994-C7D03BAE6B8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BA712A28-5B39-480C-9930-80B57A91145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0218F8FE-2F42-401F-ACFC-4533BAF2D95A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38FAF331-2F83-400A-9583-57779B11EB4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ACC49398-4097-40DD-8295-73912698358E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1C205139-FE4A-4B27-9AB1-8F0D9D2D556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227B8A8C-7037-4415-8BC7-84E0AB0BB57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1" operator="containsText" id="{1D2A9ECB-36A4-4221-9C1F-96356C46285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F68D579A-D44A-4D56-803C-1A9C66993C9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13E63270-0829-49BA-A256-E955C9074CE9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6" operator="containsText" id="{BC9A3D1B-5224-418F-929C-8C58D6FEC2E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8" operator="containsText" id="{473BE3AF-12A7-401F-B5B9-093868E263B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5A1D7EC3-F193-4ECA-A308-71E2ADBE678D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1" operator="containsText" id="{75060FA8-1FBE-4D5C-BCF8-06846F2A08E8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D90A0D5C-3796-40C8-BC8D-C7B93571F9C7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7" operator="containsText" id="{1AFEA0D0-359B-4CB3-A240-61531D18840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CB9AF16B-5EFE-476B-B4E0-37954D1CD6F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25" operator="containsText" id="{FF985D59-C5EA-4674-9467-F56BA2F65A0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FC06-267B-4D50-8E90-A05B287A49F6}">
  <sheetPr>
    <tabColor rgb="FF92D050"/>
    <pageSetUpPr fitToPage="1"/>
  </sheetPr>
  <dimension ref="A1:P93"/>
  <sheetViews>
    <sheetView showGridLines="0" zoomScale="115" zoomScaleNormal="115" workbookViewId="0">
      <pane ySplit="4" topLeftCell="A77" activePane="bottomLeft" state="frozen"/>
      <selection pane="bottomLeft" activeCell="A21" sqref="A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186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44900</v>
      </c>
      <c r="C3" s="11">
        <f t="shared" ref="C3:H3" si="0">B3+1</f>
        <v>44901</v>
      </c>
      <c r="D3" s="11">
        <f t="shared" si="0"/>
        <v>44902</v>
      </c>
      <c r="E3" s="11">
        <f t="shared" si="0"/>
        <v>44903</v>
      </c>
      <c r="F3" s="11">
        <f t="shared" si="0"/>
        <v>44904</v>
      </c>
      <c r="G3" s="11">
        <f t="shared" si="0"/>
        <v>44905</v>
      </c>
      <c r="H3" s="12">
        <f t="shared" si="0"/>
        <v>44906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1</v>
      </c>
      <c r="L5" s="54">
        <f t="shared" ref="L5:L21" si="2">K5/$K$22</f>
        <v>0.25</v>
      </c>
      <c r="M5" s="58">
        <f>B3</f>
        <v>44900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0</v>
      </c>
      <c r="L10" s="54">
        <f t="shared" si="2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1</v>
      </c>
      <c r="L11" s="54">
        <f t="shared" si="2"/>
        <v>0.25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0.25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1</v>
      </c>
      <c r="L14" s="54">
        <f t="shared" si="2"/>
        <v>0.25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0</v>
      </c>
      <c r="L20" s="54">
        <f t="shared" si="2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4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 t="s">
        <v>12</v>
      </c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 t="s">
        <v>4</v>
      </c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 t="s">
        <v>10</v>
      </c>
      <c r="C88" s="9" t="s">
        <v>13</v>
      </c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613" priority="23" operator="containsText" text="Pivô">
      <formula>NOT(ISERROR(SEARCH("Pivô",A1)))</formula>
    </cfRule>
    <cfRule type="containsText" dxfId="1612" priority="24" operator="containsText" text="Pivô">
      <formula>NOT(ISERROR(SEARCH("Pivô",A1)))</formula>
    </cfRule>
  </conditionalFormatting>
  <conditionalFormatting sqref="B5:H93">
    <cfRule type="containsText" dxfId="1609" priority="3" operator="containsText" text="Desponte">
      <formula>NOT(ISERROR(SEARCH("Desponte",B5)))</formula>
    </cfRule>
    <cfRule type="containsText" dxfId="1589" priority="50" operator="containsText" text="Redutor">
      <formula>NOT(ISERROR(SEARCH("Redutor",B5)))</formula>
    </cfRule>
    <cfRule type="containsText" dxfId="1588" priority="51" operator="containsText" text="Bomba">
      <formula>NOT(ISERROR(SEARCH("Bomba",B5)))</formula>
    </cfRule>
    <cfRule type="containsText" dxfId="1586" priority="46" operator="containsText" text="Pneu">
      <formula>NOT(ISERROR(SEARCH("Pneu",B5)))</formula>
    </cfRule>
    <cfRule type="cellIs" dxfId="1585" priority="42" operator="equal">
      <formula>$J$20</formula>
    </cfRule>
    <cfRule type="containsText" dxfId="1584" priority="43" operator="containsText" text="Pulverização">
      <formula>NOT(ISERROR(SEARCH("Pulverização",B5)))</formula>
    </cfRule>
    <cfRule type="cellIs" dxfId="1583" priority="44" operator="greaterThan">
      <formula>$J$5</formula>
    </cfRule>
    <cfRule type="containsText" dxfId="1582" priority="45" operator="containsText" text="Cardã">
      <formula>NOT(ISERROR(SEARCH("Cardã",B5)))</formula>
    </cfRule>
    <cfRule type="containsText" dxfId="1581" priority="47" operator="containsText" text="Vedação">
      <formula>NOT(ISERROR(SEARCH("Vedação",B5)))</formula>
    </cfRule>
    <cfRule type="containsText" dxfId="1580" priority="48" operator="containsText" text="Retentor">
      <formula>NOT(ISERROR(SEARCH("Retentor",B5)))</formula>
    </cfRule>
    <cfRule type="containsText" dxfId="1579" priority="49" operator="containsText" text="Motorredutor">
      <formula>NOT(ISERROR(SEARCH("Motorredutor",B5)))</formula>
    </cfRule>
  </conditionalFormatting>
  <conditionalFormatting sqref="B94:H95">
    <cfRule type="cellIs" dxfId="1570" priority="28" operator="greaterThan">
      <formula>$J$5</formula>
    </cfRule>
    <cfRule type="containsText" dxfId="1569" priority="29" operator="containsText" text="Cardã">
      <formula>NOT(ISERROR(SEARCH("Cardã",B94)))</formula>
    </cfRule>
    <cfRule type="containsText" dxfId="1568" priority="30" operator="containsText" text="Pneu">
      <formula>NOT(ISERROR(SEARCH("Pneu",B94)))</formula>
    </cfRule>
    <cfRule type="containsText" dxfId="1567" priority="31" operator="containsText" text="Vedação">
      <formula>NOT(ISERROR(SEARCH("Vedação",B94)))</formula>
    </cfRule>
    <cfRule type="containsText" dxfId="1566" priority="32" operator="containsText" text="Retentor">
      <formula>NOT(ISERROR(SEARCH("Retentor",B94)))</formula>
    </cfRule>
    <cfRule type="containsText" dxfId="1565" priority="27" operator="containsText" text="Pulverização">
      <formula>NOT(ISERROR(SEARCH("Pulverização",B94)))</formula>
    </cfRule>
    <cfRule type="containsText" dxfId="1564" priority="33" operator="containsText" text="Motorredutor">
      <formula>NOT(ISERROR(SEARCH("Motorredutor",B94)))</formula>
    </cfRule>
    <cfRule type="containsText" dxfId="1563" priority="34" operator="containsText" text="Redutor">
      <formula>NOT(ISERROR(SEARCH("Redutor",B94)))</formula>
    </cfRule>
    <cfRule type="containsText" dxfId="1562" priority="35" operator="containsText" text="Bomba">
      <formula>NOT(ISERROR(SEARCH("Bomba",B94)))</formula>
    </cfRule>
  </conditionalFormatting>
  <dataValidations count="2">
    <dataValidation type="list" allowBlank="1" showInputMessage="1" showErrorMessage="1" sqref="B5:H93" xr:uid="{D6F99B79-ED19-413D-9A9B-AAEE37D93955}">
      <formula1>$J$5:$J$21</formula1>
    </dataValidation>
    <dataValidation type="list" allowBlank="1" showInputMessage="1" showErrorMessage="1" sqref="B94:H95" xr:uid="{0DA92151-5CC9-4D19-B3AF-313F6E99F5AA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BDE0C26-05F8-43CC-B399-7C70001EDC58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977F3B80-7439-4045-BB71-70BDA54E52B0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6F9C4EDD-1277-41F0-A1BA-EE5691979B9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7F4F7C77-8142-4945-9744-62602EB48961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5D1EF090-35B7-41E5-8FF8-A302767E50E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26602779-CE26-4702-A9F0-F867E34FC83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E3FC2853-2A0F-499B-AD70-4A5A8E2A618B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9D147EC5-9B0B-498D-A5A1-36765574823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0F5A4996-26A7-4B97-8F69-0D877BEB07C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EDC8A51D-199C-453F-90E8-5BEA86D36C8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81B1C456-18E0-450A-8528-8D44AC9361D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A7BA7BE7-EBAA-4BF4-B2A9-74F40334FD6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5D86385B-08D4-458C-8AFA-A6D2DBB5D6A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D569578A-3C6C-4D4D-9542-742B2CD28337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FEE4DCAA-7F79-4D8B-911D-FC84059FF45C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C0519041-8BB6-49B8-928E-938CE16C89C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10081854-E287-4230-B768-9CF1089EA3D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4B16F727-B7BD-4626-AC60-EE618B54EFF7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7E399B4C-7BC4-4526-BB76-F00105BE44E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1" operator="containsText" id="{76287519-1D70-42EB-B03F-8B570EBE586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66D11B5C-FE6A-43E3-AD58-D430E878F3C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4E0D6E9A-8AC3-4720-AD02-9E33FECC6D50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6" operator="containsText" id="{2A1A2300-CCA1-4766-AF64-9B204CD75CF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8" operator="containsText" id="{BDC867CA-C79F-44BA-94B1-3DA248C2845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F70E8E19-76F9-431B-A744-F742442567E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1" operator="containsText" id="{35E945B2-7EE4-4C97-9356-42AB1031FE4B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4B58D66B-8385-447E-8CD8-E7ACDC60FB6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7" operator="containsText" id="{9E7C4DFA-4C57-4AFE-A4DC-773860A0DFF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4D6056D7-1A58-4640-AFF9-5FCBDAFE182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25" operator="containsText" id="{0CDFD701-677B-4F54-B35D-C80F2C239C8D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AFA4-09A8-49F7-BD05-68304436F951}">
  <sheetPr>
    <tabColor rgb="FF92D050"/>
    <pageSetUpPr fitToPage="1"/>
  </sheetPr>
  <dimension ref="A1:P93"/>
  <sheetViews>
    <sheetView showGridLines="0" zoomScale="115" zoomScaleNormal="115" workbookViewId="0">
      <pane ySplit="4" topLeftCell="A71" activePane="bottomLeft" state="frozen"/>
      <selection pane="bottomLeft" activeCell="D22" sqref="D22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187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44928</v>
      </c>
      <c r="C3" s="11">
        <f t="shared" ref="C3:H3" si="0">B3+1</f>
        <v>44929</v>
      </c>
      <c r="D3" s="11">
        <f t="shared" si="0"/>
        <v>44930</v>
      </c>
      <c r="E3" s="11">
        <f t="shared" si="0"/>
        <v>44931</v>
      </c>
      <c r="F3" s="11">
        <f t="shared" si="0"/>
        <v>44932</v>
      </c>
      <c r="G3" s="11">
        <f t="shared" si="0"/>
        <v>44933</v>
      </c>
      <c r="H3" s="12">
        <f t="shared" si="0"/>
        <v>44934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2</v>
      </c>
      <c r="L5" s="54">
        <f t="shared" ref="L5:L21" si="2">K5/$K$22</f>
        <v>0.22222222222222221</v>
      </c>
      <c r="M5" s="58">
        <f>B3</f>
        <v>44928</v>
      </c>
    </row>
    <row r="6" spans="1:16" x14ac:dyDescent="0.25">
      <c r="A6" s="6" t="s">
        <v>25</v>
      </c>
      <c r="B6" s="9"/>
      <c r="C6" s="9" t="s">
        <v>166</v>
      </c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 t="s">
        <v>4</v>
      </c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1</v>
      </c>
      <c r="L9" s="54">
        <f t="shared" si="2"/>
        <v>0.1111111111111111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4</v>
      </c>
      <c r="L10" s="54">
        <f t="shared" si="2"/>
        <v>0.44444444444444442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1</v>
      </c>
      <c r="L14" s="54">
        <f t="shared" si="2"/>
        <v>0.1111111111111111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0</v>
      </c>
      <c r="L16" s="54">
        <f t="shared" si="2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1</v>
      </c>
      <c r="L18" s="54">
        <f t="shared" si="2"/>
        <v>0.1111111111111111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0</v>
      </c>
      <c r="L20" s="54">
        <f t="shared" si="2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9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 t="s">
        <v>118</v>
      </c>
      <c r="D32" s="9" t="s">
        <v>118</v>
      </c>
      <c r="E32" s="9" t="s">
        <v>118</v>
      </c>
      <c r="F32" s="9" t="s">
        <v>118</v>
      </c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 t="s">
        <v>13</v>
      </c>
      <c r="F34" s="9"/>
      <c r="G34" s="9"/>
      <c r="H34" s="9"/>
    </row>
    <row r="35" spans="1:8" x14ac:dyDescent="0.25">
      <c r="A35" s="6" t="s">
        <v>57</v>
      </c>
      <c r="B35" s="9"/>
      <c r="C35" s="9" t="s">
        <v>30</v>
      </c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 t="s">
        <v>4</v>
      </c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561" priority="23" operator="containsText" text="Pivô">
      <formula>NOT(ISERROR(SEARCH("Pivô",A1)))</formula>
    </cfRule>
    <cfRule type="containsText" dxfId="1560" priority="24" operator="containsText" text="Pivô">
      <formula>NOT(ISERROR(SEARCH("Pivô",A1)))</formula>
    </cfRule>
  </conditionalFormatting>
  <conditionalFormatting sqref="B5:H93">
    <cfRule type="containsText" dxfId="1557" priority="3" operator="containsText" text="Desponte">
      <formula>NOT(ISERROR(SEARCH("Desponte",B5)))</formula>
    </cfRule>
    <cfRule type="containsText" dxfId="1537" priority="50" operator="containsText" text="Redutor">
      <formula>NOT(ISERROR(SEARCH("Redutor",B5)))</formula>
    </cfRule>
    <cfRule type="containsText" dxfId="1536" priority="51" operator="containsText" text="Bomba">
      <formula>NOT(ISERROR(SEARCH("Bomba",B5)))</formula>
    </cfRule>
    <cfRule type="containsText" dxfId="1534" priority="46" operator="containsText" text="Pneu">
      <formula>NOT(ISERROR(SEARCH("Pneu",B5)))</formula>
    </cfRule>
    <cfRule type="cellIs" dxfId="1533" priority="42" operator="equal">
      <formula>$J$20</formula>
    </cfRule>
    <cfRule type="containsText" dxfId="1532" priority="43" operator="containsText" text="Pulverização">
      <formula>NOT(ISERROR(SEARCH("Pulverização",B5)))</formula>
    </cfRule>
    <cfRule type="cellIs" dxfId="1531" priority="44" operator="greaterThan">
      <formula>$J$5</formula>
    </cfRule>
    <cfRule type="containsText" dxfId="1530" priority="45" operator="containsText" text="Cardã">
      <formula>NOT(ISERROR(SEARCH("Cardã",B5)))</formula>
    </cfRule>
    <cfRule type="containsText" dxfId="1529" priority="47" operator="containsText" text="Vedação">
      <formula>NOT(ISERROR(SEARCH("Vedação",B5)))</formula>
    </cfRule>
    <cfRule type="containsText" dxfId="1528" priority="48" operator="containsText" text="Retentor">
      <formula>NOT(ISERROR(SEARCH("Retentor",B5)))</formula>
    </cfRule>
    <cfRule type="containsText" dxfId="1527" priority="49" operator="containsText" text="Motorredutor">
      <formula>NOT(ISERROR(SEARCH("Motorredutor",B5)))</formula>
    </cfRule>
  </conditionalFormatting>
  <conditionalFormatting sqref="B94:H95">
    <cfRule type="cellIs" dxfId="1518" priority="28" operator="greaterThan">
      <formula>$J$5</formula>
    </cfRule>
    <cfRule type="containsText" dxfId="1517" priority="29" operator="containsText" text="Cardã">
      <formula>NOT(ISERROR(SEARCH("Cardã",B94)))</formula>
    </cfRule>
    <cfRule type="containsText" dxfId="1516" priority="30" operator="containsText" text="Pneu">
      <formula>NOT(ISERROR(SEARCH("Pneu",B94)))</formula>
    </cfRule>
    <cfRule type="containsText" dxfId="1515" priority="31" operator="containsText" text="Vedação">
      <formula>NOT(ISERROR(SEARCH("Vedação",B94)))</formula>
    </cfRule>
    <cfRule type="containsText" dxfId="1514" priority="32" operator="containsText" text="Retentor">
      <formula>NOT(ISERROR(SEARCH("Retentor",B94)))</formula>
    </cfRule>
    <cfRule type="containsText" dxfId="1513" priority="27" operator="containsText" text="Pulverização">
      <formula>NOT(ISERROR(SEARCH("Pulverização",B94)))</formula>
    </cfRule>
    <cfRule type="containsText" dxfId="1512" priority="33" operator="containsText" text="Motorredutor">
      <formula>NOT(ISERROR(SEARCH("Motorredutor",B94)))</formula>
    </cfRule>
    <cfRule type="containsText" dxfId="1511" priority="34" operator="containsText" text="Redutor">
      <formula>NOT(ISERROR(SEARCH("Redutor",B94)))</formula>
    </cfRule>
    <cfRule type="containsText" dxfId="1510" priority="35" operator="containsText" text="Bomba">
      <formula>NOT(ISERROR(SEARCH("Bomba",B94)))</formula>
    </cfRule>
  </conditionalFormatting>
  <dataValidations count="2">
    <dataValidation type="list" allowBlank="1" showInputMessage="1" showErrorMessage="1" sqref="B94:H95" xr:uid="{35C3B691-6ACA-4BE8-AE88-06C06486E107}">
      <formula1>$J$5:$J$11</formula1>
    </dataValidation>
    <dataValidation type="list" allowBlank="1" showInputMessage="1" showErrorMessage="1" sqref="B5:H93" xr:uid="{BCB48250-B358-403A-941B-0DEDB5EF0379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06FAD76-C5DF-42D6-93CF-4F2B0838AE93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0053F1CA-A583-4884-8F47-41761708990F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07C3391C-6B9B-4029-93C9-2340C09EDD29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D2D33BEE-7D31-4FFF-AF60-27D26D1F9C47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AE689E21-5C55-4B3E-BE6E-0B7C965F2822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C3E1FB73-C30C-43BB-815A-C96B860A0E02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770F360C-2E66-4204-9D3C-242E39CA486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D649CB20-CA59-424F-8B77-3B7E0BFCA5B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4E8A6C2D-988F-43B9-940A-0E1650A6616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E90625A3-2757-4266-9E27-218C563D1B9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395EE138-7E96-4327-B6F0-1185CA25CF42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A0EF48F4-4D20-4CBE-A04D-08A6771A6769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626C448C-AD87-446D-9525-A7502EBCDDF8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E4F6B385-3FCE-4AA1-BBE5-557DD79B6D3D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6274FCF6-A8BD-49B8-9F82-C930B537FED2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9B712A88-1062-4878-BFE8-A311079996B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9FE7A6EC-E7D8-4C96-A308-63A3B59EC3A0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9B72DF1F-31AA-496A-A5C2-8E8B36F432C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32482382-139E-4523-8CC2-B97DAF693BB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1" operator="containsText" id="{5E8B28CD-3B83-4852-BA3D-194ED2B0E28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4309FDDF-7919-4E1E-B8ED-F0FA518401C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56532F71-1ECE-4923-B8AE-930415B8AAB8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6" operator="containsText" id="{1D943F45-3594-4B8A-B163-565EEEFCE66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8" operator="containsText" id="{F549432A-57DB-40E9-8C64-AAC137C0E254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62CA07D6-9096-47ED-A235-A5BFCA986316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1" operator="containsText" id="{F7BA7DE5-5D63-47F5-A23C-E56691759C0A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EA8B547D-724C-4AAE-9826-AA72A92E8E2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7" operator="containsText" id="{A9985553-7E91-420A-9738-8E95639501F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AC5A1CE3-AC2A-4C55-895E-A6EC3005920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25" operator="containsText" id="{94BBAB40-9BFA-42EC-B238-CC3E8FBF0D0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897D-CBB2-423D-B8F6-CED3AAF21B98}">
  <sheetPr>
    <tabColor rgb="FF92D050"/>
    <pageSetUpPr fitToPage="1"/>
  </sheetPr>
  <dimension ref="A1:P93"/>
  <sheetViews>
    <sheetView showGridLines="0" zoomScale="115" zoomScaleNormal="115" workbookViewId="0">
      <pane ySplit="4" topLeftCell="A86" activePane="bottomLeft" state="frozen"/>
      <selection pane="bottomLeft" activeCell="G102" sqref="G102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44942</v>
      </c>
      <c r="C3" s="11">
        <f t="shared" ref="C3:H3" si="0">B3+1</f>
        <v>44943</v>
      </c>
      <c r="D3" s="11">
        <f t="shared" si="0"/>
        <v>44944</v>
      </c>
      <c r="E3" s="11">
        <f t="shared" si="0"/>
        <v>44945</v>
      </c>
      <c r="F3" s="11">
        <f t="shared" si="0"/>
        <v>44946</v>
      </c>
      <c r="G3" s="11">
        <f t="shared" si="0"/>
        <v>44947</v>
      </c>
      <c r="H3" s="12">
        <f t="shared" si="0"/>
        <v>44948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21" si="2">K5/$K$22</f>
        <v>0.25</v>
      </c>
      <c r="M5" s="58">
        <f>B3</f>
        <v>44942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1</v>
      </c>
      <c r="L9" s="54">
        <f t="shared" si="2"/>
        <v>8.3333333333333329E-2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2</v>
      </c>
      <c r="L10" s="54">
        <f t="shared" si="2"/>
        <v>0.16666666666666666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8.3333333333333329E-2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2</v>
      </c>
      <c r="L15" s="54">
        <f t="shared" si="2"/>
        <v>0.16666666666666666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3</v>
      </c>
      <c r="L16" s="54">
        <f t="shared" si="2"/>
        <v>0.25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 t="s">
        <v>121</v>
      </c>
      <c r="F18" s="9" t="s">
        <v>15</v>
      </c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 t="s">
        <v>12</v>
      </c>
      <c r="E19" s="9" t="s">
        <v>4</v>
      </c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0</v>
      </c>
      <c r="L20" s="54">
        <f t="shared" si="2"/>
        <v>0</v>
      </c>
    </row>
    <row r="21" spans="1:12" x14ac:dyDescent="0.25">
      <c r="A21" s="6" t="s">
        <v>43</v>
      </c>
      <c r="B21" s="9"/>
      <c r="C21" s="9"/>
      <c r="D21" s="9"/>
      <c r="E21" s="9" t="s">
        <v>4</v>
      </c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 t="s">
        <v>30</v>
      </c>
      <c r="F22" s="9" t="s">
        <v>4</v>
      </c>
      <c r="G22" s="9"/>
      <c r="H22" s="9"/>
      <c r="J22" s="7" t="s">
        <v>2</v>
      </c>
      <c r="K22" s="1">
        <f>SUM(K5:K21)</f>
        <v>12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 t="s">
        <v>118</v>
      </c>
      <c r="E25" s="9" t="s">
        <v>118</v>
      </c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 t="s">
        <v>15</v>
      </c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 t="s">
        <v>15</v>
      </c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 t="s">
        <v>121</v>
      </c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509" priority="23" operator="containsText" text="Pivô">
      <formula>NOT(ISERROR(SEARCH("Pivô",A1)))</formula>
    </cfRule>
    <cfRule type="containsText" dxfId="1508" priority="24" operator="containsText" text="Pivô">
      <formula>NOT(ISERROR(SEARCH("Pivô",A1)))</formula>
    </cfRule>
  </conditionalFormatting>
  <conditionalFormatting sqref="B5:H93">
    <cfRule type="containsText" dxfId="1505" priority="3" operator="containsText" text="Desponte">
      <formula>NOT(ISERROR(SEARCH("Desponte",B5)))</formula>
    </cfRule>
    <cfRule type="containsText" dxfId="1485" priority="50" operator="containsText" text="Redutor">
      <formula>NOT(ISERROR(SEARCH("Redutor",B5)))</formula>
    </cfRule>
    <cfRule type="containsText" dxfId="1484" priority="51" operator="containsText" text="Bomba">
      <formula>NOT(ISERROR(SEARCH("Bomba",B5)))</formula>
    </cfRule>
    <cfRule type="containsText" dxfId="1482" priority="46" operator="containsText" text="Pneu">
      <formula>NOT(ISERROR(SEARCH("Pneu",B5)))</formula>
    </cfRule>
    <cfRule type="cellIs" dxfId="1481" priority="42" operator="equal">
      <formula>$J$20</formula>
    </cfRule>
    <cfRule type="containsText" dxfId="1480" priority="43" operator="containsText" text="Pulverização">
      <formula>NOT(ISERROR(SEARCH("Pulverização",B5)))</formula>
    </cfRule>
    <cfRule type="cellIs" dxfId="1479" priority="44" operator="greaterThan">
      <formula>$J$5</formula>
    </cfRule>
    <cfRule type="containsText" dxfId="1478" priority="45" operator="containsText" text="Cardã">
      <formula>NOT(ISERROR(SEARCH("Cardã",B5)))</formula>
    </cfRule>
    <cfRule type="containsText" dxfId="1477" priority="47" operator="containsText" text="Vedação">
      <formula>NOT(ISERROR(SEARCH("Vedação",B5)))</formula>
    </cfRule>
    <cfRule type="containsText" dxfId="1476" priority="48" operator="containsText" text="Retentor">
      <formula>NOT(ISERROR(SEARCH("Retentor",B5)))</formula>
    </cfRule>
    <cfRule type="containsText" dxfId="1475" priority="49" operator="containsText" text="Motorredutor">
      <formula>NOT(ISERROR(SEARCH("Motorredutor",B5)))</formula>
    </cfRule>
  </conditionalFormatting>
  <conditionalFormatting sqref="B94:H95">
    <cfRule type="cellIs" dxfId="1466" priority="28" operator="greaterThan">
      <formula>$J$5</formula>
    </cfRule>
    <cfRule type="containsText" dxfId="1465" priority="29" operator="containsText" text="Cardã">
      <formula>NOT(ISERROR(SEARCH("Cardã",B94)))</formula>
    </cfRule>
    <cfRule type="containsText" dxfId="1464" priority="30" operator="containsText" text="Pneu">
      <formula>NOT(ISERROR(SEARCH("Pneu",B94)))</formula>
    </cfRule>
    <cfRule type="containsText" dxfId="1463" priority="31" operator="containsText" text="Vedação">
      <formula>NOT(ISERROR(SEARCH("Vedação",B94)))</formula>
    </cfRule>
    <cfRule type="containsText" dxfId="1462" priority="32" operator="containsText" text="Retentor">
      <formula>NOT(ISERROR(SEARCH("Retentor",B94)))</formula>
    </cfRule>
    <cfRule type="containsText" dxfId="1461" priority="27" operator="containsText" text="Pulverização">
      <formula>NOT(ISERROR(SEARCH("Pulverização",B94)))</formula>
    </cfRule>
    <cfRule type="containsText" dxfId="1460" priority="33" operator="containsText" text="Motorredutor">
      <formula>NOT(ISERROR(SEARCH("Motorredutor",B94)))</formula>
    </cfRule>
    <cfRule type="containsText" dxfId="1459" priority="34" operator="containsText" text="Redutor">
      <formula>NOT(ISERROR(SEARCH("Redutor",B94)))</formula>
    </cfRule>
    <cfRule type="containsText" dxfId="1458" priority="35" operator="containsText" text="Bomba">
      <formula>NOT(ISERROR(SEARCH("Bomba",B94)))</formula>
    </cfRule>
  </conditionalFormatting>
  <dataValidations count="2">
    <dataValidation type="list" allowBlank="1" showInputMessage="1" showErrorMessage="1" sqref="B5:H93" xr:uid="{6E9687EE-17B1-43D0-9BBD-DE8AED26F234}">
      <formula1>$J$5:$J$21</formula1>
    </dataValidation>
    <dataValidation type="list" allowBlank="1" showInputMessage="1" showErrorMessage="1" sqref="B94:H95" xr:uid="{57841835-1FE4-4E86-B676-0B413F19186B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AC94E71-2C31-4A82-B91B-777DC966D807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5E9129BB-EBB8-495A-8CC3-145B7F48B16E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24EDFE45-A920-44A1-9EF1-B8AF7E36CA9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C03B9899-9E2F-4ABB-92A4-86A0D61C1FFC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DE43E4E0-A62D-47DA-BFF2-666950656AC6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8AF454B0-8C5A-460D-8EFA-952644680533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BD3F9B4A-D18D-4020-A82F-3DC7285B0600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91DBAF68-E0D5-424F-98E9-41308B2B8FC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FC755B73-6789-4072-8502-03FF6E728BC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99C5DE9A-0806-48BB-ACF2-1939A9EDA18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C1D429F7-2CB5-4D8B-830D-E6778665B2E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E100F9BD-2C3F-455E-851E-8A3F378446AD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757BEDE5-1D86-4B81-B5B4-7BD7A69978E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24A34531-2222-475E-A2CE-2751A334E08E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76F370FB-DD56-439B-BE6A-C03DE0162CA6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4793103D-3EE0-4260-80B1-426545C1BCA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3CE5A6DD-237B-4383-9022-60D8CAD2EE0C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D96F7F85-08FD-4869-912B-2EB0CF02D21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841FF9BE-3C3E-44CF-915F-03B041C0CA8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1" operator="containsText" id="{D9ED36EC-237E-4764-ABB4-A37C4EA156E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918393F0-6A16-434A-B87F-DD8F81146A6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891E5331-A6DC-4804-BAC4-54A09047889B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6" operator="containsText" id="{BD5556DF-2762-4557-A0A4-C1A2A0CD799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8" operator="containsText" id="{3B897848-AD7B-42D6-97EE-70C738853971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F1DFF20C-86F9-4CFB-9BB0-1C61589F0E72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1" operator="containsText" id="{1305DB2A-4165-4251-A311-75E818B56EBF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00D603A8-C2AF-4FD7-9F04-A9E845F7281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7" operator="containsText" id="{7688961C-1958-4E5E-88DB-1C40C76D7D1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AAA6748A-5505-4C62-9AE1-F7E59C7267C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25" operator="containsText" id="{4EF4FA1B-F05D-4796-A2C4-CD2C19480AB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CE9E-96DD-4669-8102-E4789FFF9153}">
  <sheetPr>
    <tabColor rgb="FF92D050"/>
    <pageSetUpPr fitToPage="1"/>
  </sheetPr>
  <dimension ref="A1:P93"/>
  <sheetViews>
    <sheetView showGridLines="0" zoomScale="115" zoomScaleNormal="115" workbookViewId="0">
      <pane ySplit="4" topLeftCell="A83" activePane="bottomLeft" state="frozen"/>
      <selection pane="bottomLeft" activeCell="G108" sqref="G108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44949</v>
      </c>
      <c r="C3" s="11">
        <f t="shared" ref="C3:H3" si="0">B3+1</f>
        <v>44950</v>
      </c>
      <c r="D3" s="11">
        <f t="shared" si="0"/>
        <v>44951</v>
      </c>
      <c r="E3" s="11">
        <f t="shared" si="0"/>
        <v>44952</v>
      </c>
      <c r="F3" s="11">
        <f t="shared" si="0"/>
        <v>44953</v>
      </c>
      <c r="G3" s="11">
        <f t="shared" si="0"/>
        <v>44954</v>
      </c>
      <c r="H3" s="12">
        <f t="shared" si="0"/>
        <v>44955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3</v>
      </c>
      <c r="L5" s="54">
        <f t="shared" ref="L5:L21" si="2">K5/$K$22</f>
        <v>0.23076923076923078</v>
      </c>
      <c r="M5" s="58">
        <f>B3</f>
        <v>44949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1</v>
      </c>
      <c r="L7" s="54">
        <f t="shared" si="2"/>
        <v>7.6923076923076927E-2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1</v>
      </c>
      <c r="L9" s="54">
        <f t="shared" si="2"/>
        <v>7.6923076923076927E-2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2</v>
      </c>
      <c r="L10" s="54">
        <f t="shared" si="2"/>
        <v>0.15384615384615385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1</v>
      </c>
      <c r="L13" s="54">
        <f t="shared" si="2"/>
        <v>7.6923076923076927E-2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3"/>
        <v>2</v>
      </c>
      <c r="L15" s="54">
        <f t="shared" si="2"/>
        <v>0.15384615384615385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3</v>
      </c>
      <c r="L16" s="54">
        <f t="shared" si="2"/>
        <v>0.23076923076923078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 t="s">
        <v>121</v>
      </c>
      <c r="F18" s="9" t="s">
        <v>15</v>
      </c>
      <c r="G18" s="9"/>
      <c r="H18" s="9"/>
      <c r="J18" s="36" t="s">
        <v>166</v>
      </c>
      <c r="K18" s="1">
        <f t="shared" si="3"/>
        <v>0</v>
      </c>
      <c r="L18" s="54">
        <f t="shared" si="2"/>
        <v>0</v>
      </c>
    </row>
    <row r="19" spans="1:12" x14ac:dyDescent="0.25">
      <c r="A19" s="6" t="s">
        <v>41</v>
      </c>
      <c r="B19" s="9"/>
      <c r="C19" s="9"/>
      <c r="D19" s="9" t="s">
        <v>12</v>
      </c>
      <c r="E19" s="9" t="s">
        <v>4</v>
      </c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0</v>
      </c>
      <c r="L20" s="54">
        <f t="shared" si="2"/>
        <v>0</v>
      </c>
    </row>
    <row r="21" spans="1:12" x14ac:dyDescent="0.25">
      <c r="A21" s="6" t="s">
        <v>43</v>
      </c>
      <c r="B21" s="9"/>
      <c r="C21" s="9"/>
      <c r="D21" s="9"/>
      <c r="E21" s="9" t="s">
        <v>4</v>
      </c>
      <c r="F21" s="9"/>
      <c r="G21" s="9"/>
      <c r="H21" s="9"/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/>
      <c r="E22" s="9" t="s">
        <v>30</v>
      </c>
      <c r="F22" s="9" t="s">
        <v>4</v>
      </c>
      <c r="G22" s="9"/>
      <c r="H22" s="9"/>
      <c r="J22" s="7" t="s">
        <v>2</v>
      </c>
      <c r="K22" s="1">
        <f>SUM(K5:K21)</f>
        <v>13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 t="s">
        <v>118</v>
      </c>
      <c r="E25" s="9" t="s">
        <v>118</v>
      </c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 t="s">
        <v>15</v>
      </c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 t="s">
        <v>15</v>
      </c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 t="s">
        <v>121</v>
      </c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97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103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112</v>
      </c>
      <c r="B90" s="9"/>
      <c r="C90" s="9"/>
      <c r="D90" s="9"/>
      <c r="E90" s="9"/>
      <c r="F90" s="9" t="s">
        <v>127</v>
      </c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A1:A1048576">
    <cfRule type="containsText" dxfId="1457" priority="23" operator="containsText" text="Pivô">
      <formula>NOT(ISERROR(SEARCH("Pivô",A1)))</formula>
    </cfRule>
    <cfRule type="containsText" dxfId="1456" priority="24" operator="containsText" text="Pivô">
      <formula>NOT(ISERROR(SEARCH("Pivô",A1)))</formula>
    </cfRule>
  </conditionalFormatting>
  <conditionalFormatting sqref="B5:H93">
    <cfRule type="containsText" dxfId="1453" priority="3" operator="containsText" text="Desponte">
      <formula>NOT(ISERROR(SEARCH("Desponte",B5)))</formula>
    </cfRule>
    <cfRule type="containsText" dxfId="1433" priority="50" operator="containsText" text="Redutor">
      <formula>NOT(ISERROR(SEARCH("Redutor",B5)))</formula>
    </cfRule>
    <cfRule type="containsText" dxfId="1432" priority="51" operator="containsText" text="Bomba">
      <formula>NOT(ISERROR(SEARCH("Bomba",B5)))</formula>
    </cfRule>
    <cfRule type="containsText" dxfId="1430" priority="46" operator="containsText" text="Pneu">
      <formula>NOT(ISERROR(SEARCH("Pneu",B5)))</formula>
    </cfRule>
    <cfRule type="cellIs" dxfId="1429" priority="42" operator="equal">
      <formula>$J$20</formula>
    </cfRule>
    <cfRule type="containsText" dxfId="1428" priority="43" operator="containsText" text="Pulverização">
      <formula>NOT(ISERROR(SEARCH("Pulverização",B5)))</formula>
    </cfRule>
    <cfRule type="cellIs" dxfId="1427" priority="44" operator="greaterThan">
      <formula>$J$5</formula>
    </cfRule>
    <cfRule type="containsText" dxfId="1426" priority="45" operator="containsText" text="Cardã">
      <formula>NOT(ISERROR(SEARCH("Cardã",B5)))</formula>
    </cfRule>
    <cfRule type="containsText" dxfId="1425" priority="47" operator="containsText" text="Vedação">
      <formula>NOT(ISERROR(SEARCH("Vedação",B5)))</formula>
    </cfRule>
    <cfRule type="containsText" dxfId="1424" priority="48" operator="containsText" text="Retentor">
      <formula>NOT(ISERROR(SEARCH("Retentor",B5)))</formula>
    </cfRule>
    <cfRule type="containsText" dxfId="1423" priority="49" operator="containsText" text="Motorredutor">
      <formula>NOT(ISERROR(SEARCH("Motorredutor",B5)))</formula>
    </cfRule>
  </conditionalFormatting>
  <conditionalFormatting sqref="B94:H95">
    <cfRule type="cellIs" dxfId="1414" priority="28" operator="greaterThan">
      <formula>$J$5</formula>
    </cfRule>
    <cfRule type="containsText" dxfId="1413" priority="29" operator="containsText" text="Cardã">
      <formula>NOT(ISERROR(SEARCH("Cardã",B94)))</formula>
    </cfRule>
    <cfRule type="containsText" dxfId="1412" priority="30" operator="containsText" text="Pneu">
      <formula>NOT(ISERROR(SEARCH("Pneu",B94)))</formula>
    </cfRule>
    <cfRule type="containsText" dxfId="1411" priority="31" operator="containsText" text="Vedação">
      <formula>NOT(ISERROR(SEARCH("Vedação",B94)))</formula>
    </cfRule>
    <cfRule type="containsText" dxfId="1410" priority="32" operator="containsText" text="Retentor">
      <formula>NOT(ISERROR(SEARCH("Retentor",B94)))</formula>
    </cfRule>
    <cfRule type="containsText" dxfId="1409" priority="27" operator="containsText" text="Pulverização">
      <formula>NOT(ISERROR(SEARCH("Pulverização",B94)))</formula>
    </cfRule>
    <cfRule type="containsText" dxfId="1408" priority="33" operator="containsText" text="Motorredutor">
      <formula>NOT(ISERROR(SEARCH("Motorredutor",B94)))</formula>
    </cfRule>
    <cfRule type="containsText" dxfId="1407" priority="34" operator="containsText" text="Redutor">
      <formula>NOT(ISERROR(SEARCH("Redutor",B94)))</formula>
    </cfRule>
    <cfRule type="containsText" dxfId="1406" priority="35" operator="containsText" text="Bomba">
      <formula>NOT(ISERROR(SEARCH("Bomba",B94)))</formula>
    </cfRule>
  </conditionalFormatting>
  <dataValidations count="2">
    <dataValidation type="list" allowBlank="1" showInputMessage="1" showErrorMessage="1" sqref="B94:H95" xr:uid="{C6371186-D0BA-4E20-B094-B5255F18CC52}">
      <formula1>$J$5:$J$11</formula1>
    </dataValidation>
    <dataValidation type="list" allowBlank="1" showInputMessage="1" showErrorMessage="1" sqref="B5:H93" xr:uid="{707ABEAE-78CB-4612-B805-DDD1F63D1297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7CF7943-C51E-4922-BA5F-44F122A15074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E2149045-B217-47B6-9042-94615581F002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1F971F6F-AC7A-47AB-85D9-07E3A4CDB58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170D8BB6-609F-4B9E-B0D2-E0B6B75E71AF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BA3CDC18-47CC-45A7-8619-A799477C5F7C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F03C1D1D-913E-487A-9F3E-07D2E070928D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F2C0B8FC-D598-4D3E-8264-82A51071C930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2513B448-B16E-440F-81E2-F27712E05D5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C5D1C413-280C-49FD-B3F9-6B9C99F7DBE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55B0D1D4-8E10-4917-A926-A99E05F0DF7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10FE2FC7-DDFB-48C1-86AD-36E2F87B398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C079A4B6-77E9-4754-BD63-333A4E71AECB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458AC35E-ED55-402C-9876-333C52E1AF2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4D404493-02E5-415A-8CEA-774CE16CA267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B80D4B76-FF63-47F5-B8E5-FE701DEF0EA2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DE7F4F0D-DADF-4228-8E86-7A683056F3C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3BFB77BC-7655-4E88-878B-1591C49037E6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719C10A3-83F8-4C86-AC02-DF36BAC90FA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5C727B5F-4156-4727-9BEE-473CAA3EF9E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1" operator="containsText" id="{44340DFB-E955-48D1-A1CB-C9184333669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128A95D5-3CCF-420F-9695-EC9B5738F40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1DC44785-E2C3-4CA9-AEA2-B911A12BC4ED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6" operator="containsText" id="{2E10B6E5-6422-43FF-BE2B-5590AE4C16A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8" operator="containsText" id="{02BF863A-D857-4653-857F-20ACAC6CDBE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48EE8F36-C71E-43D8-AFA6-ED1F152A4B49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1" operator="containsText" id="{1062D9CF-2564-47BB-B03F-A786F2620838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68AE7435-FA4B-4320-9AAB-860AA3121635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7" operator="containsText" id="{002C694E-9BED-42CF-96D2-A6D90E04737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54E7A991-414C-4573-BF2C-40ED4B62886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25" operator="containsText" id="{1B100E6D-37D6-4424-AA36-E5593CD8384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3480-CBFD-4250-A708-DFE53CA2D8A8}">
  <sheetPr>
    <tabColor rgb="FF92D050"/>
    <pageSetUpPr fitToPage="1"/>
  </sheetPr>
  <dimension ref="A1:P93"/>
  <sheetViews>
    <sheetView showGridLines="0" zoomScale="115" zoomScaleNormal="115" workbookViewId="0">
      <pane ySplit="4" topLeftCell="A80" activePane="bottomLeft" state="frozen"/>
      <selection pane="bottomLeft" activeCell="G16" sqref="G16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189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44956</v>
      </c>
      <c r="C3" s="11">
        <f t="shared" ref="C3:H3" si="0">B3+1</f>
        <v>44957</v>
      </c>
      <c r="D3" s="11">
        <f t="shared" si="0"/>
        <v>44958</v>
      </c>
      <c r="E3" s="11">
        <f t="shared" si="0"/>
        <v>44959</v>
      </c>
      <c r="F3" s="11">
        <f t="shared" si="0"/>
        <v>44960</v>
      </c>
      <c r="G3" s="11">
        <f t="shared" si="0"/>
        <v>44961</v>
      </c>
      <c r="H3" s="12">
        <f t="shared" si="0"/>
        <v>44962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>COUNTIF($B$5:$H$93,J5)</f>
        <v>0</v>
      </c>
      <c r="L5" s="54">
        <f t="shared" ref="L5:L21" si="2">K5/$K$22</f>
        <v>0</v>
      </c>
      <c r="M5" s="58">
        <f>B3</f>
        <v>44956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ref="K6:K19" si="3">COUNTIF($B$5:$H$93,J6)</f>
        <v>0</v>
      </c>
      <c r="L6" s="54">
        <f t="shared" si="2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3"/>
        <v>0</v>
      </c>
      <c r="L7" s="54">
        <f t="shared" si="2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>COUNTIF($B$5:$H$93,J8)</f>
        <v>0</v>
      </c>
      <c r="L8" s="54">
        <f t="shared" si="2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>COUNTIF($B$5:$H$93,J9)</f>
        <v>0</v>
      </c>
      <c r="L9" s="54">
        <f t="shared" si="2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3"/>
        <v>10</v>
      </c>
      <c r="L10" s="54">
        <f t="shared" si="2"/>
        <v>0.27027027027027029</v>
      </c>
    </row>
    <row r="11" spans="1:16" x14ac:dyDescent="0.25">
      <c r="A11" s="6" t="s">
        <v>32</v>
      </c>
      <c r="B11" s="9"/>
      <c r="C11" s="9"/>
      <c r="D11" s="9" t="s">
        <v>15</v>
      </c>
      <c r="E11" s="9"/>
      <c r="F11" s="9"/>
      <c r="G11" s="9"/>
      <c r="H11" s="9"/>
      <c r="J11" s="26" t="s">
        <v>10</v>
      </c>
      <c r="K11" s="1">
        <f t="shared" si="3"/>
        <v>0</v>
      </c>
      <c r="L11" s="54">
        <f t="shared" si="2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3"/>
        <v>0</v>
      </c>
      <c r="L12" s="54">
        <f t="shared" si="2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3"/>
        <v>0</v>
      </c>
      <c r="L13" s="54">
        <f t="shared" si="2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3"/>
        <v>0</v>
      </c>
      <c r="L14" s="54">
        <f t="shared" si="2"/>
        <v>0</v>
      </c>
    </row>
    <row r="15" spans="1:16" x14ac:dyDescent="0.25">
      <c r="A15" s="6" t="s">
        <v>37</v>
      </c>
      <c r="B15" s="9"/>
      <c r="C15" s="9"/>
      <c r="D15" s="9" t="s">
        <v>15</v>
      </c>
      <c r="E15" s="9"/>
      <c r="F15" s="9"/>
      <c r="G15" s="9"/>
      <c r="H15" s="9"/>
      <c r="J15" s="47" t="s">
        <v>121</v>
      </c>
      <c r="K15" s="1">
        <f t="shared" si="3"/>
        <v>0</v>
      </c>
      <c r="L15" s="54">
        <f t="shared" si="2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3"/>
        <v>23</v>
      </c>
      <c r="L16" s="54">
        <f t="shared" si="2"/>
        <v>0.6216216216216216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3"/>
        <v>0</v>
      </c>
      <c r="L17" s="54">
        <f t="shared" si="2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3"/>
        <v>4</v>
      </c>
      <c r="L18" s="54">
        <f t="shared" si="2"/>
        <v>0.10810810810810811</v>
      </c>
    </row>
    <row r="19" spans="1:12" x14ac:dyDescent="0.25">
      <c r="A19" s="6" t="s">
        <v>41</v>
      </c>
      <c r="B19" s="9"/>
      <c r="C19" s="9"/>
      <c r="D19" s="9" t="s">
        <v>118</v>
      </c>
      <c r="E19" s="9"/>
      <c r="F19" s="9"/>
      <c r="G19" s="9"/>
      <c r="H19" s="9"/>
      <c r="J19" s="63" t="s">
        <v>168</v>
      </c>
      <c r="K19" s="1">
        <f t="shared" si="3"/>
        <v>0</v>
      </c>
      <c r="L19" s="54">
        <f t="shared" si="2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COUNTIF($B$5:$H$93,J20)</f>
        <v>0</v>
      </c>
      <c r="L20" s="54">
        <f t="shared" si="2"/>
        <v>0</v>
      </c>
    </row>
    <row r="21" spans="1:12" x14ac:dyDescent="0.25">
      <c r="A21" s="6" t="s">
        <v>43</v>
      </c>
      <c r="B21" s="9"/>
      <c r="C21" s="9"/>
      <c r="D21" s="9"/>
      <c r="E21" s="9" t="s">
        <v>166</v>
      </c>
      <c r="F21" s="9"/>
      <c r="G21" s="9"/>
      <c r="H21" s="9" t="s">
        <v>166</v>
      </c>
      <c r="J21" s="64" t="s">
        <v>173</v>
      </c>
      <c r="K21" s="1">
        <f>COUNTIF($B$5:$H$93,J21)</f>
        <v>0</v>
      </c>
      <c r="L21" s="54">
        <f t="shared" si="2"/>
        <v>0</v>
      </c>
    </row>
    <row r="22" spans="1:12" x14ac:dyDescent="0.25">
      <c r="A22" s="6" t="s">
        <v>44</v>
      </c>
      <c r="B22" s="9"/>
      <c r="C22" s="9"/>
      <c r="D22" s="9" t="s">
        <v>166</v>
      </c>
      <c r="E22" s="9"/>
      <c r="F22" s="9"/>
      <c r="G22" s="9" t="s">
        <v>166</v>
      </c>
      <c r="H22" s="9"/>
      <c r="J22" s="7" t="s">
        <v>2</v>
      </c>
      <c r="K22" s="1">
        <f>SUM(K5:K21)</f>
        <v>37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 t="s">
        <v>15</v>
      </c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 t="s">
        <v>15</v>
      </c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 t="s">
        <v>118</v>
      </c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 t="s">
        <v>118</v>
      </c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 t="s">
        <v>15</v>
      </c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 t="s">
        <v>15</v>
      </c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 t="s">
        <v>15</v>
      </c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 t="s">
        <v>118</v>
      </c>
      <c r="F45" s="9" t="s">
        <v>118</v>
      </c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 t="s">
        <v>118</v>
      </c>
      <c r="F47" s="9" t="s">
        <v>118</v>
      </c>
      <c r="G47" s="9"/>
      <c r="H47" s="9" t="s">
        <v>118</v>
      </c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 t="s">
        <v>15</v>
      </c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83</v>
      </c>
      <c r="B61" s="9"/>
      <c r="C61" s="9"/>
      <c r="D61" s="9" t="s">
        <v>15</v>
      </c>
      <c r="E61" s="9"/>
      <c r="F61" s="9"/>
      <c r="G61" s="9"/>
      <c r="H61" s="9"/>
    </row>
    <row r="62" spans="1:8" x14ac:dyDescent="0.25">
      <c r="A62" s="6" t="s">
        <v>84</v>
      </c>
      <c r="B62" s="9"/>
      <c r="C62" s="9"/>
      <c r="D62" s="9"/>
      <c r="E62" s="9" t="s">
        <v>118</v>
      </c>
      <c r="F62" s="9" t="s">
        <v>118</v>
      </c>
      <c r="G62" s="9"/>
      <c r="H62" s="9"/>
    </row>
    <row r="63" spans="1:8" x14ac:dyDescent="0.25">
      <c r="A63" s="6" t="s">
        <v>85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86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87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88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89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90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91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92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93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94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95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96</v>
      </c>
      <c r="B74" s="9"/>
      <c r="C74" s="9"/>
      <c r="D74" s="9"/>
      <c r="E74" s="9" t="s">
        <v>15</v>
      </c>
      <c r="F74" s="9"/>
      <c r="G74" s="9"/>
      <c r="H74" s="9" t="s">
        <v>15</v>
      </c>
    </row>
    <row r="75" spans="1:8" x14ac:dyDescent="0.25">
      <c r="A75" s="6" t="s">
        <v>97</v>
      </c>
      <c r="B75" s="9"/>
      <c r="C75" s="9"/>
      <c r="D75" s="9"/>
      <c r="E75" s="9"/>
      <c r="F75" s="9"/>
      <c r="G75" s="9" t="s">
        <v>15</v>
      </c>
      <c r="H75" s="9"/>
    </row>
    <row r="76" spans="1:8" x14ac:dyDescent="0.25">
      <c r="A76" s="6" t="s">
        <v>98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99</v>
      </c>
      <c r="B77" s="9"/>
      <c r="C77" s="9"/>
      <c r="D77" s="9"/>
      <c r="E77" s="9" t="s">
        <v>15</v>
      </c>
      <c r="F77" s="9"/>
      <c r="G77" s="9"/>
      <c r="H77" s="9"/>
    </row>
    <row r="78" spans="1:8" x14ac:dyDescent="0.25">
      <c r="A78" s="6" t="s">
        <v>100</v>
      </c>
      <c r="B78" s="9"/>
      <c r="C78" s="9"/>
      <c r="D78" s="9"/>
      <c r="E78" s="9"/>
      <c r="F78" s="9"/>
      <c r="G78" s="9" t="s">
        <v>15</v>
      </c>
      <c r="H78" s="9"/>
    </row>
    <row r="79" spans="1:8" x14ac:dyDescent="0.25">
      <c r="A79" s="6" t="s">
        <v>101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102</v>
      </c>
      <c r="B80" s="9"/>
      <c r="C80" s="9"/>
      <c r="D80" s="9"/>
      <c r="E80" s="9"/>
      <c r="F80" s="9"/>
      <c r="G80" s="9" t="s">
        <v>15</v>
      </c>
      <c r="H80" s="9"/>
    </row>
    <row r="81" spans="1:8" x14ac:dyDescent="0.25">
      <c r="A81" s="6" t="s">
        <v>103</v>
      </c>
      <c r="B81" s="9"/>
      <c r="C81" s="9"/>
      <c r="D81" s="9"/>
      <c r="E81" s="9" t="s">
        <v>15</v>
      </c>
      <c r="F81" s="9"/>
      <c r="G81" s="9"/>
      <c r="H81" s="9" t="s">
        <v>15</v>
      </c>
    </row>
    <row r="82" spans="1:8" x14ac:dyDescent="0.25">
      <c r="A82" s="6" t="s">
        <v>104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105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106</v>
      </c>
      <c r="B84" s="9"/>
      <c r="C84" s="9"/>
      <c r="D84" s="9"/>
      <c r="E84" s="9"/>
      <c r="F84" s="9"/>
      <c r="G84" s="9" t="s">
        <v>15</v>
      </c>
      <c r="H84" s="9"/>
    </row>
    <row r="85" spans="1:8" x14ac:dyDescent="0.25">
      <c r="A85" s="6" t="s">
        <v>107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108</v>
      </c>
      <c r="B86" s="9"/>
      <c r="C86" s="9"/>
      <c r="D86" s="9"/>
      <c r="E86" s="9" t="s">
        <v>15</v>
      </c>
      <c r="F86" s="9"/>
      <c r="G86" s="9"/>
      <c r="H86" s="9" t="s">
        <v>15</v>
      </c>
    </row>
    <row r="87" spans="1:8" x14ac:dyDescent="0.25">
      <c r="A87" s="6" t="s">
        <v>109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110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111</v>
      </c>
      <c r="B89" s="9"/>
      <c r="C89" s="9"/>
      <c r="D89" s="9"/>
      <c r="E89" s="9"/>
      <c r="F89" s="9"/>
      <c r="G89" s="9" t="s">
        <v>15</v>
      </c>
      <c r="H89" s="9"/>
    </row>
    <row r="90" spans="1:8" x14ac:dyDescent="0.25">
      <c r="A90" s="6" t="s">
        <v>112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113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114</v>
      </c>
      <c r="B92" s="9"/>
      <c r="C92" s="9"/>
      <c r="D92" s="9"/>
      <c r="E92" s="9" t="s">
        <v>15</v>
      </c>
      <c r="F92" s="9"/>
      <c r="G92" s="9"/>
      <c r="H92" s="9"/>
    </row>
    <row r="93" spans="1:8" x14ac:dyDescent="0.25">
      <c r="A93" s="6" t="s">
        <v>115</v>
      </c>
      <c r="B93" s="9"/>
      <c r="C93" s="9"/>
      <c r="D93" s="9"/>
      <c r="E93" s="9"/>
      <c r="F93" s="9"/>
      <c r="G93" s="9" t="s">
        <v>15</v>
      </c>
      <c r="H93" s="9"/>
    </row>
  </sheetData>
  <mergeCells count="1">
    <mergeCell ref="A1:H2"/>
  </mergeCells>
  <conditionalFormatting sqref="A1:A1048576">
    <cfRule type="containsText" dxfId="1405" priority="23" operator="containsText" text="Pivô">
      <formula>NOT(ISERROR(SEARCH("Pivô",A1)))</formula>
    </cfRule>
    <cfRule type="containsText" dxfId="1404" priority="24" operator="containsText" text="Pivô">
      <formula>NOT(ISERROR(SEARCH("Pivô",A1)))</formula>
    </cfRule>
  </conditionalFormatting>
  <conditionalFormatting sqref="B5:H93">
    <cfRule type="containsText" dxfId="1401" priority="3" operator="containsText" text="Desponte">
      <formula>NOT(ISERROR(SEARCH("Desponte",B5)))</formula>
    </cfRule>
    <cfRule type="containsText" dxfId="1381" priority="50" operator="containsText" text="Redutor">
      <formula>NOT(ISERROR(SEARCH("Redutor",B5)))</formula>
    </cfRule>
    <cfRule type="containsText" dxfId="1380" priority="51" operator="containsText" text="Bomba">
      <formula>NOT(ISERROR(SEARCH("Bomba",B5)))</formula>
    </cfRule>
    <cfRule type="containsText" dxfId="1378" priority="46" operator="containsText" text="Pneu">
      <formula>NOT(ISERROR(SEARCH("Pneu",B5)))</formula>
    </cfRule>
    <cfRule type="cellIs" dxfId="1377" priority="42" operator="equal">
      <formula>$J$20</formula>
    </cfRule>
    <cfRule type="containsText" dxfId="1376" priority="43" operator="containsText" text="Pulverização">
      <formula>NOT(ISERROR(SEARCH("Pulverização",B5)))</formula>
    </cfRule>
    <cfRule type="cellIs" dxfId="1375" priority="44" operator="greaterThan">
      <formula>$J$5</formula>
    </cfRule>
    <cfRule type="containsText" dxfId="1374" priority="45" operator="containsText" text="Cardã">
      <formula>NOT(ISERROR(SEARCH("Cardã",B5)))</formula>
    </cfRule>
    <cfRule type="containsText" dxfId="1373" priority="47" operator="containsText" text="Vedação">
      <formula>NOT(ISERROR(SEARCH("Vedação",B5)))</formula>
    </cfRule>
    <cfRule type="containsText" dxfId="1372" priority="48" operator="containsText" text="Retentor">
      <formula>NOT(ISERROR(SEARCH("Retentor",B5)))</formula>
    </cfRule>
    <cfRule type="containsText" dxfId="1371" priority="49" operator="containsText" text="Motorredutor">
      <formula>NOT(ISERROR(SEARCH("Motorredutor",B5)))</formula>
    </cfRule>
  </conditionalFormatting>
  <conditionalFormatting sqref="B94:H95">
    <cfRule type="cellIs" dxfId="1362" priority="28" operator="greaterThan">
      <formula>$J$5</formula>
    </cfRule>
    <cfRule type="containsText" dxfId="1361" priority="29" operator="containsText" text="Cardã">
      <formula>NOT(ISERROR(SEARCH("Cardã",B94)))</formula>
    </cfRule>
    <cfRule type="containsText" dxfId="1360" priority="30" operator="containsText" text="Pneu">
      <formula>NOT(ISERROR(SEARCH("Pneu",B94)))</formula>
    </cfRule>
    <cfRule type="containsText" dxfId="1359" priority="31" operator="containsText" text="Vedação">
      <formula>NOT(ISERROR(SEARCH("Vedação",B94)))</formula>
    </cfRule>
    <cfRule type="containsText" dxfId="1358" priority="32" operator="containsText" text="Retentor">
      <formula>NOT(ISERROR(SEARCH("Retentor",B94)))</formula>
    </cfRule>
    <cfRule type="containsText" dxfId="1357" priority="27" operator="containsText" text="Pulverização">
      <formula>NOT(ISERROR(SEARCH("Pulverização",B94)))</formula>
    </cfRule>
    <cfRule type="containsText" dxfId="1356" priority="33" operator="containsText" text="Motorredutor">
      <formula>NOT(ISERROR(SEARCH("Motorredutor",B94)))</formula>
    </cfRule>
    <cfRule type="containsText" dxfId="1355" priority="34" operator="containsText" text="Redutor">
      <formula>NOT(ISERROR(SEARCH("Redutor",B94)))</formula>
    </cfRule>
    <cfRule type="containsText" dxfId="1354" priority="35" operator="containsText" text="Bomba">
      <formula>NOT(ISERROR(SEARCH("Bomba",B94)))</formula>
    </cfRule>
  </conditionalFormatting>
  <dataValidations count="2">
    <dataValidation type="list" allowBlank="1" showInputMessage="1" showErrorMessage="1" sqref="B94:H95" xr:uid="{01CD59EB-23D5-4517-8DA0-8DA3AC1862C5}">
      <formula1>$J$5:$J$11</formula1>
    </dataValidation>
    <dataValidation type="list" allowBlank="1" showInputMessage="1" showErrorMessage="1" sqref="B5:H93" xr:uid="{4692305A-0569-44BC-8C52-4C5ECE5FD131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3992C92-1AAD-4280-91C7-463CB845A87F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DDFAFBC7-B381-4465-9889-102CC0DFB776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985C4444-7E65-4548-BCCD-3B7E4E46B029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CA9855A7-F03F-4EAB-9B91-346EF7F495B9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4F256511-FB5B-4C10-9F4D-8345FE9B9D5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7" operator="containsText" id="{FD7EA482-B45C-4AFB-B4AB-119B0CEB37E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97F17EF0-6ABC-4FBA-AA28-18C6E0AB0128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9" operator="containsText" id="{0B1FC93F-EB2F-4336-A1B0-A85EE77511F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0" operator="containsText" id="{AE1E7FDC-78C5-4F4F-86E4-B381ACDB9D8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1" operator="containsText" id="{0C116342-360A-4516-B671-72BB8B9E30AC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2" operator="containsText" id="{91216E91-EBFA-49AB-9655-CADA3B74CA4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F9DBE122-B996-4327-BCFB-A9A6A3892699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4" operator="containsText" id="{81B31026-410C-4F30-A6CF-A07F364C15F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E6D058BF-FF70-4E6C-A9AA-73F1D6CF4FF9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6" operator="containsText" id="{04C43EBC-99D8-459A-B12E-7628B8532F42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id="{7F49D769-CB4F-448D-BCA6-2E430EDBA7B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8" operator="containsText" id="{A241E327-1F37-4B55-9556-893F08263CC1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9" operator="containsText" id="{5EE062B4-88E7-4CD5-963C-0B7470132F3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0" operator="containsText" id="{5F2A31D1-AFFA-4BBE-A443-9F78CCE3E97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1" operator="containsText" id="{C93F4018-F908-410B-BE4D-AA711C28D5B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6488D9A1-9072-4B51-ABD6-67654143DE2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1DEB5BB2-90F9-4932-8301-40A363643AAA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6" operator="containsText" id="{3F22AB1B-21CD-4C13-BA4A-B5E61C45EED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8" operator="containsText" id="{41E62ADB-2FEB-4E23-845A-9C5747920481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F59BC2DE-1EFB-43C4-866A-701EE067B98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1" operator="containsText" id="{9778CFB0-136B-414C-8047-C264EBB3D804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95F7168E-DAEB-4403-A756-96D476F9FAB1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7" operator="containsText" id="{3C241862-D4CA-4DDB-B19B-6A08F01A4FA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7D3D5678-AD66-4978-8F0C-800C533B8FB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B5:H95</xm:sqref>
        </x14:conditionalFormatting>
        <x14:conditionalFormatting xmlns:xm="http://schemas.microsoft.com/office/excel/2006/main">
          <x14:cfRule type="containsText" priority="25" operator="containsText" id="{5CF22F38-5293-4D27-9A94-1CE744A88A90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458D-6FA8-4CA3-9BA3-D6FD41AAB3EF}">
  <sheetPr>
    <tabColor rgb="FF92D050"/>
    <pageSetUpPr fitToPage="1"/>
  </sheetPr>
  <dimension ref="A1:P109"/>
  <sheetViews>
    <sheetView showGridLines="0" zoomScale="130" zoomScaleNormal="130" workbookViewId="0">
      <pane ySplit="4" topLeftCell="A5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190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44963</v>
      </c>
      <c r="C3" s="11">
        <f t="shared" ref="C3:H3" si="0">B3+1</f>
        <v>44964</v>
      </c>
      <c r="D3" s="11">
        <f t="shared" si="0"/>
        <v>44965</v>
      </c>
      <c r="E3" s="11">
        <f t="shared" si="0"/>
        <v>44966</v>
      </c>
      <c r="F3" s="11">
        <f t="shared" si="0"/>
        <v>44967</v>
      </c>
      <c r="G3" s="11">
        <f t="shared" si="0"/>
        <v>44968</v>
      </c>
      <c r="H3" s="12">
        <f t="shared" si="0"/>
        <v>44969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1</v>
      </c>
      <c r="L5" s="54">
        <f t="shared" ref="L5:L21" si="3">K5/$K$22</f>
        <v>2.9411764705882353E-2</v>
      </c>
      <c r="M5" s="58">
        <f>B3</f>
        <v>44963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2</v>
      </c>
      <c r="L6" s="54">
        <f t="shared" si="3"/>
        <v>5.8823529411764705E-2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1</v>
      </c>
      <c r="L10" s="54">
        <f t="shared" si="3"/>
        <v>2.9411764705882353E-2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6</v>
      </c>
      <c r="L13" s="54">
        <f t="shared" si="3"/>
        <v>0.17647058823529413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1</v>
      </c>
      <c r="L15" s="54">
        <f t="shared" si="3"/>
        <v>2.9411764705882353E-2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20</v>
      </c>
      <c r="L16" s="54">
        <f t="shared" si="3"/>
        <v>0.58823529411764708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 t="s">
        <v>5</v>
      </c>
      <c r="F18" s="9"/>
      <c r="G18" s="9"/>
      <c r="H18" s="9"/>
      <c r="J18" s="36" t="s">
        <v>166</v>
      </c>
      <c r="K18" s="1">
        <f t="shared" si="2"/>
        <v>2</v>
      </c>
      <c r="L18" s="54">
        <f t="shared" si="3"/>
        <v>5.8823529411764705E-2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 t="s">
        <v>166</v>
      </c>
      <c r="H21" s="9"/>
      <c r="J21" s="64" t="s">
        <v>173</v>
      </c>
      <c r="K21" s="1">
        <f t="shared" si="2"/>
        <v>1</v>
      </c>
      <c r="L21" s="54">
        <f t="shared" si="3"/>
        <v>2.9411764705882353E-2</v>
      </c>
    </row>
    <row r="22" spans="1:12" x14ac:dyDescent="0.25">
      <c r="A22" s="6" t="s">
        <v>44</v>
      </c>
      <c r="B22" s="9"/>
      <c r="C22" s="9"/>
      <c r="D22" s="9"/>
      <c r="E22" s="9"/>
      <c r="F22" s="9" t="s">
        <v>166</v>
      </c>
      <c r="G22" s="9"/>
      <c r="H22" s="9"/>
      <c r="J22" s="7" t="s">
        <v>2</v>
      </c>
      <c r="K22" s="1">
        <f>SUM(K5:K21)</f>
        <v>34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 t="s">
        <v>4</v>
      </c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 t="s">
        <v>15</v>
      </c>
      <c r="F35" s="9"/>
      <c r="G35" s="9"/>
      <c r="H35" s="9"/>
    </row>
    <row r="36" spans="1:8" x14ac:dyDescent="0.25">
      <c r="A36" s="6" t="s">
        <v>58</v>
      </c>
      <c r="B36" s="9" t="s">
        <v>12</v>
      </c>
      <c r="C36" s="9" t="s">
        <v>12</v>
      </c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 t="s">
        <v>15</v>
      </c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 t="s">
        <v>12</v>
      </c>
      <c r="C47" s="9" t="s">
        <v>12</v>
      </c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 t="s">
        <v>12</v>
      </c>
      <c r="F48" s="9" t="s">
        <v>12</v>
      </c>
      <c r="G48" s="9"/>
      <c r="H48" s="9" t="s">
        <v>118</v>
      </c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 t="s">
        <v>15</v>
      </c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 t="s">
        <v>15</v>
      </c>
      <c r="H56" s="9" t="s">
        <v>173</v>
      </c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 t="s">
        <v>15</v>
      </c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 t="s">
        <v>15</v>
      </c>
      <c r="G73" s="9" t="s">
        <v>15</v>
      </c>
      <c r="H73" s="9" t="s">
        <v>15</v>
      </c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 t="s">
        <v>121</v>
      </c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 t="s">
        <v>15</v>
      </c>
      <c r="G78" s="9"/>
      <c r="H78" s="9"/>
    </row>
    <row r="79" spans="1:8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 t="s">
        <v>15</v>
      </c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 t="s">
        <v>15</v>
      </c>
      <c r="F91" s="9" t="s">
        <v>15</v>
      </c>
      <c r="G91" s="9"/>
      <c r="H91" s="9"/>
    </row>
    <row r="92" spans="1:8" x14ac:dyDescent="0.25">
      <c r="A92" s="6" t="s">
        <v>98</v>
      </c>
      <c r="B92" s="9" t="s">
        <v>15</v>
      </c>
      <c r="C92" s="9"/>
      <c r="D92" s="9" t="s">
        <v>15</v>
      </c>
      <c r="E92" s="9" t="s">
        <v>15</v>
      </c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 t="s">
        <v>15</v>
      </c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 t="s">
        <v>15</v>
      </c>
      <c r="E95" s="9"/>
      <c r="F95" s="9"/>
      <c r="G95" s="9" t="s">
        <v>15</v>
      </c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 t="s">
        <v>15</v>
      </c>
      <c r="E97" s="9"/>
      <c r="F97" s="9" t="s">
        <v>5</v>
      </c>
      <c r="G97" s="9"/>
      <c r="H97" s="9" t="s">
        <v>15</v>
      </c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phoneticPr fontId="3" type="noConversion"/>
  <conditionalFormatting sqref="A1:A1048576">
    <cfRule type="containsText" dxfId="1353" priority="23" operator="containsText" text="Pivô">
      <formula>NOT(ISERROR(SEARCH("Pivô",A1)))</formula>
    </cfRule>
    <cfRule type="containsText" dxfId="1352" priority="24" operator="containsText" text="Pivô">
      <formula>NOT(ISERROR(SEARCH("Pivô",A1)))</formula>
    </cfRule>
  </conditionalFormatting>
  <conditionalFormatting sqref="B5:H109">
    <cfRule type="containsText" dxfId="1350" priority="3" operator="containsText" text="Desponte">
      <formula>NOT(ISERROR(SEARCH("Desponte",B5)))</formula>
    </cfRule>
    <cfRule type="containsText" dxfId="1333" priority="43" operator="containsText" text="Pulverização">
      <formula>NOT(ISERROR(SEARCH("Pulverização",B5)))</formula>
    </cfRule>
    <cfRule type="cellIs" dxfId="1328" priority="42" operator="equal">
      <formula>$J$20</formula>
    </cfRule>
    <cfRule type="containsText" dxfId="1327" priority="49" operator="containsText" text="Motorredutor">
      <formula>NOT(ISERROR(SEARCH("Motorredutor",B5)))</formula>
    </cfRule>
    <cfRule type="cellIs" dxfId="1326" priority="44" operator="greaterThan">
      <formula>$J$5</formula>
    </cfRule>
    <cfRule type="containsText" dxfId="1325" priority="45" operator="containsText" text="Cardã">
      <formula>NOT(ISERROR(SEARCH("Cardã",B5)))</formula>
    </cfRule>
    <cfRule type="containsText" dxfId="1324" priority="46" operator="containsText" text="Pneu">
      <formula>NOT(ISERROR(SEARCH("Pneu",B5)))</formula>
    </cfRule>
    <cfRule type="containsText" dxfId="1323" priority="47" operator="containsText" text="Vedação">
      <formula>NOT(ISERROR(SEARCH("Vedação",B5)))</formula>
    </cfRule>
    <cfRule type="containsText" dxfId="1322" priority="48" operator="containsText" text="Retentor">
      <formula>NOT(ISERROR(SEARCH("Retentor",B5)))</formula>
    </cfRule>
    <cfRule type="containsText" dxfId="1321" priority="50" operator="containsText" text="Redutor">
      <formula>NOT(ISERROR(SEARCH("Redutor",B5)))</formula>
    </cfRule>
    <cfRule type="containsText" dxfId="1320" priority="51" operator="containsText" text="Bomba">
      <formula>NOT(ISERROR(SEARCH("Bomba",B5)))</formula>
    </cfRule>
  </conditionalFormatting>
  <conditionalFormatting sqref="B110:H111">
    <cfRule type="containsText" dxfId="1310" priority="27" operator="containsText" text="Pulverização">
      <formula>NOT(ISERROR(SEARCH("Pulverização",B110)))</formula>
    </cfRule>
    <cfRule type="cellIs" dxfId="1309" priority="28" operator="greaterThan">
      <formula>$J$5</formula>
    </cfRule>
    <cfRule type="containsText" dxfId="1308" priority="29" operator="containsText" text="Cardã">
      <formula>NOT(ISERROR(SEARCH("Cardã",B110)))</formula>
    </cfRule>
    <cfRule type="containsText" dxfId="1307" priority="30" operator="containsText" text="Pneu">
      <formula>NOT(ISERROR(SEARCH("Pneu",B110)))</formula>
    </cfRule>
    <cfRule type="containsText" dxfId="1306" priority="31" operator="containsText" text="Vedação">
      <formula>NOT(ISERROR(SEARCH("Vedação",B110)))</formula>
    </cfRule>
    <cfRule type="containsText" dxfId="1305" priority="32" operator="containsText" text="Retentor">
      <formula>NOT(ISERROR(SEARCH("Retentor",B110)))</formula>
    </cfRule>
    <cfRule type="containsText" dxfId="1304" priority="33" operator="containsText" text="Motorredutor">
      <formula>NOT(ISERROR(SEARCH("Motorredutor",B110)))</formula>
    </cfRule>
    <cfRule type="containsText" dxfId="1303" priority="34" operator="containsText" text="Redutor">
      <formula>NOT(ISERROR(SEARCH("Redutor",B110)))</formula>
    </cfRule>
    <cfRule type="containsText" dxfId="1302" priority="35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06FD915D-20B8-4FEC-875F-486953581D92}">
      <formula1>$J$5:$J$11</formula1>
    </dataValidation>
    <dataValidation type="list" allowBlank="1" showInputMessage="1" showErrorMessage="1" sqref="B5:H109" xr:uid="{E3A08362-7809-4164-9D46-48837982C54F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C487445-D27E-4AD3-BCF3-E1FD91FE5EEB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B53527A2-BDFD-4727-B68B-8D1E0C5710E9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91431F65-738C-4BB3-A4DA-C583CB069BE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E0DFAA0F-A956-4D3C-B492-C5F305328042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A9A30BBE-A607-44FA-A23F-BDEE78C12613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04" operator="containsText" id="{39525D21-4F49-445A-8F1E-108BD042809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05" operator="containsText" id="{67350AFB-74C2-4C4B-84AA-9184F9CD9B44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206" operator="containsText" id="{2A4E7E0E-3EBD-45B7-A8DD-A25DFD0C6AF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07" operator="containsText" id="{171E6700-D8C5-42D7-B0AD-410E0AC463B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08" operator="containsText" id="{C8D5B019-90A4-41C5-86E8-9B709C3770C5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209" operator="containsText" id="{09B1AC27-C81D-4A3D-8713-9F5352C6FD8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210" operator="containsText" id="{8A14E310-686E-4A77-B944-5901935202F2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211" operator="containsText" id="{CD8AF9A4-3497-4A65-A88E-A343C701591C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212" operator="containsText" id="{EF2F876B-3CEE-4E69-B830-00DC94EE3F52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213" operator="containsText" id="{2E5B2DEA-3F61-4ADE-8F37-35E5454B8A03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214" operator="containsText" id="{A07DC463-42C9-4FEB-AB41-75F3F0852AF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215" operator="containsText" id="{77ABCBCF-5931-457A-B177-88FAC564B8DF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216" operator="containsText" id="{9BF1E477-12C8-41D6-8CCE-C0E7CAE9C1A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217" operator="containsText" id="{85DBBA6E-CF0D-4379-A79C-CBFF3283FA3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18" operator="containsText" id="{39B4E08F-FE69-4812-99CA-EB50B3EB2A7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19" operator="containsText" id="{AB680F92-DE89-4B1A-AEE7-9413101001D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8D769857-4F9C-440E-A175-55ED52FA8D18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6" operator="containsText" id="{06E5BA33-CDA3-466C-BD55-F4EF635A07E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36" operator="containsText" id="{7911F4F2-663E-46ED-ACF2-2F3A76714982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8" operator="containsText" id="{580C5650-0073-45CA-9824-187DE9CCA81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9" operator="containsText" id="{D974EE0A-6073-450A-90BB-5C21B96B4169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40" operator="containsText" id="{C17FB087-F1B8-4220-B73C-7ED0A944BDB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1" operator="containsText" id="{38E5765C-F86A-46E0-B1CE-FC27E1BAD189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37" operator="containsText" id="{A6288917-4D2C-4681-884F-0D8E0BBA823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25" operator="containsText" id="{43EB1F31-1BD0-4E49-8147-AEA596A511B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E32A-AA24-4DEE-8AF1-B1066652C463}">
  <sheetPr>
    <tabColor rgb="FF92D050"/>
    <pageSetUpPr fitToPage="1"/>
  </sheetPr>
  <dimension ref="A1:P109"/>
  <sheetViews>
    <sheetView showGridLines="0" zoomScale="130" zoomScaleNormal="130" workbookViewId="0">
      <pane ySplit="4" topLeftCell="A5" activePane="bottomLeft" state="frozen"/>
      <selection pane="bottomLeft" activeCell="J5" sqref="J5:L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207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44970</v>
      </c>
      <c r="C3" s="11">
        <f t="shared" ref="C3:H3" si="0">B3+1</f>
        <v>44971</v>
      </c>
      <c r="D3" s="11">
        <f t="shared" si="0"/>
        <v>44972</v>
      </c>
      <c r="E3" s="11">
        <f t="shared" si="0"/>
        <v>44973</v>
      </c>
      <c r="F3" s="11">
        <f t="shared" si="0"/>
        <v>44974</v>
      </c>
      <c r="G3" s="11">
        <f t="shared" si="0"/>
        <v>44975</v>
      </c>
      <c r="H3" s="12">
        <f t="shared" si="0"/>
        <v>44976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0</v>
      </c>
      <c r="L5" s="54">
        <f t="shared" ref="L5:L21" si="3">K5/$K$22</f>
        <v>0</v>
      </c>
      <c r="M5" s="58">
        <f>B3</f>
        <v>44970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2</v>
      </c>
      <c r="L6" s="54">
        <f t="shared" si="3"/>
        <v>9.5238095238095233E-2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1</v>
      </c>
      <c r="L11" s="54">
        <f t="shared" si="3"/>
        <v>4.7619047619047616E-2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2</v>
      </c>
      <c r="L14" s="54">
        <f t="shared" si="3"/>
        <v>9.5238095238095233E-2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1</v>
      </c>
      <c r="L15" s="54">
        <f t="shared" si="3"/>
        <v>4.7619047619047616E-2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10</v>
      </c>
      <c r="L16" s="54">
        <f t="shared" si="3"/>
        <v>0.47619047619047616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4</v>
      </c>
      <c r="L18" s="54">
        <f t="shared" si="3"/>
        <v>0.19047619047619047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 t="s">
        <v>166</v>
      </c>
      <c r="H21" s="9"/>
      <c r="J21" s="64" t="s">
        <v>173</v>
      </c>
      <c r="K21" s="1">
        <f t="shared" si="2"/>
        <v>1</v>
      </c>
      <c r="L21" s="54">
        <f t="shared" si="3"/>
        <v>4.7619047619047616E-2</v>
      </c>
    </row>
    <row r="22" spans="1:12" x14ac:dyDescent="0.25">
      <c r="A22" s="6" t="s">
        <v>44</v>
      </c>
      <c r="B22" s="9" t="s">
        <v>166</v>
      </c>
      <c r="C22" s="9" t="s">
        <v>166</v>
      </c>
      <c r="D22" s="9"/>
      <c r="E22" s="9" t="s">
        <v>166</v>
      </c>
      <c r="F22" s="9"/>
      <c r="G22" s="9"/>
      <c r="H22" s="9"/>
      <c r="J22" s="7" t="s">
        <v>2</v>
      </c>
      <c r="K22" s="1">
        <f>SUM(K5:K21)</f>
        <v>21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 t="s">
        <v>13</v>
      </c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 t="s">
        <v>173</v>
      </c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 t="s">
        <v>5</v>
      </c>
      <c r="C47" s="9"/>
      <c r="D47" s="9" t="s">
        <v>10</v>
      </c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 t="s">
        <v>5</v>
      </c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 t="s">
        <v>15</v>
      </c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 t="s">
        <v>15</v>
      </c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 t="s">
        <v>15</v>
      </c>
      <c r="F71" s="9"/>
      <c r="G71" s="9" t="s">
        <v>15</v>
      </c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 t="s">
        <v>121</v>
      </c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 t="s">
        <v>15</v>
      </c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 t="s">
        <v>15</v>
      </c>
      <c r="D95" s="9" t="s">
        <v>15</v>
      </c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 t="s">
        <v>15</v>
      </c>
      <c r="D97" s="9" t="s">
        <v>15</v>
      </c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 t="s">
        <v>15</v>
      </c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 t="s">
        <v>13</v>
      </c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1301" priority="7" operator="containsText" text="Pivô">
      <formula>NOT(ISERROR(SEARCH("Pivô",A1)))</formula>
    </cfRule>
    <cfRule type="containsText" dxfId="1300" priority="8" operator="containsText" text="Pivô">
      <formula>NOT(ISERROR(SEARCH("Pivô",A1)))</formula>
    </cfRule>
  </conditionalFormatting>
  <conditionalFormatting sqref="B5:H109">
    <cfRule type="containsText" dxfId="1298" priority="3" operator="containsText" text="Desponte">
      <formula>NOT(ISERROR(SEARCH("Desponte",B5)))</formula>
    </cfRule>
    <cfRule type="containsText" dxfId="1281" priority="27" operator="containsText" text="Pulverização">
      <formula>NOT(ISERROR(SEARCH("Pulverização",B5)))</formula>
    </cfRule>
    <cfRule type="cellIs" dxfId="1276" priority="26" operator="equal">
      <formula>$J$20</formula>
    </cfRule>
    <cfRule type="containsText" dxfId="1275" priority="33" operator="containsText" text="Motorredutor">
      <formula>NOT(ISERROR(SEARCH("Motorredutor",B5)))</formula>
    </cfRule>
    <cfRule type="cellIs" dxfId="1274" priority="28" operator="greaterThan">
      <formula>$J$5</formula>
    </cfRule>
    <cfRule type="containsText" dxfId="1273" priority="29" operator="containsText" text="Cardã">
      <formula>NOT(ISERROR(SEARCH("Cardã",B5)))</formula>
    </cfRule>
    <cfRule type="containsText" dxfId="1272" priority="30" operator="containsText" text="Pneu">
      <formula>NOT(ISERROR(SEARCH("Pneu",B5)))</formula>
    </cfRule>
    <cfRule type="containsText" dxfId="1271" priority="31" operator="containsText" text="Vedação">
      <formula>NOT(ISERROR(SEARCH("Vedação",B5)))</formula>
    </cfRule>
    <cfRule type="containsText" dxfId="1270" priority="32" operator="containsText" text="Retentor">
      <formula>NOT(ISERROR(SEARCH("Retentor",B5)))</formula>
    </cfRule>
    <cfRule type="containsText" dxfId="1269" priority="34" operator="containsText" text="Redutor">
      <formula>NOT(ISERROR(SEARCH("Redutor",B5)))</formula>
    </cfRule>
    <cfRule type="containsText" dxfId="1268" priority="35" operator="containsText" text="Bomba">
      <formula>NOT(ISERROR(SEARCH("Bomba",B5)))</formula>
    </cfRule>
  </conditionalFormatting>
  <conditionalFormatting sqref="B110:H111">
    <cfRule type="containsText" dxfId="1258" priority="11" operator="containsText" text="Pulverização">
      <formula>NOT(ISERROR(SEARCH("Pulverização",B110)))</formula>
    </cfRule>
    <cfRule type="cellIs" dxfId="1257" priority="12" operator="greaterThan">
      <formula>$J$5</formula>
    </cfRule>
    <cfRule type="containsText" dxfId="1256" priority="13" operator="containsText" text="Cardã">
      <formula>NOT(ISERROR(SEARCH("Cardã",B110)))</formula>
    </cfRule>
    <cfRule type="containsText" dxfId="1255" priority="14" operator="containsText" text="Pneu">
      <formula>NOT(ISERROR(SEARCH("Pneu",B110)))</formula>
    </cfRule>
    <cfRule type="containsText" dxfId="1254" priority="15" operator="containsText" text="Vedação">
      <formula>NOT(ISERROR(SEARCH("Vedação",B110)))</formula>
    </cfRule>
    <cfRule type="containsText" dxfId="1253" priority="16" operator="containsText" text="Retentor">
      <formula>NOT(ISERROR(SEARCH("Retentor",B110)))</formula>
    </cfRule>
    <cfRule type="containsText" dxfId="1252" priority="17" operator="containsText" text="Motorredutor">
      <formula>NOT(ISERROR(SEARCH("Motorredutor",B110)))</formula>
    </cfRule>
    <cfRule type="containsText" dxfId="1251" priority="18" operator="containsText" text="Redutor">
      <formula>NOT(ISERROR(SEARCH("Redutor",B110)))</formula>
    </cfRule>
    <cfRule type="containsText" dxfId="1250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5:H109" xr:uid="{0C9B1464-10FF-467D-80AE-F8F1FCEA1780}">
      <formula1>$J$5:$J$21</formula1>
    </dataValidation>
    <dataValidation type="list" allowBlank="1" showInputMessage="1" showErrorMessage="1" sqref="B110:H111" xr:uid="{95B25131-76DA-47BE-B3BF-8BFD9342CCC6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8C512A0-A2A3-4070-AF59-256585A1AF0D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BC217B83-EAAE-48C7-A5FB-F206787F06BF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910BED77-936B-46B2-B5EE-6C4A7C5B4349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9A9F81BE-D773-401B-A174-D6EC8F95F156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40B37083-2979-42C4-99C1-0992C2F50AEC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27332B4C-F459-409A-8EB2-BB85E17B816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DB9EAE61-164A-4B3A-B725-F3E2F11E0E8A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A812F555-5FB7-461F-9C6F-14C4F9FBD33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E4E6139D-4F86-444F-AC20-26784CC39E1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4ED64D0E-E503-42EB-8B37-348597E08BD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487F21A8-8FE0-4240-8171-E78D823434B9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36315AFC-3733-4310-B03D-276AB7347912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2B27966A-96C5-4BD1-8653-8D48CCB92F9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79095261-31F0-4E07-B39B-1EBB8016701F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8ABD1597-7D16-47FE-8F4B-D54F1ACB3765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83A407A0-4A1D-450F-ADDB-9BEBE85E8DF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F6D64CD9-0300-4369-8311-83C41B015FE9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3D3AF8EB-9EF1-4E3E-8157-591390E1F6C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A75EF1BD-55A5-470B-9F2D-89A1C2927DD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ED961A06-68C6-4307-AF50-F0816509D07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C4037398-3387-4F9F-BA93-0BCC3CCBD69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B1611BD8-7C4D-45DB-A727-A03CD30F4E11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60F5FB5F-F57D-4FBE-A3E8-8F7F3C2A20F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A7AD1D24-6E1F-4B19-A96C-9B02B90D01DD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1FDA66E3-01CA-4C42-9072-E902DE304F0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CC5A58A4-8AB4-4C79-A293-FC0C92F7880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B48F547D-898B-4697-B619-CE7E9D00A2A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E4746D93-420B-41B7-827E-D1AE4688B73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8DAD5E09-E60B-41BD-93C6-4E3555D7A55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A989EC9F-87A9-459D-8431-CDA060AA4F9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8686-D298-4675-8FF0-4B0C2B0EA773}">
  <sheetPr>
    <tabColor rgb="FF92D050"/>
    <pageSetUpPr fitToPage="1"/>
  </sheetPr>
  <dimension ref="A1:P109"/>
  <sheetViews>
    <sheetView showGridLines="0" zoomScale="130" zoomScaleNormal="130" workbookViewId="0">
      <pane ySplit="4" topLeftCell="A5" activePane="bottomLeft" state="frozen"/>
      <selection pane="bottomLeft" activeCell="F6" sqref="F6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207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44977</v>
      </c>
      <c r="C3" s="11">
        <f t="shared" ref="C3:H3" si="0">B3+1</f>
        <v>44978</v>
      </c>
      <c r="D3" s="11">
        <f t="shared" si="0"/>
        <v>44979</v>
      </c>
      <c r="E3" s="11">
        <f t="shared" si="0"/>
        <v>44980</v>
      </c>
      <c r="F3" s="11">
        <f t="shared" si="0"/>
        <v>44981</v>
      </c>
      <c r="G3" s="11">
        <f t="shared" si="0"/>
        <v>44982</v>
      </c>
      <c r="H3" s="12">
        <f t="shared" si="0"/>
        <v>44983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 t="s">
        <v>4</v>
      </c>
      <c r="F5" s="8"/>
      <c r="G5" s="8"/>
      <c r="H5" s="8"/>
      <c r="J5" s="20" t="s">
        <v>4</v>
      </c>
      <c r="K5" s="1">
        <f t="shared" ref="K5:K21" si="2">COUNTIF($B$5:$H$109,J5)</f>
        <v>1</v>
      </c>
      <c r="L5" s="54">
        <f t="shared" ref="L5:L21" si="3">K5/$K$22</f>
        <v>3.8461538461538464E-2</v>
      </c>
      <c r="M5" s="58">
        <f>B3</f>
        <v>44977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4</v>
      </c>
      <c r="L6" s="54">
        <f t="shared" si="3"/>
        <v>0.15384615384615385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2</v>
      </c>
      <c r="L7" s="54">
        <f t="shared" si="3"/>
        <v>7.6923076923076927E-2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1</v>
      </c>
      <c r="L14" s="54">
        <f t="shared" si="3"/>
        <v>3.8461538461538464E-2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17</v>
      </c>
      <c r="L16" s="54">
        <f t="shared" si="3"/>
        <v>0.65384615384615385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1</v>
      </c>
      <c r="L21" s="54">
        <f t="shared" si="3"/>
        <v>3.8461538461538464E-2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26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 t="s">
        <v>15</v>
      </c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 t="s">
        <v>15</v>
      </c>
      <c r="D27" s="9"/>
      <c r="E27" s="9"/>
      <c r="F27" s="9" t="s">
        <v>15</v>
      </c>
      <c r="G27" s="9"/>
      <c r="H27" s="9"/>
      <c r="J27" s="7"/>
    </row>
    <row r="28" spans="1:12" x14ac:dyDescent="0.25">
      <c r="A28" s="6" t="s">
        <v>50</v>
      </c>
      <c r="B28" s="9"/>
      <c r="C28" s="9" t="s">
        <v>15</v>
      </c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 t="s">
        <v>15</v>
      </c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 t="s">
        <v>5</v>
      </c>
      <c r="F32" s="9" t="s">
        <v>15</v>
      </c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 t="s">
        <v>15</v>
      </c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 t="s">
        <v>15</v>
      </c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 t="s">
        <v>15</v>
      </c>
      <c r="D37" s="9" t="s">
        <v>15</v>
      </c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 t="s">
        <v>15</v>
      </c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 t="s">
        <v>13</v>
      </c>
      <c r="F44" s="9"/>
      <c r="G44" s="9"/>
      <c r="H44" s="9"/>
    </row>
    <row r="45" spans="1:8" x14ac:dyDescent="0.25">
      <c r="A45" s="6" t="s">
        <v>67</v>
      </c>
      <c r="B45" s="9"/>
      <c r="C45" s="9" t="s">
        <v>5</v>
      </c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 t="s">
        <v>5</v>
      </c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 t="s">
        <v>173</v>
      </c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 t="s">
        <v>15</v>
      </c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 t="s">
        <v>5</v>
      </c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 t="s">
        <v>15</v>
      </c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 t="s">
        <v>15</v>
      </c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 t="s">
        <v>127</v>
      </c>
      <c r="C99" s="9"/>
      <c r="D99" s="9"/>
      <c r="E99" s="9"/>
      <c r="F99" s="9"/>
      <c r="G99" s="9"/>
      <c r="H99" s="9" t="s">
        <v>127</v>
      </c>
    </row>
    <row r="100" spans="1:8" x14ac:dyDescent="0.25">
      <c r="A100" s="6" t="s">
        <v>106</v>
      </c>
      <c r="B100" s="9"/>
      <c r="C100" s="9" t="s">
        <v>15</v>
      </c>
      <c r="D100" s="9"/>
      <c r="E100" s="9"/>
      <c r="F100" s="9" t="s">
        <v>15</v>
      </c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 t="s">
        <v>15</v>
      </c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1249" priority="7" operator="containsText" text="Pivô">
      <formula>NOT(ISERROR(SEARCH("Pivô",A1)))</formula>
    </cfRule>
    <cfRule type="containsText" dxfId="1248" priority="8" operator="containsText" text="Pivô">
      <formula>NOT(ISERROR(SEARCH("Pivô",A1)))</formula>
    </cfRule>
  </conditionalFormatting>
  <conditionalFormatting sqref="B5:H109">
    <cfRule type="containsText" dxfId="1246" priority="3" operator="containsText" text="Desponte">
      <formula>NOT(ISERROR(SEARCH("Desponte",B5)))</formula>
    </cfRule>
    <cfRule type="containsText" dxfId="1229" priority="27" operator="containsText" text="Pulverização">
      <formula>NOT(ISERROR(SEARCH("Pulverização",B5)))</formula>
    </cfRule>
    <cfRule type="cellIs" dxfId="1224" priority="26" operator="equal">
      <formula>$J$20</formula>
    </cfRule>
    <cfRule type="containsText" dxfId="1223" priority="33" operator="containsText" text="Motorredutor">
      <formula>NOT(ISERROR(SEARCH("Motorredutor",B5)))</formula>
    </cfRule>
    <cfRule type="cellIs" dxfId="1222" priority="28" operator="greaterThan">
      <formula>$J$5</formula>
    </cfRule>
    <cfRule type="containsText" dxfId="1221" priority="29" operator="containsText" text="Cardã">
      <formula>NOT(ISERROR(SEARCH("Cardã",B5)))</formula>
    </cfRule>
    <cfRule type="containsText" dxfId="1220" priority="30" operator="containsText" text="Pneu">
      <formula>NOT(ISERROR(SEARCH("Pneu",B5)))</formula>
    </cfRule>
    <cfRule type="containsText" dxfId="1219" priority="31" operator="containsText" text="Vedação">
      <formula>NOT(ISERROR(SEARCH("Vedação",B5)))</formula>
    </cfRule>
    <cfRule type="containsText" dxfId="1218" priority="32" operator="containsText" text="Retentor">
      <formula>NOT(ISERROR(SEARCH("Retentor",B5)))</formula>
    </cfRule>
    <cfRule type="containsText" dxfId="1217" priority="34" operator="containsText" text="Redutor">
      <formula>NOT(ISERROR(SEARCH("Redutor",B5)))</formula>
    </cfRule>
    <cfRule type="containsText" dxfId="1216" priority="35" operator="containsText" text="Bomba">
      <formula>NOT(ISERROR(SEARCH("Bomba",B5)))</formula>
    </cfRule>
  </conditionalFormatting>
  <conditionalFormatting sqref="B110:H111">
    <cfRule type="containsText" dxfId="1206" priority="11" operator="containsText" text="Pulverização">
      <formula>NOT(ISERROR(SEARCH("Pulverização",B110)))</formula>
    </cfRule>
    <cfRule type="cellIs" dxfId="1205" priority="12" operator="greaterThan">
      <formula>$J$5</formula>
    </cfRule>
    <cfRule type="containsText" dxfId="1204" priority="13" operator="containsText" text="Cardã">
      <formula>NOT(ISERROR(SEARCH("Cardã",B110)))</formula>
    </cfRule>
    <cfRule type="containsText" dxfId="1203" priority="14" operator="containsText" text="Pneu">
      <formula>NOT(ISERROR(SEARCH("Pneu",B110)))</formula>
    </cfRule>
    <cfRule type="containsText" dxfId="1202" priority="15" operator="containsText" text="Vedação">
      <formula>NOT(ISERROR(SEARCH("Vedação",B110)))</formula>
    </cfRule>
    <cfRule type="containsText" dxfId="1201" priority="16" operator="containsText" text="Retentor">
      <formula>NOT(ISERROR(SEARCH("Retentor",B110)))</formula>
    </cfRule>
    <cfRule type="containsText" dxfId="1200" priority="17" operator="containsText" text="Motorredutor">
      <formula>NOT(ISERROR(SEARCH("Motorredutor",B110)))</formula>
    </cfRule>
    <cfRule type="containsText" dxfId="1199" priority="18" operator="containsText" text="Redutor">
      <formula>NOT(ISERROR(SEARCH("Redutor",B110)))</formula>
    </cfRule>
    <cfRule type="containsText" dxfId="1198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4243BB8F-97DB-422E-9E86-C3CADC7A377F}">
      <formula1>$J$5:$J$11</formula1>
    </dataValidation>
    <dataValidation type="list" allowBlank="1" showInputMessage="1" showErrorMessage="1" sqref="B5:H109" xr:uid="{7D32F83E-6217-4944-807B-2AF284A74CF2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ED50E72-9699-4716-BD7A-DA4D39DC227E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353E83FA-4447-440F-AF47-6BABE208884A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E62DFDBA-4814-4877-B15A-A8CD157F1F21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47B1ADDB-2F7F-454F-9A79-CD6ABC2F1B62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AB8E13D0-8A7B-409F-ACEB-259A0066EE93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DF65CE0D-05B4-4B4E-80B9-332FA48CCBC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F2364619-AD53-403F-8FEA-880C9E5466C2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F5516840-8979-488E-B913-E7A88A72B23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E1AD4630-2044-4DDD-A0E2-EB0903C6BC20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1FCA6025-173E-40C5-B6EB-8A59A1CB8AA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C8CE63B3-A55D-447C-BF02-C07A48F240A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FE133961-4013-44B9-BE58-A6A846353F39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858F86B4-BE31-48FC-B099-65DCDCC497F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754E0B40-A63A-49E5-9B06-A16BEA5B27D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E5D720A9-85A2-4B2C-9215-362341624F50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CEC80187-EBAF-44B0-A3B4-5C46795B21C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1480B0CD-ECA0-4D8F-950A-C5D47A389760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D42CE931-689E-42B4-AFC8-F784B7B8DBF2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0748C1A0-7873-4E84-96FD-AF9CE224C5F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444383A9-9235-42F7-ACD8-06E86ADE3BB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A54B0283-360C-49BC-9527-A0B716426E6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46CA1D2B-DE80-4079-9575-F566789B7EBA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5049B12F-2AB9-4B4A-8A56-8DE477D51E5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3522A771-8371-4458-94A7-AAF7F63F06C2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3434D678-1F0D-4C4D-8464-485D84708F5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C7CE7E6A-1AA1-4787-A3F0-1D6F719BFD06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138050E3-CD88-48E3-A65C-3DB0B83E69E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D663457D-CC98-4EF5-98B3-9A7E0A4240A6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6595C364-725C-4E3C-B942-13269F2B5D6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31A127F2-B29F-4F1C-A5B6-75DC687A432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9FD0-5501-4C1B-97C2-E3083521BFE5}">
  <sheetPr>
    <tabColor rgb="FF92D050"/>
    <pageSetUpPr fitToPage="1"/>
  </sheetPr>
  <dimension ref="A1:P109"/>
  <sheetViews>
    <sheetView showGridLines="0" zoomScale="130" zoomScaleNormal="130" workbookViewId="0">
      <pane ySplit="4" topLeftCell="A5" activePane="bottomLeft" state="frozen"/>
      <selection pane="bottomLef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207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44984</v>
      </c>
      <c r="C3" s="11">
        <f t="shared" ref="C3:H3" si="0">B3+1</f>
        <v>44985</v>
      </c>
      <c r="D3" s="11">
        <f t="shared" si="0"/>
        <v>44986</v>
      </c>
      <c r="E3" s="11">
        <f t="shared" si="0"/>
        <v>44987</v>
      </c>
      <c r="F3" s="11">
        <f t="shared" si="0"/>
        <v>44988</v>
      </c>
      <c r="G3" s="11">
        <f t="shared" si="0"/>
        <v>44989</v>
      </c>
      <c r="H3" s="12">
        <f t="shared" si="0"/>
        <v>44990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0</v>
      </c>
      <c r="L5" s="54">
        <f t="shared" ref="L5:L21" si="3">K5/$K$22</f>
        <v>0</v>
      </c>
      <c r="M5" s="58">
        <f>B3</f>
        <v>44984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1</v>
      </c>
      <c r="L13" s="54">
        <f t="shared" si="3"/>
        <v>6.25E-2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1</v>
      </c>
      <c r="L14" s="54">
        <f t="shared" si="3"/>
        <v>6.25E-2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12</v>
      </c>
      <c r="L16" s="54">
        <f t="shared" si="3"/>
        <v>0.75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 t="s">
        <v>173</v>
      </c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2</v>
      </c>
      <c r="L21" s="54">
        <f t="shared" si="3"/>
        <v>0.125</v>
      </c>
    </row>
    <row r="22" spans="1:12" x14ac:dyDescent="0.25">
      <c r="A22" s="6" t="s">
        <v>44</v>
      </c>
      <c r="B22" s="9"/>
      <c r="C22" s="9" t="s">
        <v>12</v>
      </c>
      <c r="D22" s="9"/>
      <c r="E22" s="9"/>
      <c r="F22" s="9"/>
      <c r="G22" s="9"/>
      <c r="H22" s="9"/>
      <c r="J22" s="7" t="s">
        <v>2</v>
      </c>
      <c r="K22" s="1">
        <f>SUM(K5:K21)</f>
        <v>16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 t="s">
        <v>173</v>
      </c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 t="s">
        <v>15</v>
      </c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 t="s">
        <v>13</v>
      </c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 t="s">
        <v>15</v>
      </c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 t="s">
        <v>15</v>
      </c>
      <c r="F64" s="9"/>
      <c r="G64" s="9"/>
      <c r="H64" s="9"/>
    </row>
    <row r="65" spans="1:8" x14ac:dyDescent="0.25">
      <c r="A65" s="6" t="s">
        <v>195</v>
      </c>
      <c r="B65" s="9"/>
      <c r="C65" s="9"/>
      <c r="D65" s="9" t="s">
        <v>15</v>
      </c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 t="s">
        <v>15</v>
      </c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 t="s">
        <v>15</v>
      </c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 t="s">
        <v>15</v>
      </c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 t="s">
        <v>15</v>
      </c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 t="s">
        <v>15</v>
      </c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 t="s">
        <v>15</v>
      </c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 t="s">
        <v>15</v>
      </c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 t="s">
        <v>15</v>
      </c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1197" priority="7" operator="containsText" text="Pivô">
      <formula>NOT(ISERROR(SEARCH("Pivô",A1)))</formula>
    </cfRule>
    <cfRule type="containsText" dxfId="1196" priority="8" operator="containsText" text="Pivô">
      <formula>NOT(ISERROR(SEARCH("Pivô",A1)))</formula>
    </cfRule>
  </conditionalFormatting>
  <conditionalFormatting sqref="B5:H109">
    <cfRule type="containsText" dxfId="1194" priority="3" operator="containsText" text="Desponte">
      <formula>NOT(ISERROR(SEARCH("Desponte",B5)))</formula>
    </cfRule>
    <cfRule type="containsText" dxfId="1177" priority="27" operator="containsText" text="Pulverização">
      <formula>NOT(ISERROR(SEARCH("Pulverização",B5)))</formula>
    </cfRule>
    <cfRule type="cellIs" dxfId="1172" priority="26" operator="equal">
      <formula>$J$20</formula>
    </cfRule>
    <cfRule type="containsText" dxfId="1171" priority="33" operator="containsText" text="Motorredutor">
      <formula>NOT(ISERROR(SEARCH("Motorredutor",B5)))</formula>
    </cfRule>
    <cfRule type="cellIs" dxfId="1170" priority="28" operator="greaterThan">
      <formula>$J$5</formula>
    </cfRule>
    <cfRule type="containsText" dxfId="1169" priority="29" operator="containsText" text="Cardã">
      <formula>NOT(ISERROR(SEARCH("Cardã",B5)))</formula>
    </cfRule>
    <cfRule type="containsText" dxfId="1168" priority="30" operator="containsText" text="Pneu">
      <formula>NOT(ISERROR(SEARCH("Pneu",B5)))</formula>
    </cfRule>
    <cfRule type="containsText" dxfId="1167" priority="31" operator="containsText" text="Vedação">
      <formula>NOT(ISERROR(SEARCH("Vedação",B5)))</formula>
    </cfRule>
    <cfRule type="containsText" dxfId="1166" priority="32" operator="containsText" text="Retentor">
      <formula>NOT(ISERROR(SEARCH("Retentor",B5)))</formula>
    </cfRule>
    <cfRule type="containsText" dxfId="1165" priority="34" operator="containsText" text="Redutor">
      <formula>NOT(ISERROR(SEARCH("Redutor",B5)))</formula>
    </cfRule>
    <cfRule type="containsText" dxfId="1164" priority="35" operator="containsText" text="Bomba">
      <formula>NOT(ISERROR(SEARCH("Bomba",B5)))</formula>
    </cfRule>
  </conditionalFormatting>
  <conditionalFormatting sqref="B110:H111">
    <cfRule type="containsText" dxfId="1154" priority="11" operator="containsText" text="Pulverização">
      <formula>NOT(ISERROR(SEARCH("Pulverização",B110)))</formula>
    </cfRule>
    <cfRule type="cellIs" dxfId="1153" priority="12" operator="greaterThan">
      <formula>$J$5</formula>
    </cfRule>
    <cfRule type="containsText" dxfId="1152" priority="13" operator="containsText" text="Cardã">
      <formula>NOT(ISERROR(SEARCH("Cardã",B110)))</formula>
    </cfRule>
    <cfRule type="containsText" dxfId="1151" priority="14" operator="containsText" text="Pneu">
      <formula>NOT(ISERROR(SEARCH("Pneu",B110)))</formula>
    </cfRule>
    <cfRule type="containsText" dxfId="1150" priority="15" operator="containsText" text="Vedação">
      <formula>NOT(ISERROR(SEARCH("Vedação",B110)))</formula>
    </cfRule>
    <cfRule type="containsText" dxfId="1149" priority="16" operator="containsText" text="Retentor">
      <formula>NOT(ISERROR(SEARCH("Retentor",B110)))</formula>
    </cfRule>
    <cfRule type="containsText" dxfId="1148" priority="17" operator="containsText" text="Motorredutor">
      <formula>NOT(ISERROR(SEARCH("Motorredutor",B110)))</formula>
    </cfRule>
    <cfRule type="containsText" dxfId="1147" priority="18" operator="containsText" text="Redutor">
      <formula>NOT(ISERROR(SEARCH("Redutor",B110)))</formula>
    </cfRule>
    <cfRule type="containsText" dxfId="1146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5:H109" xr:uid="{9F5566DD-9E93-40E8-BC1F-8BC53ADFBD28}">
      <formula1>$J$5:$J$21</formula1>
    </dataValidation>
    <dataValidation type="list" allowBlank="1" showInputMessage="1" showErrorMessage="1" sqref="B110:H111" xr:uid="{174B024D-40EB-4D01-9F3B-B887077A2FBB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014D38D-C6DD-41AF-B630-56AD6DF7287C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5B516468-2795-4EDD-AD86-9A12EEEEA60E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E34B214B-57F3-4486-83E7-80CF0061440F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B7ABCCA8-9C23-47DA-BB99-2B5D238F47C8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D7C4EEE5-5490-41F0-9990-591226C849ED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32EE6533-17A2-4BFF-8ABE-9F80228ED05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2BD12F89-76C1-4206-A9A9-A34EFAFE95CD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EB6A03E4-E006-4276-933B-240B376CFA9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0AB3481F-F9C3-4AD2-B01A-4E6D9D78793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86102A08-FD72-47E0-B7D7-733FDF04EC13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FDCFA0A9-C92A-4022-9C96-14529D62FD6B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0A6F3ECD-9D1C-4649-B0DD-E47E24D9218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6E9F5ADA-6CCE-4BAB-96BB-4897A95A79A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2D20DD72-0211-401E-B688-A14CBE3E1E97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5D603C49-382D-4F0C-9C3A-B5D701EBE2BC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65772B7A-B4D7-4E8B-A6B6-59C016732EB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36486DFA-2C22-40EF-9FD4-0693BA626CF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DCD8C936-4A1F-45DA-8F14-6B456D6D682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2F98E561-B0E5-4E1C-AF96-8C74CBE94F9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6C8F9370-953D-41B5-9B14-DE98898DA96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2C89D125-F985-4E9D-BF18-21F0F8A772F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6C69ECE4-9FA2-463B-A2AA-08ECDE16B0F0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68B0908B-FE2C-4456-87C8-630010874EA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A2743282-D0CF-4A23-B980-0DF2BDEDC22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BD72F76C-0317-4009-A042-83DCA04D29F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46E5939E-FDF5-4B43-84D6-4203C67C6D54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63E7B3F4-EF4B-4E23-A445-DA23777467E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D9C1CE7E-9638-48C6-93F2-F7D47728A8CF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95C7305A-9F67-4B71-A214-6C543AEF885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340EB76B-149C-4AF7-9BC8-13DBCE3FDAD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6B90-5281-4E68-A75F-F3F1764CF150}">
  <sheetPr>
    <tabColor rgb="FF92D050"/>
    <pageSetUpPr fitToPage="1"/>
  </sheetPr>
  <dimension ref="A1:P109"/>
  <sheetViews>
    <sheetView showGridLines="0" zoomScale="130" zoomScaleNormal="130" workbookViewId="0">
      <pane xSplit="1" ySplit="4" topLeftCell="J5" activePane="bottomRight" state="frozen"/>
      <selection pane="topRight" activeCell="B1" sqref="B1"/>
      <selection pane="bottomLeft" activeCell="A5" sqref="A5"/>
      <selection pane="bottomRight" activeCell="J5" sqref="J5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207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44991</v>
      </c>
      <c r="C3" s="11">
        <f t="shared" ref="C3:H3" si="0">B3+1</f>
        <v>44992</v>
      </c>
      <c r="D3" s="11">
        <f t="shared" si="0"/>
        <v>44993</v>
      </c>
      <c r="E3" s="11">
        <f t="shared" si="0"/>
        <v>44994</v>
      </c>
      <c r="F3" s="11">
        <f t="shared" si="0"/>
        <v>44995</v>
      </c>
      <c r="G3" s="11">
        <f t="shared" si="0"/>
        <v>44996</v>
      </c>
      <c r="H3" s="12">
        <f t="shared" si="0"/>
        <v>44997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 t="s">
        <v>12</v>
      </c>
      <c r="H5" s="8" t="s">
        <v>12</v>
      </c>
      <c r="J5" s="20" t="s">
        <v>4</v>
      </c>
      <c r="K5" s="1">
        <f t="shared" ref="K5:K21" si="2">COUNTIF($B$5:$H$109,J5)</f>
        <v>1</v>
      </c>
      <c r="L5" s="54">
        <f t="shared" ref="L5:L21" si="3">K5/$K$22</f>
        <v>3.4482758620689655E-2</v>
      </c>
      <c r="M5" s="58">
        <f>B3</f>
        <v>44991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1</v>
      </c>
      <c r="L10" s="54">
        <f t="shared" si="3"/>
        <v>3.4482758620689655E-2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11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3</v>
      </c>
      <c r="L13" s="54">
        <f t="shared" si="3"/>
        <v>0.10344827586206896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20</v>
      </c>
      <c r="L16" s="54">
        <f t="shared" si="3"/>
        <v>0.68965517241379315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 t="s">
        <v>173</v>
      </c>
      <c r="C18" s="9" t="s">
        <v>173</v>
      </c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 t="s">
        <v>12</v>
      </c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4</v>
      </c>
      <c r="L21" s="54">
        <f t="shared" si="3"/>
        <v>0.13793103448275862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29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 t="s">
        <v>4</v>
      </c>
      <c r="G26" s="9"/>
      <c r="H26" s="9"/>
      <c r="J26" s="7"/>
    </row>
    <row r="27" spans="1:12" x14ac:dyDescent="0.25">
      <c r="A27" s="6" t="s">
        <v>49</v>
      </c>
      <c r="B27" s="9"/>
      <c r="C27" s="9" t="s">
        <v>15</v>
      </c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 t="s">
        <v>173</v>
      </c>
      <c r="C28" s="9" t="s">
        <v>173</v>
      </c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 t="s">
        <v>118</v>
      </c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 t="s">
        <v>15</v>
      </c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 t="s">
        <v>15</v>
      </c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 t="s">
        <v>15</v>
      </c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 t="s">
        <v>15</v>
      </c>
      <c r="G90" s="9"/>
      <c r="H90" s="9"/>
    </row>
    <row r="91" spans="1:8" x14ac:dyDescent="0.25">
      <c r="A91" s="6" t="s">
        <v>97</v>
      </c>
      <c r="B91" s="9" t="s">
        <v>15</v>
      </c>
      <c r="C91" s="9"/>
      <c r="D91" s="9"/>
      <c r="E91" s="9"/>
      <c r="F91" s="9"/>
      <c r="G91" s="9"/>
      <c r="H91" s="9" t="s">
        <v>15</v>
      </c>
    </row>
    <row r="92" spans="1:8" x14ac:dyDescent="0.25">
      <c r="A92" s="6" t="s">
        <v>98</v>
      </c>
      <c r="B92" s="9"/>
      <c r="C92" s="9"/>
      <c r="D92" s="9"/>
      <c r="E92" s="9"/>
      <c r="F92" s="9" t="s">
        <v>15</v>
      </c>
      <c r="G92" s="9" t="s">
        <v>15</v>
      </c>
      <c r="H92" s="9"/>
    </row>
    <row r="93" spans="1:8" x14ac:dyDescent="0.25">
      <c r="A93" s="6" t="s">
        <v>99</v>
      </c>
      <c r="B93" s="9"/>
      <c r="C93" s="9"/>
      <c r="D93" s="9"/>
      <c r="E93" s="9" t="s">
        <v>15</v>
      </c>
      <c r="F93" s="9"/>
      <c r="G93" s="9" t="s">
        <v>15</v>
      </c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 t="s">
        <v>15</v>
      </c>
      <c r="C95" s="9"/>
      <c r="D95" s="9"/>
      <c r="E95" s="9"/>
      <c r="F95" s="9"/>
      <c r="G95" s="9" t="s">
        <v>15</v>
      </c>
      <c r="H95" s="9" t="s">
        <v>15</v>
      </c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 t="s">
        <v>15</v>
      </c>
      <c r="F97" s="9" t="s">
        <v>15</v>
      </c>
      <c r="G97" s="9" t="s">
        <v>15</v>
      </c>
      <c r="H97" s="9" t="s">
        <v>15</v>
      </c>
    </row>
    <row r="98" spans="1:8" x14ac:dyDescent="0.25">
      <c r="A98" s="6" t="s">
        <v>104</v>
      </c>
      <c r="B98" s="9"/>
      <c r="C98" s="9"/>
      <c r="D98" s="9"/>
      <c r="E98" s="9"/>
      <c r="F98" s="9"/>
      <c r="G98" s="9" t="s">
        <v>15</v>
      </c>
      <c r="H98" s="9" t="s">
        <v>15</v>
      </c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1145" priority="7" operator="containsText" text="Pivô">
      <formula>NOT(ISERROR(SEARCH("Pivô",A1)))</formula>
    </cfRule>
    <cfRule type="containsText" dxfId="1144" priority="8" operator="containsText" text="Pivô">
      <formula>NOT(ISERROR(SEARCH("Pivô",A1)))</formula>
    </cfRule>
  </conditionalFormatting>
  <conditionalFormatting sqref="B5:H109">
    <cfRule type="containsText" dxfId="1142" priority="3" operator="containsText" text="Desponte">
      <formula>NOT(ISERROR(SEARCH("Desponte",B5)))</formula>
    </cfRule>
    <cfRule type="containsText" dxfId="1125" priority="27" operator="containsText" text="Pulverização">
      <formula>NOT(ISERROR(SEARCH("Pulverização",B5)))</formula>
    </cfRule>
    <cfRule type="cellIs" dxfId="1120" priority="26" operator="equal">
      <formula>$J$20</formula>
    </cfRule>
    <cfRule type="containsText" dxfId="1119" priority="33" operator="containsText" text="Motorredutor">
      <formula>NOT(ISERROR(SEARCH("Motorredutor",B5)))</formula>
    </cfRule>
    <cfRule type="cellIs" dxfId="1118" priority="28" operator="greaterThan">
      <formula>$J$5</formula>
    </cfRule>
    <cfRule type="containsText" dxfId="1117" priority="29" operator="containsText" text="Cardã">
      <formula>NOT(ISERROR(SEARCH("Cardã",B5)))</formula>
    </cfRule>
    <cfRule type="containsText" dxfId="1116" priority="30" operator="containsText" text="Pneu">
      <formula>NOT(ISERROR(SEARCH("Pneu",B5)))</formula>
    </cfRule>
    <cfRule type="containsText" dxfId="1115" priority="31" operator="containsText" text="Vedação">
      <formula>NOT(ISERROR(SEARCH("Vedação",B5)))</formula>
    </cfRule>
    <cfRule type="containsText" dxfId="1114" priority="32" operator="containsText" text="Retentor">
      <formula>NOT(ISERROR(SEARCH("Retentor",B5)))</formula>
    </cfRule>
    <cfRule type="containsText" dxfId="1113" priority="34" operator="containsText" text="Redutor">
      <formula>NOT(ISERROR(SEARCH("Redutor",B5)))</formula>
    </cfRule>
    <cfRule type="containsText" dxfId="1112" priority="35" operator="containsText" text="Bomba">
      <formula>NOT(ISERROR(SEARCH("Bomba",B5)))</formula>
    </cfRule>
  </conditionalFormatting>
  <conditionalFormatting sqref="B110:H111">
    <cfRule type="containsText" dxfId="1102" priority="11" operator="containsText" text="Pulverização">
      <formula>NOT(ISERROR(SEARCH("Pulverização",B110)))</formula>
    </cfRule>
    <cfRule type="cellIs" dxfId="1101" priority="12" operator="greaterThan">
      <formula>$J$5</formula>
    </cfRule>
    <cfRule type="containsText" dxfId="1100" priority="13" operator="containsText" text="Cardã">
      <formula>NOT(ISERROR(SEARCH("Cardã",B110)))</formula>
    </cfRule>
    <cfRule type="containsText" dxfId="1099" priority="14" operator="containsText" text="Pneu">
      <formula>NOT(ISERROR(SEARCH("Pneu",B110)))</formula>
    </cfRule>
    <cfRule type="containsText" dxfId="1098" priority="15" operator="containsText" text="Vedação">
      <formula>NOT(ISERROR(SEARCH("Vedação",B110)))</formula>
    </cfRule>
    <cfRule type="containsText" dxfId="1097" priority="16" operator="containsText" text="Retentor">
      <formula>NOT(ISERROR(SEARCH("Retentor",B110)))</formula>
    </cfRule>
    <cfRule type="containsText" dxfId="1096" priority="17" operator="containsText" text="Motorredutor">
      <formula>NOT(ISERROR(SEARCH("Motorredutor",B110)))</formula>
    </cfRule>
    <cfRule type="containsText" dxfId="1095" priority="18" operator="containsText" text="Redutor">
      <formula>NOT(ISERROR(SEARCH("Redutor",B110)))</formula>
    </cfRule>
    <cfRule type="containsText" dxfId="1094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DA5B1D52-D5DE-4C45-B1F9-F94DCB06CF42}">
      <formula1>$J$5:$J$11</formula1>
    </dataValidation>
    <dataValidation type="list" allowBlank="1" showInputMessage="1" showErrorMessage="1" sqref="B5:H109" xr:uid="{F9F84A4F-346E-4C3A-ABB7-C5A881AC52A5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58F40F6-1086-4FF8-B90B-4AB45E014611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3AFCC2DF-4A24-4868-A4ED-59DA652CFAB7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461ACDA7-1760-4E85-A68D-97813BDF0433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C0822A28-8E7B-4DD6-ABF6-76C8BBD6220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EA38D2F4-68EA-4707-98E3-37D8DBC01424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CA040030-550E-434A-BD31-8E7820D1083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31908C2B-987A-4CDD-A3D2-E97F210B5625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2DF445BD-FFAE-44C9-811C-8235B681782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4297BBEC-23A6-42B6-B306-22EBC7E806B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92B3E399-5A45-449B-888C-B148D55B0D1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D8AA6D5A-2708-44DE-9479-31CCB8DF5923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A880C309-14DE-4E95-9425-48E8C3772E6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E2A62773-8575-447F-98B1-FC831B0113D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F4BF30DB-6CEA-40B1-B702-03C5E245DAB1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155895C9-AA6E-4177-A690-10F57DC052FB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B04E465F-DDBF-4821-932C-07124A8B649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A1054480-0EF3-43AF-A0BD-6A46D98F8F7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0F8B56AE-5DE2-48E6-9E76-9DF14A31F9DA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F61B2A3D-FFAE-4B2F-879B-B39AED1DF8B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EDC267DF-DBC4-4F3E-8B79-CC8B69264E3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C28A7CD0-F2EA-466D-8627-57FEB472277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8A1A2358-147A-49E5-BDAB-87D4D91CAAA8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C26B0725-D135-4AEF-B3D9-08EFCD1AF66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52008CF4-7750-4248-A180-E88644F5B20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5E3B605F-147D-405F-865A-B8CA51DB752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F45EEF64-2AE9-4217-BF64-C7D5A3A2584C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23A93B6B-68B8-420D-B0DB-1C9C0DD06BB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D3CFDC07-B3A1-4349-A0A7-47E8F3122F3A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C0FDB165-70B4-4D36-BC32-F5C233662F9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C001A282-9D67-48AC-B04C-47053C60043E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FB8D-3A0D-48C0-9206-F463F8D3EB07}">
  <sheetPr>
    <tabColor rgb="FF92D050"/>
    <pageSetUpPr fitToPage="1"/>
  </sheetPr>
  <dimension ref="A1:P109"/>
  <sheetViews>
    <sheetView showGridLines="0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L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44998</v>
      </c>
      <c r="C3" s="11">
        <f t="shared" ref="C3:H3" si="0">B3+1</f>
        <v>44999</v>
      </c>
      <c r="D3" s="11">
        <f t="shared" si="0"/>
        <v>45000</v>
      </c>
      <c r="E3" s="11">
        <f t="shared" si="0"/>
        <v>45001</v>
      </c>
      <c r="F3" s="11">
        <f t="shared" si="0"/>
        <v>45002</v>
      </c>
      <c r="G3" s="11">
        <f t="shared" si="0"/>
        <v>45003</v>
      </c>
      <c r="H3" s="12">
        <f t="shared" si="0"/>
        <v>45004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 t="s">
        <v>12</v>
      </c>
      <c r="C5" s="8" t="s">
        <v>12</v>
      </c>
      <c r="D5" s="8" t="s">
        <v>12</v>
      </c>
      <c r="E5" s="8"/>
      <c r="F5" s="8"/>
      <c r="G5" s="8"/>
      <c r="H5" s="8"/>
      <c r="J5" s="20" t="s">
        <v>4</v>
      </c>
      <c r="K5" s="1">
        <f t="shared" ref="K5:K21" si="2">COUNTIF($B$5:$H$109,J5)</f>
        <v>3</v>
      </c>
      <c r="L5" s="54">
        <f t="shared" ref="L5:L21" si="3">K5/$K$22</f>
        <v>6.8181818181818177E-2</v>
      </c>
      <c r="M5" s="58">
        <f>B3</f>
        <v>44998</v>
      </c>
    </row>
    <row r="6" spans="1:16" x14ac:dyDescent="0.25">
      <c r="A6" s="6" t="s">
        <v>25</v>
      </c>
      <c r="B6" s="9"/>
      <c r="C6" s="9" t="s">
        <v>127</v>
      </c>
      <c r="D6" s="9"/>
      <c r="E6" s="9"/>
      <c r="F6" s="9"/>
      <c r="G6" s="9"/>
      <c r="H6" s="9"/>
      <c r="J6" s="21" t="s">
        <v>5</v>
      </c>
      <c r="K6" s="1">
        <f t="shared" si="2"/>
        <v>1</v>
      </c>
      <c r="L6" s="54">
        <f t="shared" si="3"/>
        <v>2.2727272727272728E-2</v>
      </c>
    </row>
    <row r="7" spans="1:16" x14ac:dyDescent="0.25">
      <c r="A7" s="6" t="s">
        <v>26</v>
      </c>
      <c r="B7" s="9" t="s">
        <v>121</v>
      </c>
      <c r="C7" s="9"/>
      <c r="D7" s="9"/>
      <c r="E7" s="9"/>
      <c r="F7" s="9"/>
      <c r="G7" s="9"/>
      <c r="H7" s="9"/>
      <c r="J7" s="22" t="s">
        <v>127</v>
      </c>
      <c r="K7" s="1">
        <f t="shared" si="2"/>
        <v>1</v>
      </c>
      <c r="L7" s="54">
        <f t="shared" si="3"/>
        <v>2.2727272727272728E-2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3</v>
      </c>
      <c r="L10" s="54">
        <f t="shared" si="3"/>
        <v>6.8181818181818177E-2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4</v>
      </c>
      <c r="L12" s="54">
        <f t="shared" si="3"/>
        <v>9.0909090909090912E-2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3</v>
      </c>
      <c r="L13" s="54">
        <f t="shared" si="3"/>
        <v>6.8181818181818177E-2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 t="s">
        <v>121</v>
      </c>
      <c r="C15" s="9"/>
      <c r="D15" s="9"/>
      <c r="E15" s="9"/>
      <c r="F15" s="9"/>
      <c r="G15" s="9"/>
      <c r="H15" s="9"/>
      <c r="J15" s="47" t="s">
        <v>121</v>
      </c>
      <c r="K15" s="1">
        <f t="shared" si="2"/>
        <v>4</v>
      </c>
      <c r="L15" s="54">
        <f t="shared" si="3"/>
        <v>9.0909090909090912E-2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17</v>
      </c>
      <c r="L16" s="54">
        <f t="shared" si="3"/>
        <v>0.38636363636363635</v>
      </c>
    </row>
    <row r="17" spans="1:12" x14ac:dyDescent="0.25">
      <c r="A17" s="6" t="s">
        <v>39</v>
      </c>
      <c r="B17" s="9" t="s">
        <v>121</v>
      </c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 t="s">
        <v>121</v>
      </c>
      <c r="C18" s="9"/>
      <c r="D18" s="9"/>
      <c r="E18" s="9"/>
      <c r="F18" s="9"/>
      <c r="G18" s="9"/>
      <c r="H18" s="9"/>
      <c r="J18" s="36" t="s">
        <v>166</v>
      </c>
      <c r="K18" s="1">
        <f t="shared" si="2"/>
        <v>8</v>
      </c>
      <c r="L18" s="54">
        <f t="shared" si="3"/>
        <v>0.18181818181818182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 t="s">
        <v>34</v>
      </c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44</v>
      </c>
    </row>
    <row r="23" spans="1:12" x14ac:dyDescent="0.25">
      <c r="A23" s="6" t="s">
        <v>45</v>
      </c>
      <c r="B23" s="9"/>
      <c r="C23" s="9"/>
      <c r="D23" s="9"/>
      <c r="E23" s="9" t="s">
        <v>34</v>
      </c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 t="s">
        <v>15</v>
      </c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 t="s">
        <v>15</v>
      </c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 t="s">
        <v>166</v>
      </c>
      <c r="D34" s="9" t="s">
        <v>166</v>
      </c>
      <c r="E34" s="9" t="s">
        <v>166</v>
      </c>
      <c r="F34" s="9"/>
      <c r="G34" s="9" t="s">
        <v>166</v>
      </c>
      <c r="H34" s="9" t="s">
        <v>166</v>
      </c>
    </row>
    <row r="35" spans="1:8" x14ac:dyDescent="0.25">
      <c r="A35" s="6" t="s">
        <v>57</v>
      </c>
      <c r="B35" s="9"/>
      <c r="C35" s="9" t="s">
        <v>15</v>
      </c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 t="s">
        <v>5</v>
      </c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 t="s">
        <v>118</v>
      </c>
      <c r="C48" s="9" t="s">
        <v>118</v>
      </c>
      <c r="D48" s="9" t="s">
        <v>118</v>
      </c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 t="s">
        <v>166</v>
      </c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 t="s">
        <v>166</v>
      </c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 t="s">
        <v>166</v>
      </c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 t="s">
        <v>4</v>
      </c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 t="s">
        <v>15</v>
      </c>
      <c r="C90" s="9"/>
      <c r="D90" s="9"/>
      <c r="E90" s="9"/>
      <c r="F90" s="9"/>
      <c r="G90" s="9"/>
      <c r="H90" s="9" t="s">
        <v>15</v>
      </c>
    </row>
    <row r="91" spans="1:8" x14ac:dyDescent="0.25">
      <c r="A91" s="6" t="s">
        <v>97</v>
      </c>
      <c r="B91" s="9"/>
      <c r="C91" s="9"/>
      <c r="D91" s="9" t="s">
        <v>15</v>
      </c>
      <c r="E91" s="9"/>
      <c r="F91" s="9"/>
      <c r="G91" s="9" t="s">
        <v>15</v>
      </c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 t="s">
        <v>15</v>
      </c>
    </row>
    <row r="93" spans="1:8" x14ac:dyDescent="0.25">
      <c r="A93" s="6" t="s">
        <v>99</v>
      </c>
      <c r="B93" s="9"/>
      <c r="C93" s="9" t="s">
        <v>15</v>
      </c>
      <c r="D93" s="9"/>
      <c r="E93" s="9"/>
      <c r="F93" s="9"/>
      <c r="G93" s="9" t="s">
        <v>15</v>
      </c>
      <c r="H93" s="9" t="s">
        <v>15</v>
      </c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 t="s">
        <v>15</v>
      </c>
      <c r="C95" s="9" t="s">
        <v>15</v>
      </c>
      <c r="D95" s="9" t="s">
        <v>15</v>
      </c>
      <c r="E95" s="9"/>
      <c r="F95" s="9"/>
      <c r="G95" s="9" t="s">
        <v>15</v>
      </c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 t="s">
        <v>15</v>
      </c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 t="s">
        <v>34</v>
      </c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 t="s">
        <v>15</v>
      </c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 t="s">
        <v>34</v>
      </c>
      <c r="E106" s="9"/>
      <c r="F106" s="9" t="s">
        <v>4</v>
      </c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 t="s">
        <v>4</v>
      </c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1093" priority="7" operator="containsText" text="Pivô">
      <formula>NOT(ISERROR(SEARCH("Pivô",A1)))</formula>
    </cfRule>
    <cfRule type="containsText" dxfId="1092" priority="8" operator="containsText" text="Pivô">
      <formula>NOT(ISERROR(SEARCH("Pivô",A1)))</formula>
    </cfRule>
  </conditionalFormatting>
  <conditionalFormatting sqref="B5:H109">
    <cfRule type="containsText" dxfId="1090" priority="3" operator="containsText" text="Desponte">
      <formula>NOT(ISERROR(SEARCH("Desponte",B5)))</formula>
    </cfRule>
    <cfRule type="containsText" dxfId="1073" priority="27" operator="containsText" text="Pulverização">
      <formula>NOT(ISERROR(SEARCH("Pulverização",B5)))</formula>
    </cfRule>
    <cfRule type="cellIs" dxfId="1068" priority="26" operator="equal">
      <formula>$J$20</formula>
    </cfRule>
    <cfRule type="containsText" dxfId="1067" priority="33" operator="containsText" text="Motorredutor">
      <formula>NOT(ISERROR(SEARCH("Motorredutor",B5)))</formula>
    </cfRule>
    <cfRule type="cellIs" dxfId="1066" priority="28" operator="greaterThan">
      <formula>$J$5</formula>
    </cfRule>
    <cfRule type="containsText" dxfId="1065" priority="29" operator="containsText" text="Cardã">
      <formula>NOT(ISERROR(SEARCH("Cardã",B5)))</formula>
    </cfRule>
    <cfRule type="containsText" dxfId="1064" priority="30" operator="containsText" text="Pneu">
      <formula>NOT(ISERROR(SEARCH("Pneu",B5)))</formula>
    </cfRule>
    <cfRule type="containsText" dxfId="1063" priority="31" operator="containsText" text="Vedação">
      <formula>NOT(ISERROR(SEARCH("Vedação",B5)))</formula>
    </cfRule>
    <cfRule type="containsText" dxfId="1062" priority="32" operator="containsText" text="Retentor">
      <formula>NOT(ISERROR(SEARCH("Retentor",B5)))</formula>
    </cfRule>
    <cfRule type="containsText" dxfId="1061" priority="34" operator="containsText" text="Redutor">
      <formula>NOT(ISERROR(SEARCH("Redutor",B5)))</formula>
    </cfRule>
    <cfRule type="containsText" dxfId="1060" priority="35" operator="containsText" text="Bomba">
      <formula>NOT(ISERROR(SEARCH("Bomba",B5)))</formula>
    </cfRule>
  </conditionalFormatting>
  <conditionalFormatting sqref="B110:H111">
    <cfRule type="containsText" dxfId="1050" priority="11" operator="containsText" text="Pulverização">
      <formula>NOT(ISERROR(SEARCH("Pulverização",B110)))</formula>
    </cfRule>
    <cfRule type="cellIs" dxfId="1049" priority="12" operator="greaterThan">
      <formula>$J$5</formula>
    </cfRule>
    <cfRule type="containsText" dxfId="1048" priority="13" operator="containsText" text="Cardã">
      <formula>NOT(ISERROR(SEARCH("Cardã",B110)))</formula>
    </cfRule>
    <cfRule type="containsText" dxfId="1047" priority="14" operator="containsText" text="Pneu">
      <formula>NOT(ISERROR(SEARCH("Pneu",B110)))</formula>
    </cfRule>
    <cfRule type="containsText" dxfId="1046" priority="15" operator="containsText" text="Vedação">
      <formula>NOT(ISERROR(SEARCH("Vedação",B110)))</formula>
    </cfRule>
    <cfRule type="containsText" dxfId="1045" priority="16" operator="containsText" text="Retentor">
      <formula>NOT(ISERROR(SEARCH("Retentor",B110)))</formula>
    </cfRule>
    <cfRule type="containsText" dxfId="1044" priority="17" operator="containsText" text="Motorredutor">
      <formula>NOT(ISERROR(SEARCH("Motorredutor",B110)))</formula>
    </cfRule>
    <cfRule type="containsText" dxfId="1043" priority="18" operator="containsText" text="Redutor">
      <formula>NOT(ISERROR(SEARCH("Redutor",B110)))</formula>
    </cfRule>
    <cfRule type="containsText" dxfId="1042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5:H109" xr:uid="{69FB7333-4B81-4AB5-85A3-CBE23CD52E60}">
      <formula1>$J$5:$J$21</formula1>
    </dataValidation>
    <dataValidation type="list" allowBlank="1" showInputMessage="1" showErrorMessage="1" sqref="B110:H111" xr:uid="{F6B5CAF9-F93B-4C23-A8DC-DE3A67D46C23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7BC5CF7-4AC7-4D46-8AAE-F7DD2E9BB9B7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F3657964-00D6-49B5-B6CD-DE22D4B5E75D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EF8981EF-9337-4BE1-99A4-1CDEF388ED2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095ACEE4-08A1-4AA2-B166-0B808F34827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90FA1400-7FC4-44A7-97EE-4D98ABF86166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6849036C-93A0-41FC-B66E-E36E4774B3F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D14B4333-CDB8-47AC-BA37-E9BBA97C2FE5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C4973B19-9C14-49D8-917C-852F74535BA4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FE7FF782-279A-4862-A626-4268865B831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D37DF2C0-F752-4F03-9893-CAB6C091958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441856B6-19D7-404F-B9E1-4AA96CFBACD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D52A5053-205D-43C5-BECC-68F339ADC425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8088DFF8-942B-4847-AF84-708FB7E0DB79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CAE774F2-C142-4C96-A890-585EB0633A8B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49AEDB3F-B6CE-443B-841D-AAC5DBF3B057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7A9E5932-91D7-4408-A0C8-218E24E03BC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9A584A1C-7D40-46C6-B733-A6B9100B5B70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AC42D023-A820-4EFB-8D93-348F6087A35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1CFC7E92-6670-47F1-ADAC-3BD1EEEE3C6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8C9A4B3F-68F8-4133-8297-04E31DAA240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5012C556-DA01-47C1-A30B-8A68852753A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EA6E4033-C60B-43C9-819C-4E5EC3187F52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406A96CD-D64E-4FA5-8EDD-EEC74D5A1E4A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C716DE45-6F00-4454-B7C1-49872F31B1A9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8933B651-B051-43D0-BCB1-2BD59206A4A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DFD5DECB-D26B-4E5D-BB06-AAC46D5E5CE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02F1B031-C6D2-47FE-BFD2-871286132D9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43DE344A-69B1-4CD6-9D41-1393B54AEE7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FFF14011-C908-4A81-A621-B9363794B06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FDC2CC19-9FB9-4AA2-95EB-77885DCBA170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11A48-3982-42E3-A0C3-30EED64D2E09}">
  <sheetPr>
    <tabColor rgb="FF92D050"/>
    <pageSetUpPr fitToPage="1"/>
  </sheetPr>
  <dimension ref="A1:P109"/>
  <sheetViews>
    <sheetView showGridLines="0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L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45005</v>
      </c>
      <c r="C3" s="11">
        <f t="shared" ref="C3:H3" si="0">B3+1</f>
        <v>45006</v>
      </c>
      <c r="D3" s="11">
        <f t="shared" si="0"/>
        <v>45007</v>
      </c>
      <c r="E3" s="11">
        <f t="shared" si="0"/>
        <v>45008</v>
      </c>
      <c r="F3" s="11">
        <f t="shared" si="0"/>
        <v>45009</v>
      </c>
      <c r="G3" s="11">
        <f t="shared" si="0"/>
        <v>45010</v>
      </c>
      <c r="H3" s="12">
        <f t="shared" si="0"/>
        <v>45011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3</v>
      </c>
      <c r="L5" s="54">
        <f t="shared" ref="L5:L21" si="3">K5/$K$22</f>
        <v>7.1428571428571425E-2</v>
      </c>
      <c r="M5" s="58">
        <f>B3</f>
        <v>45005</v>
      </c>
    </row>
    <row r="6" spans="1:16" x14ac:dyDescent="0.25">
      <c r="A6" s="6" t="s">
        <v>25</v>
      </c>
      <c r="B6" s="9"/>
      <c r="C6" s="9" t="s">
        <v>5</v>
      </c>
      <c r="D6" s="9"/>
      <c r="E6" s="9"/>
      <c r="F6" s="9"/>
      <c r="G6" s="9"/>
      <c r="H6" s="9"/>
      <c r="J6" s="21" t="s">
        <v>5</v>
      </c>
      <c r="K6" s="1">
        <f t="shared" si="2"/>
        <v>8</v>
      </c>
      <c r="L6" s="54">
        <f t="shared" si="3"/>
        <v>0.19047619047619047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2</v>
      </c>
      <c r="L7" s="54">
        <f t="shared" si="3"/>
        <v>4.7619047619047616E-2</v>
      </c>
    </row>
    <row r="8" spans="1:16" x14ac:dyDescent="0.25">
      <c r="A8" s="6" t="s">
        <v>28</v>
      </c>
      <c r="B8" s="9" t="s">
        <v>127</v>
      </c>
      <c r="C8" s="9"/>
      <c r="D8" s="9" t="s">
        <v>127</v>
      </c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1</v>
      </c>
      <c r="L10" s="54">
        <f t="shared" si="3"/>
        <v>2.3809523809523808E-2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1</v>
      </c>
      <c r="L12" s="54">
        <f t="shared" si="3"/>
        <v>2.3809523809523808E-2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2</v>
      </c>
      <c r="L13" s="54">
        <f t="shared" si="3"/>
        <v>4.7619047619047616E-2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2</v>
      </c>
      <c r="L15" s="54">
        <f t="shared" si="3"/>
        <v>4.7619047619047616E-2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21</v>
      </c>
      <c r="L16" s="54">
        <f t="shared" si="3"/>
        <v>0.5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2</v>
      </c>
      <c r="L18" s="54">
        <f t="shared" si="3"/>
        <v>4.7619047619047616E-2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 t="s">
        <v>118</v>
      </c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 t="s">
        <v>12</v>
      </c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 t="s">
        <v>12</v>
      </c>
      <c r="C22" s="9"/>
      <c r="D22" s="9"/>
      <c r="E22" s="9"/>
      <c r="F22" s="9"/>
      <c r="G22" s="9"/>
      <c r="H22" s="9"/>
      <c r="J22" s="7" t="s">
        <v>2</v>
      </c>
      <c r="K22" s="1">
        <f>SUM(K5:K21)</f>
        <v>42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 t="s">
        <v>5</v>
      </c>
      <c r="J26" s="7"/>
    </row>
    <row r="27" spans="1:12" x14ac:dyDescent="0.25">
      <c r="A27" s="6" t="s">
        <v>49</v>
      </c>
      <c r="B27" s="9"/>
      <c r="C27" s="9"/>
      <c r="D27" s="9" t="s">
        <v>15</v>
      </c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 t="s">
        <v>15</v>
      </c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 t="s">
        <v>121</v>
      </c>
      <c r="D32" s="9"/>
      <c r="E32" s="9"/>
      <c r="F32" s="9" t="s">
        <v>5</v>
      </c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 t="s">
        <v>166</v>
      </c>
      <c r="C34" s="9" t="s">
        <v>166</v>
      </c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 t="s">
        <v>121</v>
      </c>
      <c r="D37" s="9"/>
      <c r="E37" s="9"/>
      <c r="F37" s="9"/>
      <c r="G37" s="9"/>
      <c r="H37" s="9" t="s">
        <v>4</v>
      </c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 t="s">
        <v>5</v>
      </c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 t="s">
        <v>4</v>
      </c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 t="s">
        <v>4</v>
      </c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 t="s">
        <v>5</v>
      </c>
      <c r="E79" s="9"/>
      <c r="F79" s="9"/>
      <c r="G79" s="9" t="s">
        <v>15</v>
      </c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 t="s">
        <v>15</v>
      </c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 t="s">
        <v>5</v>
      </c>
      <c r="G87" s="9"/>
      <c r="H87" s="9"/>
    </row>
    <row r="88" spans="1:8" x14ac:dyDescent="0.25">
      <c r="A88" s="6" t="s">
        <v>94</v>
      </c>
      <c r="B88" s="9"/>
      <c r="C88" s="9" t="s">
        <v>5</v>
      </c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 t="s">
        <v>15</v>
      </c>
      <c r="E90" s="9"/>
      <c r="F90" s="9"/>
      <c r="G90" s="9" t="s">
        <v>15</v>
      </c>
      <c r="H90" s="9" t="s">
        <v>15</v>
      </c>
    </row>
    <row r="91" spans="1:8" x14ac:dyDescent="0.25">
      <c r="A91" s="6" t="s">
        <v>97</v>
      </c>
      <c r="B91" s="9"/>
      <c r="C91" s="9" t="s">
        <v>15</v>
      </c>
      <c r="D91" s="9"/>
      <c r="E91" s="9"/>
      <c r="F91" s="9"/>
      <c r="G91" s="9"/>
      <c r="H91" s="9" t="s">
        <v>15</v>
      </c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 t="s">
        <v>15</v>
      </c>
      <c r="E95" s="9"/>
      <c r="F95" s="9"/>
      <c r="G95" s="9" t="s">
        <v>15</v>
      </c>
      <c r="H95" s="9" t="s">
        <v>15</v>
      </c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 t="s">
        <v>15</v>
      </c>
      <c r="C97" s="9"/>
      <c r="D97" s="9" t="s">
        <v>15</v>
      </c>
      <c r="E97" s="9"/>
      <c r="F97" s="9"/>
      <c r="G97" s="9"/>
      <c r="H97" s="9" t="s">
        <v>15</v>
      </c>
    </row>
    <row r="98" spans="1:8" x14ac:dyDescent="0.25">
      <c r="A98" s="6" t="s">
        <v>104</v>
      </c>
      <c r="B98" s="9"/>
      <c r="C98" s="9"/>
      <c r="D98" s="9" t="s">
        <v>15</v>
      </c>
      <c r="E98" s="9"/>
      <c r="F98" s="9"/>
      <c r="G98" s="9"/>
      <c r="H98" s="9"/>
    </row>
    <row r="99" spans="1:8" x14ac:dyDescent="0.25">
      <c r="A99" s="6" t="s">
        <v>105</v>
      </c>
      <c r="B99" s="9"/>
      <c r="C99" s="9" t="s">
        <v>34</v>
      </c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 t="s">
        <v>15</v>
      </c>
      <c r="G100" s="9" t="s">
        <v>15</v>
      </c>
      <c r="H100" s="9"/>
    </row>
    <row r="101" spans="1:8" x14ac:dyDescent="0.25">
      <c r="A101" s="6" t="s">
        <v>107</v>
      </c>
      <c r="B101" s="9"/>
      <c r="C101" s="9"/>
      <c r="D101" s="9"/>
      <c r="E101" s="9" t="s">
        <v>5</v>
      </c>
      <c r="F101" s="9"/>
      <c r="G101" s="9"/>
      <c r="H101" s="9"/>
    </row>
    <row r="102" spans="1:8" x14ac:dyDescent="0.25">
      <c r="A102" s="6" t="s">
        <v>108</v>
      </c>
      <c r="B102" s="9"/>
      <c r="C102" s="9" t="s">
        <v>15</v>
      </c>
      <c r="D102" s="9" t="s">
        <v>15</v>
      </c>
      <c r="E102" s="9"/>
      <c r="F102" s="9" t="s">
        <v>15</v>
      </c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1041" priority="7" operator="containsText" text="Pivô">
      <formula>NOT(ISERROR(SEARCH("Pivô",A1)))</formula>
    </cfRule>
    <cfRule type="containsText" dxfId="1040" priority="8" operator="containsText" text="Pivô">
      <formula>NOT(ISERROR(SEARCH("Pivô",A1)))</formula>
    </cfRule>
  </conditionalFormatting>
  <conditionalFormatting sqref="B5:H109">
    <cfRule type="containsText" dxfId="1038" priority="3" operator="containsText" text="Desponte">
      <formula>NOT(ISERROR(SEARCH("Desponte",B5)))</formula>
    </cfRule>
    <cfRule type="containsText" dxfId="1021" priority="27" operator="containsText" text="Pulverização">
      <formula>NOT(ISERROR(SEARCH("Pulverização",B5)))</formula>
    </cfRule>
    <cfRule type="cellIs" dxfId="1016" priority="26" operator="equal">
      <formula>$J$20</formula>
    </cfRule>
    <cfRule type="containsText" dxfId="1015" priority="33" operator="containsText" text="Motorredutor">
      <formula>NOT(ISERROR(SEARCH("Motorredutor",B5)))</formula>
    </cfRule>
    <cfRule type="cellIs" dxfId="1014" priority="28" operator="greaterThan">
      <formula>$J$5</formula>
    </cfRule>
    <cfRule type="containsText" dxfId="1013" priority="29" operator="containsText" text="Cardã">
      <formula>NOT(ISERROR(SEARCH("Cardã",B5)))</formula>
    </cfRule>
    <cfRule type="containsText" dxfId="1012" priority="30" operator="containsText" text="Pneu">
      <formula>NOT(ISERROR(SEARCH("Pneu",B5)))</formula>
    </cfRule>
    <cfRule type="containsText" dxfId="1011" priority="31" operator="containsText" text="Vedação">
      <formula>NOT(ISERROR(SEARCH("Vedação",B5)))</formula>
    </cfRule>
    <cfRule type="containsText" dxfId="1010" priority="32" operator="containsText" text="Retentor">
      <formula>NOT(ISERROR(SEARCH("Retentor",B5)))</formula>
    </cfRule>
    <cfRule type="containsText" dxfId="1009" priority="34" operator="containsText" text="Redutor">
      <formula>NOT(ISERROR(SEARCH("Redutor",B5)))</formula>
    </cfRule>
    <cfRule type="containsText" dxfId="1008" priority="35" operator="containsText" text="Bomba">
      <formula>NOT(ISERROR(SEARCH("Bomba",B5)))</formula>
    </cfRule>
  </conditionalFormatting>
  <conditionalFormatting sqref="B110:H111">
    <cfRule type="containsText" dxfId="998" priority="11" operator="containsText" text="Pulverização">
      <formula>NOT(ISERROR(SEARCH("Pulverização",B110)))</formula>
    </cfRule>
    <cfRule type="cellIs" dxfId="997" priority="12" operator="greaterThan">
      <formula>$J$5</formula>
    </cfRule>
    <cfRule type="containsText" dxfId="996" priority="13" operator="containsText" text="Cardã">
      <formula>NOT(ISERROR(SEARCH("Cardã",B110)))</formula>
    </cfRule>
    <cfRule type="containsText" dxfId="995" priority="14" operator="containsText" text="Pneu">
      <formula>NOT(ISERROR(SEARCH("Pneu",B110)))</formula>
    </cfRule>
    <cfRule type="containsText" dxfId="994" priority="15" operator="containsText" text="Vedação">
      <formula>NOT(ISERROR(SEARCH("Vedação",B110)))</formula>
    </cfRule>
    <cfRule type="containsText" dxfId="993" priority="16" operator="containsText" text="Retentor">
      <formula>NOT(ISERROR(SEARCH("Retentor",B110)))</formula>
    </cfRule>
    <cfRule type="containsText" dxfId="992" priority="17" operator="containsText" text="Motorredutor">
      <formula>NOT(ISERROR(SEARCH("Motorredutor",B110)))</formula>
    </cfRule>
    <cfRule type="containsText" dxfId="991" priority="18" operator="containsText" text="Redutor">
      <formula>NOT(ISERROR(SEARCH("Redutor",B110)))</formula>
    </cfRule>
    <cfRule type="containsText" dxfId="990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E92CB8F2-941A-49D6-A80A-121A17B4C288}">
      <formula1>$J$5:$J$11</formula1>
    </dataValidation>
    <dataValidation type="list" allowBlank="1" showInputMessage="1" showErrorMessage="1" sqref="B5:H109" xr:uid="{6253A49D-17DE-4787-B89B-839FE7219E8E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3F05711-0F9B-4B2B-BB76-02EEC2CCECED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D7E3F389-F965-4479-9E85-D15FE54C0739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90205867-ABE6-4BAD-9FB7-4F0852172335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D8CFB4EF-56E9-47D7-A683-89601AE93235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9CA3E456-F569-4878-862B-6CF4C6834E34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4BA3B92F-B36E-46E3-BFD8-9BAFB7088D7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B7688E73-59AB-49DD-8F52-9D0C0186B72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4BAD95FF-5064-4E47-B164-694476E22DA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92F49D40-87A8-467C-90C3-329004DCA56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6E7E0098-FE27-413E-AABD-93B07D9292F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043D096F-18F7-41BA-A8CA-28ED7DF16DF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D0FBD9BD-48FE-41E0-8637-5C6D7B194963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6D9D27E9-0D99-4317-BD56-F327C50F7559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2019A456-5187-461F-B3BC-FCA97CA94BD6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A627616E-9575-469F-9E4F-CD0290AEBD9D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B50A64E1-5A2B-4A0D-B0C4-33CCED720FD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8F3AB2C7-CDE1-4937-80BA-74EAD06C13C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7804F9ED-CA10-4B32-AFD8-9D51F934EE2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6F7AA26C-480E-4846-89E0-EDD0ABB7F1D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929A62C3-9F0A-4BFE-8FEC-2B8331DE1AE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1FC20CA3-EACE-406F-BAE9-DE55668503C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5CAE6257-392D-4A53-9332-0CB4E63F829B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FCD9521A-7939-4BF9-A1A3-5D52F14AAB7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057AF1D5-C15E-429E-8167-B675CAC33BF9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08F8DA21-6993-4E30-A657-9B62ABF6994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CE34AF98-527C-4CC3-B5E9-247FDDE06B3A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8A2C3F86-1C82-4858-B061-30AE357B982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3FA6EA6D-D073-438D-8FA5-A085DC1C1AF3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55AA2CC3-AE36-497F-9861-0F531D4F4A4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E76B40DD-3FC0-4624-A749-020CEF4B995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5CB5-D913-4736-8947-B2909F7ECB1E}">
  <sheetPr>
    <tabColor rgb="FF92D050"/>
    <pageSetUpPr fitToPage="1"/>
  </sheetPr>
  <dimension ref="A1:P109"/>
  <sheetViews>
    <sheetView showGridLines="0" zoomScale="90" zoomScaleNormal="9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K5" sqref="K5:L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45012</v>
      </c>
      <c r="C3" s="11">
        <f t="shared" ref="C3:H3" si="0">B3+1</f>
        <v>45013</v>
      </c>
      <c r="D3" s="11">
        <f t="shared" si="0"/>
        <v>45014</v>
      </c>
      <c r="E3" s="11">
        <f t="shared" si="0"/>
        <v>45015</v>
      </c>
      <c r="F3" s="11">
        <f t="shared" si="0"/>
        <v>45016</v>
      </c>
      <c r="G3" s="11">
        <f t="shared" si="0"/>
        <v>45017</v>
      </c>
      <c r="H3" s="12">
        <f t="shared" si="0"/>
        <v>45018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0</v>
      </c>
      <c r="L5" s="54">
        <f t="shared" ref="L5:L21" si="3">K5/$K$22</f>
        <v>0</v>
      </c>
      <c r="M5" s="58">
        <f>B3</f>
        <v>45012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1</v>
      </c>
      <c r="L6" s="54">
        <f t="shared" si="3"/>
        <v>4.7619047619047616E-2</v>
      </c>
    </row>
    <row r="7" spans="1:16" x14ac:dyDescent="0.25">
      <c r="A7" s="6" t="s">
        <v>26</v>
      </c>
      <c r="B7" s="9"/>
      <c r="C7" s="9"/>
      <c r="D7" s="9" t="s">
        <v>5</v>
      </c>
      <c r="E7" s="9"/>
      <c r="F7" s="9"/>
      <c r="G7" s="9"/>
      <c r="H7" s="9"/>
      <c r="J7" s="22" t="s">
        <v>127</v>
      </c>
      <c r="K7" s="1">
        <f t="shared" si="2"/>
        <v>1</v>
      </c>
      <c r="L7" s="54">
        <f t="shared" si="3"/>
        <v>4.7619047619047616E-2</v>
      </c>
    </row>
    <row r="8" spans="1:16" x14ac:dyDescent="0.25">
      <c r="A8" s="6" t="s">
        <v>28</v>
      </c>
      <c r="B8" s="9"/>
      <c r="C8" s="9" t="s">
        <v>127</v>
      </c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2</v>
      </c>
      <c r="L14" s="54">
        <f t="shared" si="3"/>
        <v>9.5238095238095233E-2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1</v>
      </c>
      <c r="L15" s="54">
        <f t="shared" si="3"/>
        <v>4.7619047619047616E-2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16</v>
      </c>
      <c r="L16" s="54">
        <f t="shared" si="3"/>
        <v>0.76190476190476186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21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 t="s">
        <v>121</v>
      </c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 t="s">
        <v>13</v>
      </c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 t="s">
        <v>15</v>
      </c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 t="s">
        <v>15</v>
      </c>
      <c r="C87" s="9" t="s">
        <v>15</v>
      </c>
      <c r="D87" s="9" t="s">
        <v>15</v>
      </c>
      <c r="E87" s="9" t="s">
        <v>15</v>
      </c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 t="s">
        <v>15</v>
      </c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 t="s">
        <v>15</v>
      </c>
      <c r="F91" s="9"/>
      <c r="G91" s="9"/>
      <c r="H91" s="9"/>
    </row>
    <row r="92" spans="1:8" x14ac:dyDescent="0.25">
      <c r="A92" s="6" t="s">
        <v>98</v>
      </c>
      <c r="B92" s="9" t="s">
        <v>15</v>
      </c>
      <c r="C92" s="9"/>
      <c r="D92" s="9"/>
      <c r="E92" s="9"/>
      <c r="F92" s="9" t="s">
        <v>15</v>
      </c>
      <c r="G92" s="9"/>
      <c r="H92" s="9"/>
    </row>
    <row r="93" spans="1:8" x14ac:dyDescent="0.25">
      <c r="A93" s="6" t="s">
        <v>99</v>
      </c>
      <c r="B93" s="9"/>
      <c r="C93" s="9" t="s">
        <v>15</v>
      </c>
      <c r="D93" s="9"/>
      <c r="E93" s="9"/>
      <c r="F93" s="9"/>
      <c r="G93" s="9" t="s">
        <v>15</v>
      </c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 t="s">
        <v>15</v>
      </c>
      <c r="D95" s="9"/>
      <c r="E95" s="9"/>
      <c r="F95" s="9" t="s">
        <v>15</v>
      </c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 t="s">
        <v>15</v>
      </c>
      <c r="H98" s="9"/>
    </row>
    <row r="99" spans="1:8" x14ac:dyDescent="0.25">
      <c r="A99" s="6" t="s">
        <v>105</v>
      </c>
      <c r="B99" s="9" t="s">
        <v>13</v>
      </c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 t="s">
        <v>15</v>
      </c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 t="s">
        <v>15</v>
      </c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989" priority="7" operator="containsText" text="Pivô">
      <formula>NOT(ISERROR(SEARCH("Pivô",A1)))</formula>
    </cfRule>
    <cfRule type="containsText" dxfId="988" priority="8" operator="containsText" text="Pivô">
      <formula>NOT(ISERROR(SEARCH("Pivô",A1)))</formula>
    </cfRule>
  </conditionalFormatting>
  <conditionalFormatting sqref="B5:H109">
    <cfRule type="containsText" dxfId="986" priority="3" operator="containsText" text="Desponte">
      <formula>NOT(ISERROR(SEARCH("Desponte",B5)))</formula>
    </cfRule>
    <cfRule type="containsText" dxfId="969" priority="27" operator="containsText" text="Pulverização">
      <formula>NOT(ISERROR(SEARCH("Pulverização",B5)))</formula>
    </cfRule>
    <cfRule type="cellIs" dxfId="964" priority="26" operator="equal">
      <formula>$J$20</formula>
    </cfRule>
    <cfRule type="containsText" dxfId="963" priority="33" operator="containsText" text="Motorredutor">
      <formula>NOT(ISERROR(SEARCH("Motorredutor",B5)))</formula>
    </cfRule>
    <cfRule type="cellIs" dxfId="962" priority="28" operator="greaterThan">
      <formula>$J$5</formula>
    </cfRule>
    <cfRule type="containsText" dxfId="961" priority="29" operator="containsText" text="Cardã">
      <formula>NOT(ISERROR(SEARCH("Cardã",B5)))</formula>
    </cfRule>
    <cfRule type="containsText" dxfId="960" priority="30" operator="containsText" text="Pneu">
      <formula>NOT(ISERROR(SEARCH("Pneu",B5)))</formula>
    </cfRule>
    <cfRule type="containsText" dxfId="959" priority="31" operator="containsText" text="Vedação">
      <formula>NOT(ISERROR(SEARCH("Vedação",B5)))</formula>
    </cfRule>
    <cfRule type="containsText" dxfId="958" priority="32" operator="containsText" text="Retentor">
      <formula>NOT(ISERROR(SEARCH("Retentor",B5)))</formula>
    </cfRule>
    <cfRule type="containsText" dxfId="957" priority="34" operator="containsText" text="Redutor">
      <formula>NOT(ISERROR(SEARCH("Redutor",B5)))</formula>
    </cfRule>
    <cfRule type="containsText" dxfId="956" priority="35" operator="containsText" text="Bomba">
      <formula>NOT(ISERROR(SEARCH("Bomba",B5)))</formula>
    </cfRule>
  </conditionalFormatting>
  <conditionalFormatting sqref="B110:H111">
    <cfRule type="containsText" dxfId="946" priority="11" operator="containsText" text="Pulverização">
      <formula>NOT(ISERROR(SEARCH("Pulverização",B110)))</formula>
    </cfRule>
    <cfRule type="cellIs" dxfId="945" priority="12" operator="greaterThan">
      <formula>$J$5</formula>
    </cfRule>
    <cfRule type="containsText" dxfId="944" priority="13" operator="containsText" text="Cardã">
      <formula>NOT(ISERROR(SEARCH("Cardã",B110)))</formula>
    </cfRule>
    <cfRule type="containsText" dxfId="943" priority="14" operator="containsText" text="Pneu">
      <formula>NOT(ISERROR(SEARCH("Pneu",B110)))</formula>
    </cfRule>
    <cfRule type="containsText" dxfId="942" priority="15" operator="containsText" text="Vedação">
      <formula>NOT(ISERROR(SEARCH("Vedação",B110)))</formula>
    </cfRule>
    <cfRule type="containsText" dxfId="941" priority="16" operator="containsText" text="Retentor">
      <formula>NOT(ISERROR(SEARCH("Retentor",B110)))</formula>
    </cfRule>
    <cfRule type="containsText" dxfId="940" priority="17" operator="containsText" text="Motorredutor">
      <formula>NOT(ISERROR(SEARCH("Motorredutor",B110)))</formula>
    </cfRule>
    <cfRule type="containsText" dxfId="939" priority="18" operator="containsText" text="Redutor">
      <formula>NOT(ISERROR(SEARCH("Redutor",B110)))</formula>
    </cfRule>
    <cfRule type="containsText" dxfId="938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5:H109" xr:uid="{E56BAD7C-930F-4B27-B3EB-665EA08C6026}">
      <formula1>$J$5:$J$21</formula1>
    </dataValidation>
    <dataValidation type="list" allowBlank="1" showInputMessage="1" showErrorMessage="1" sqref="B110:H111" xr:uid="{9D3240E9-00D1-4040-B1B4-F487DB992EDF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DE73A8F-8C28-4EAD-ABB9-ED5A78F9C7AD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869F107B-869E-4C54-91F4-8CAAA7D56F4F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54A43D8F-D7DD-4CE1-8F34-1D65D08AD625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7723FE36-24BC-4249-AC4E-7F48D2C2D74C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422D270B-D582-4C38-8C44-BA2A6DF35DFF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E951B309-2F74-4E87-BA67-4A03D0D9378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E6E488DB-3386-4F63-A25B-7EECCEA30393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E93D6A31-FEC1-4C4B-A749-93D8A0AFB48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2B476C5A-D2B6-4516-B56F-0D7318BE660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F4EE0F8B-4FAB-47F6-83F5-8F87A518700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0DC9C2D3-D742-4BD0-85DB-B80B0FE8393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8FB79DB1-8A16-47AE-B01A-A332A42B279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C573BA6B-C18F-42D9-83D5-DEF8E15BFE0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4693254D-3C52-4A1A-9693-39E3FBA2FD56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886D6B7A-027B-4DA1-A142-FD4C8F76FB25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DFF051F1-A851-4472-B641-6B8E85C79F2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356F644C-5FDE-4A1A-A4EF-FEF9459C4AF7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8F2B12CC-2D33-4D87-B023-F393EEA8F0E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340151A5-6F2C-4F91-808C-154B1714860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04F0153B-BA1E-4DFF-8A03-9C190C857FE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92FAA703-E2DE-4A83-A3F8-CD53A012164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99A945C0-65F7-4248-84C5-19AD5BC5B03F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C3B8F4D4-78C0-4C3D-AE49-8F2D8EA6D49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F96BE44D-DBF9-4948-9C49-8127646F8681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6D35E34F-AB66-4B86-838E-398DAD09D51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3F3D3386-F3E2-4EA2-9127-739A17D49B49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9FED5F5F-98FD-431A-8D04-1528A04B49C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6F92F2A6-5F72-469C-8D93-2174684CF48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FD73FFC9-ACA5-4D02-966B-7E096DA97C6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EF3CE8EF-9AF0-4C29-B23D-0939EED92B8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CCC2-E139-48EC-831D-805702D11901}">
  <sheetPr>
    <tabColor rgb="FF92D050"/>
    <pageSetUpPr fitToPage="1"/>
  </sheetPr>
  <dimension ref="A1:P109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:L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45019</v>
      </c>
      <c r="C3" s="11">
        <f>B3+1</f>
        <v>45020</v>
      </c>
      <c r="D3" s="11">
        <f t="shared" ref="D3:H3" si="0">C3+1</f>
        <v>45021</v>
      </c>
      <c r="E3" s="11">
        <f t="shared" si="0"/>
        <v>45022</v>
      </c>
      <c r="F3" s="11">
        <f t="shared" si="0"/>
        <v>45023</v>
      </c>
      <c r="G3" s="11">
        <f t="shared" si="0"/>
        <v>45024</v>
      </c>
      <c r="H3" s="12">
        <f t="shared" si="0"/>
        <v>45025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0</v>
      </c>
      <c r="L5" s="54">
        <f t="shared" ref="L5:L21" si="3">K5/$K$22</f>
        <v>0</v>
      </c>
      <c r="M5" s="58">
        <f>B3</f>
        <v>45019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2</v>
      </c>
      <c r="L12" s="54">
        <f t="shared" si="3"/>
        <v>0.4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1</v>
      </c>
      <c r="L13" s="54">
        <f t="shared" si="3"/>
        <v>0.2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2</v>
      </c>
      <c r="L16" s="54">
        <f t="shared" si="3"/>
        <v>0.4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 t="s">
        <v>15</v>
      </c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5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 t="s">
        <v>15</v>
      </c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 t="s">
        <v>12</v>
      </c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 t="s">
        <v>34</v>
      </c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 t="s">
        <v>34</v>
      </c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937" priority="7" operator="containsText" text="Pivô">
      <formula>NOT(ISERROR(SEARCH("Pivô",A1)))</formula>
    </cfRule>
    <cfRule type="containsText" dxfId="936" priority="8" operator="containsText" text="Pivô">
      <formula>NOT(ISERROR(SEARCH("Pivô",A1)))</formula>
    </cfRule>
  </conditionalFormatting>
  <conditionalFormatting sqref="B5:H109">
    <cfRule type="containsText" dxfId="934" priority="3" operator="containsText" text="Desponte">
      <formula>NOT(ISERROR(SEARCH("Desponte",B5)))</formula>
    </cfRule>
    <cfRule type="containsText" dxfId="917" priority="27" operator="containsText" text="Pulverização">
      <formula>NOT(ISERROR(SEARCH("Pulverização",B5)))</formula>
    </cfRule>
    <cfRule type="cellIs" dxfId="912" priority="26" operator="equal">
      <formula>$J$20</formula>
    </cfRule>
    <cfRule type="containsText" dxfId="911" priority="33" operator="containsText" text="Motorredutor">
      <formula>NOT(ISERROR(SEARCH("Motorredutor",B5)))</formula>
    </cfRule>
    <cfRule type="cellIs" dxfId="910" priority="28" operator="greaterThan">
      <formula>$J$5</formula>
    </cfRule>
    <cfRule type="containsText" dxfId="909" priority="29" operator="containsText" text="Cardã">
      <formula>NOT(ISERROR(SEARCH("Cardã",B5)))</formula>
    </cfRule>
    <cfRule type="containsText" dxfId="908" priority="30" operator="containsText" text="Pneu">
      <formula>NOT(ISERROR(SEARCH("Pneu",B5)))</formula>
    </cfRule>
    <cfRule type="containsText" dxfId="907" priority="31" operator="containsText" text="Vedação">
      <formula>NOT(ISERROR(SEARCH("Vedação",B5)))</formula>
    </cfRule>
    <cfRule type="containsText" dxfId="906" priority="32" operator="containsText" text="Retentor">
      <formula>NOT(ISERROR(SEARCH("Retentor",B5)))</formula>
    </cfRule>
    <cfRule type="containsText" dxfId="905" priority="34" operator="containsText" text="Redutor">
      <formula>NOT(ISERROR(SEARCH("Redutor",B5)))</formula>
    </cfRule>
    <cfRule type="containsText" dxfId="904" priority="35" operator="containsText" text="Bomba">
      <formula>NOT(ISERROR(SEARCH("Bomba",B5)))</formula>
    </cfRule>
  </conditionalFormatting>
  <conditionalFormatting sqref="B110:H111">
    <cfRule type="containsText" dxfId="894" priority="11" operator="containsText" text="Pulverização">
      <formula>NOT(ISERROR(SEARCH("Pulverização",B110)))</formula>
    </cfRule>
    <cfRule type="cellIs" dxfId="893" priority="12" operator="greaterThan">
      <formula>$J$5</formula>
    </cfRule>
    <cfRule type="containsText" dxfId="892" priority="13" operator="containsText" text="Cardã">
      <formula>NOT(ISERROR(SEARCH("Cardã",B110)))</formula>
    </cfRule>
    <cfRule type="containsText" dxfId="891" priority="14" operator="containsText" text="Pneu">
      <formula>NOT(ISERROR(SEARCH("Pneu",B110)))</formula>
    </cfRule>
    <cfRule type="containsText" dxfId="890" priority="15" operator="containsText" text="Vedação">
      <formula>NOT(ISERROR(SEARCH("Vedação",B110)))</formula>
    </cfRule>
    <cfRule type="containsText" dxfId="889" priority="16" operator="containsText" text="Retentor">
      <formula>NOT(ISERROR(SEARCH("Retentor",B110)))</formula>
    </cfRule>
    <cfRule type="containsText" dxfId="888" priority="17" operator="containsText" text="Motorredutor">
      <formula>NOT(ISERROR(SEARCH("Motorredutor",B110)))</formula>
    </cfRule>
    <cfRule type="containsText" dxfId="887" priority="18" operator="containsText" text="Redutor">
      <formula>NOT(ISERROR(SEARCH("Redutor",B110)))</formula>
    </cfRule>
    <cfRule type="containsText" dxfId="886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18CB75B0-DFEA-4365-AA3F-9F7A53F1961A}">
      <formula1>$J$5:$J$11</formula1>
    </dataValidation>
    <dataValidation type="list" allowBlank="1" showInputMessage="1" showErrorMessage="1" sqref="B5:H109" xr:uid="{FA3C664A-5E42-4298-AA43-F90297D018F6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7F39FAE-C381-4056-8741-7CBB0E44E312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52D0DE09-55F8-4F63-8881-8EAC16B6FF44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7B3E8BAF-A56E-4753-9D46-3A6ED9FD5EB2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3E5C831F-B44C-4665-96A3-FE89F18BF16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202150C5-F1E1-4CB3-AB1C-D7CE7B7CB55C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DC344485-AB7F-45FF-809E-D96BA0EFB25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D73C3160-4C69-475E-B3E7-62BAF9135409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36908DE2-19C0-4097-AC9F-732A8E92B3B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46E01651-E162-4F14-9798-845295FC016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6B521B40-8E1A-4020-B77F-E8719385F68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D14C93ED-FAF7-4483-988E-CDAA0A3D79C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76C2AF2B-2EDD-4DC9-BBA8-FFF70E42427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8116844F-025B-41DD-9E35-02311BF43B4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F60F1500-BC92-4241-AAEE-04FBC54665FF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DDAEA15E-AAB5-4D1C-B8A8-0D3486DDE1B3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09616F35-2E45-41B4-B4D4-5E085E996CA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BA07D753-3621-426D-9F03-C3529794888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F08CFFDF-4E03-45D3-9D09-72760E2D7ED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8525EA46-596F-4502-908B-878099A4A38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7631EFE3-42EF-4E1A-8F00-5D913F7E7F3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C30B3C87-878A-45D7-B93E-97A8683E1D2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2AC2A3EF-FA94-4C24-BC21-8A489DB83744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78168B38-A026-4F65-9AF2-0CE1F697BD3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593221F8-2200-4D6B-B480-760ED59F2AC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8C5553DA-9073-40D6-BD78-4548CF81A2E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0DAC4FA8-D7BE-42A2-887F-67DE1A494B8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4BFD6BE8-0999-46C3-A7F0-5A1F5E6E201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7819DE69-D089-4865-87EB-A31760CF445E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B221BC3F-E931-4A88-9281-1084BF749F5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7032E613-64CA-4759-B775-43B82EDF6D8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AC28-6465-4411-8649-01B30FD8A90A}">
  <sheetPr>
    <tabColor rgb="FF92D050"/>
    <pageSetUpPr fitToPage="1"/>
  </sheetPr>
  <dimension ref="A1:P109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:L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45026</v>
      </c>
      <c r="C3" s="11">
        <f t="shared" ref="C3:H3" si="0">B3+1</f>
        <v>45027</v>
      </c>
      <c r="D3" s="11">
        <f t="shared" si="0"/>
        <v>45028</v>
      </c>
      <c r="E3" s="11">
        <f t="shared" si="0"/>
        <v>45029</v>
      </c>
      <c r="F3" s="11">
        <f t="shared" si="0"/>
        <v>45030</v>
      </c>
      <c r="G3" s="11">
        <f t="shared" si="0"/>
        <v>45031</v>
      </c>
      <c r="H3" s="12">
        <f t="shared" si="0"/>
        <v>45032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2</v>
      </c>
      <c r="L5" s="54">
        <f t="shared" ref="L5:L21" si="3">K5/$K$22</f>
        <v>0.33333333333333331</v>
      </c>
      <c r="M5" s="58">
        <f>B3</f>
        <v>45026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2</v>
      </c>
      <c r="L15" s="54">
        <f t="shared" si="3"/>
        <v>0.33333333333333331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2</v>
      </c>
      <c r="L16" s="54">
        <f t="shared" si="3"/>
        <v>0.33333333333333331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 t="s">
        <v>4</v>
      </c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6</v>
      </c>
    </row>
    <row r="23" spans="1:12" x14ac:dyDescent="0.25">
      <c r="A23" s="6" t="s">
        <v>45</v>
      </c>
      <c r="B23" s="9" t="s">
        <v>15</v>
      </c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 t="s">
        <v>15</v>
      </c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 t="s">
        <v>121</v>
      </c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 t="s">
        <v>121</v>
      </c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 t="s">
        <v>4</v>
      </c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885" priority="7" operator="containsText" text="Pivô">
      <formula>NOT(ISERROR(SEARCH("Pivô",A1)))</formula>
    </cfRule>
    <cfRule type="containsText" dxfId="884" priority="8" operator="containsText" text="Pivô">
      <formula>NOT(ISERROR(SEARCH("Pivô",A1)))</formula>
    </cfRule>
  </conditionalFormatting>
  <conditionalFormatting sqref="B5:H109">
    <cfRule type="containsText" dxfId="882" priority="3" operator="containsText" text="Desponte">
      <formula>NOT(ISERROR(SEARCH("Desponte",B5)))</formula>
    </cfRule>
    <cfRule type="containsText" dxfId="865" priority="27" operator="containsText" text="Pulverização">
      <formula>NOT(ISERROR(SEARCH("Pulverização",B5)))</formula>
    </cfRule>
    <cfRule type="cellIs" dxfId="860" priority="26" operator="equal">
      <formula>$J$20</formula>
    </cfRule>
    <cfRule type="containsText" dxfId="859" priority="33" operator="containsText" text="Motorredutor">
      <formula>NOT(ISERROR(SEARCH("Motorredutor",B5)))</formula>
    </cfRule>
    <cfRule type="cellIs" dxfId="858" priority="28" operator="greaterThan">
      <formula>$J$5</formula>
    </cfRule>
    <cfRule type="containsText" dxfId="857" priority="29" operator="containsText" text="Cardã">
      <formula>NOT(ISERROR(SEARCH("Cardã",B5)))</formula>
    </cfRule>
    <cfRule type="containsText" dxfId="856" priority="30" operator="containsText" text="Pneu">
      <formula>NOT(ISERROR(SEARCH("Pneu",B5)))</formula>
    </cfRule>
    <cfRule type="containsText" dxfId="855" priority="31" operator="containsText" text="Vedação">
      <formula>NOT(ISERROR(SEARCH("Vedação",B5)))</formula>
    </cfRule>
    <cfRule type="containsText" dxfId="854" priority="32" operator="containsText" text="Retentor">
      <formula>NOT(ISERROR(SEARCH("Retentor",B5)))</formula>
    </cfRule>
    <cfRule type="containsText" dxfId="853" priority="34" operator="containsText" text="Redutor">
      <formula>NOT(ISERROR(SEARCH("Redutor",B5)))</formula>
    </cfRule>
    <cfRule type="containsText" dxfId="852" priority="35" operator="containsText" text="Bomba">
      <formula>NOT(ISERROR(SEARCH("Bomba",B5)))</formula>
    </cfRule>
  </conditionalFormatting>
  <conditionalFormatting sqref="B110:H111">
    <cfRule type="containsText" dxfId="842" priority="11" operator="containsText" text="Pulverização">
      <formula>NOT(ISERROR(SEARCH("Pulverização",B110)))</formula>
    </cfRule>
    <cfRule type="cellIs" dxfId="841" priority="12" operator="greaterThan">
      <formula>$J$5</formula>
    </cfRule>
    <cfRule type="containsText" dxfId="840" priority="13" operator="containsText" text="Cardã">
      <formula>NOT(ISERROR(SEARCH("Cardã",B110)))</formula>
    </cfRule>
    <cfRule type="containsText" dxfId="839" priority="14" operator="containsText" text="Pneu">
      <formula>NOT(ISERROR(SEARCH("Pneu",B110)))</formula>
    </cfRule>
    <cfRule type="containsText" dxfId="838" priority="15" operator="containsText" text="Vedação">
      <formula>NOT(ISERROR(SEARCH("Vedação",B110)))</formula>
    </cfRule>
    <cfRule type="containsText" dxfId="837" priority="16" operator="containsText" text="Retentor">
      <formula>NOT(ISERROR(SEARCH("Retentor",B110)))</formula>
    </cfRule>
    <cfRule type="containsText" dxfId="836" priority="17" operator="containsText" text="Motorredutor">
      <formula>NOT(ISERROR(SEARCH("Motorredutor",B110)))</formula>
    </cfRule>
    <cfRule type="containsText" dxfId="835" priority="18" operator="containsText" text="Redutor">
      <formula>NOT(ISERROR(SEARCH("Redutor",B110)))</formula>
    </cfRule>
    <cfRule type="containsText" dxfId="834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5:H109" xr:uid="{DE07550E-07F0-4F78-A7A2-0A12A82E8399}">
      <formula1>$J$5:$J$21</formula1>
    </dataValidation>
    <dataValidation type="list" allowBlank="1" showInputMessage="1" showErrorMessage="1" sqref="B110:H111" xr:uid="{A3A80A25-5F55-4097-AE20-824F86F08E62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C220481-C501-4E74-A071-C67FED1516B9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CDCE8DD0-4580-4706-BEA4-901C822048D5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6540E043-BDF1-4F02-A045-57E20C8174B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BD15F0E6-BBBB-4753-9C05-3BBB26A7D187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D6CF59DC-3017-42D3-AA00-765E55C358E9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586A4CB7-114B-4473-992C-71D0980DE63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896DB511-3112-45D3-8DE1-A4FC436719E0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5D32FF96-3492-4615-83B3-9C3A508F651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6C3E04B1-645D-45E0-8F29-AB5E2CA5B9C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1C832700-C9B4-4EDC-A2D2-9E370BBD3F1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9AF7FAA7-B18A-4A8C-95A5-23DFCED6CAF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8CEBCA66-4CDF-4424-99BE-3B022BD6F56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39D1E5E5-CED6-4898-B567-6DDD422CFCF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B4ED15A2-7B1C-4FB6-939A-C432B5DB1D19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21B3CFE5-2531-4497-A4F6-629B6E39D3BA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D11F22A6-2DC6-4D0A-BE23-33F5E7ED246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886A9D1B-1FA8-42C2-94E1-67A087F7E08D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A7FBD22E-0523-4B7E-A74D-04D42B2890F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7C07C53F-7218-4BEF-86C2-6E924C86405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D1501D32-998C-42C1-8D84-F81C9893EB4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E7FE532C-7E1E-49F6-81C1-DEE34E56A48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6D1D14DA-C6E7-4F25-AC92-862494811DD0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D7B7BB4D-49E4-4202-BF5E-07FBBA7E355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EFCE72A1-8F02-4641-BA23-4BE51C2808AC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FC8C6E55-0D2D-4669-A687-7318BF6489C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B37A1F96-621B-4F54-A0D3-3E6705226AC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F419314B-C7B6-4ACF-956F-39F26C63CEE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B847B8B4-B586-4550-B271-DFD162D5079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1FC08EF9-26DD-451F-990E-7671B7FADB0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0F2FAC0F-EF75-4F0D-AD7A-5F2EF67A708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B388-934F-4A97-9D6E-989543820DBD}">
  <sheetPr>
    <tabColor rgb="FF92D050"/>
    <pageSetUpPr fitToPage="1"/>
  </sheetPr>
  <dimension ref="A1:P109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33" sqref="J33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45033</v>
      </c>
      <c r="C3" s="11">
        <f t="shared" ref="C3:H3" si="0">B3+1</f>
        <v>45034</v>
      </c>
      <c r="D3" s="11">
        <f t="shared" si="0"/>
        <v>45035</v>
      </c>
      <c r="E3" s="11">
        <f t="shared" si="0"/>
        <v>45036</v>
      </c>
      <c r="F3" s="11">
        <f t="shared" si="0"/>
        <v>45037</v>
      </c>
      <c r="G3" s="11">
        <f t="shared" si="0"/>
        <v>45038</v>
      </c>
      <c r="H3" s="12">
        <f t="shared" si="0"/>
        <v>45039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0</v>
      </c>
      <c r="L5" s="54">
        <f t="shared" ref="L5:L21" si="3">K5/$K$22</f>
        <v>0</v>
      </c>
      <c r="M5" s="58">
        <f>B3</f>
        <v>45033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1</v>
      </c>
      <c r="L10" s="54">
        <f t="shared" si="3"/>
        <v>3.8461538461538464E-2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2</v>
      </c>
      <c r="L15" s="54">
        <f t="shared" si="3"/>
        <v>7.6923076923076927E-2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23</v>
      </c>
      <c r="L16" s="54">
        <f t="shared" si="3"/>
        <v>0.88461538461538458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26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 t="s">
        <v>118</v>
      </c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 t="s">
        <v>121</v>
      </c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 t="s">
        <v>121</v>
      </c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 t="s">
        <v>15</v>
      </c>
      <c r="D54" s="9"/>
      <c r="E54" s="9"/>
      <c r="F54" s="9" t="s">
        <v>15</v>
      </c>
      <c r="G54" s="9"/>
      <c r="H54" s="9"/>
    </row>
    <row r="55" spans="1:8" x14ac:dyDescent="0.25">
      <c r="A55" s="6" t="s">
        <v>77</v>
      </c>
      <c r="B55" s="9"/>
      <c r="C55" s="9" t="s">
        <v>15</v>
      </c>
      <c r="D55" s="9"/>
      <c r="E55" s="9"/>
      <c r="F55" s="9" t="s">
        <v>15</v>
      </c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 t="s">
        <v>15</v>
      </c>
      <c r="D59" s="9"/>
      <c r="E59" s="9" t="s">
        <v>15</v>
      </c>
      <c r="F59" s="9"/>
      <c r="G59" s="9"/>
      <c r="H59" s="9"/>
    </row>
    <row r="60" spans="1:8" x14ac:dyDescent="0.25">
      <c r="A60" s="6" t="s">
        <v>82</v>
      </c>
      <c r="B60" s="9"/>
      <c r="C60" s="9" t="s">
        <v>15</v>
      </c>
      <c r="D60" s="9"/>
      <c r="E60" s="9" t="s">
        <v>15</v>
      </c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 t="s">
        <v>15</v>
      </c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 t="s">
        <v>15</v>
      </c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 t="s">
        <v>15</v>
      </c>
      <c r="F63" s="9"/>
      <c r="G63" s="9"/>
      <c r="H63" s="9"/>
    </row>
    <row r="64" spans="1:8" x14ac:dyDescent="0.25">
      <c r="A64" s="6" t="s">
        <v>194</v>
      </c>
      <c r="B64" s="9"/>
      <c r="C64" s="9"/>
      <c r="D64" s="9" t="s">
        <v>15</v>
      </c>
      <c r="E64" s="9"/>
      <c r="F64" s="9" t="s">
        <v>15</v>
      </c>
      <c r="G64" s="9"/>
      <c r="H64" s="9"/>
    </row>
    <row r="65" spans="1:8" x14ac:dyDescent="0.25">
      <c r="A65" s="6" t="s">
        <v>195</v>
      </c>
      <c r="B65" s="9"/>
      <c r="C65" s="9"/>
      <c r="D65" s="9"/>
      <c r="E65" s="9" t="s">
        <v>15</v>
      </c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 t="s">
        <v>15</v>
      </c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 t="s">
        <v>15</v>
      </c>
      <c r="D70" s="9"/>
      <c r="E70" s="9"/>
      <c r="F70" s="9" t="s">
        <v>15</v>
      </c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 t="s">
        <v>15</v>
      </c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 t="s">
        <v>15</v>
      </c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 t="s">
        <v>15</v>
      </c>
      <c r="C74" s="9"/>
      <c r="D74" s="9" t="s">
        <v>15</v>
      </c>
      <c r="E74" s="9" t="s">
        <v>15</v>
      </c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 t="s">
        <v>15</v>
      </c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autoFilter ref="B4:H109" xr:uid="{EA6CB388-934F-4A97-9D6E-989543820DBD}"/>
  <mergeCells count="1">
    <mergeCell ref="A1:H2"/>
  </mergeCells>
  <conditionalFormatting sqref="A1:A1048576">
    <cfRule type="containsText" dxfId="833" priority="7" operator="containsText" text="Pivô">
      <formula>NOT(ISERROR(SEARCH("Pivô",A1)))</formula>
    </cfRule>
    <cfRule type="containsText" dxfId="832" priority="8" operator="containsText" text="Pivô">
      <formula>NOT(ISERROR(SEARCH("Pivô",A1)))</formula>
    </cfRule>
  </conditionalFormatting>
  <conditionalFormatting sqref="B5:H109">
    <cfRule type="containsText" dxfId="830" priority="3" operator="containsText" text="Desponte">
      <formula>NOT(ISERROR(SEARCH("Desponte",B5)))</formula>
    </cfRule>
    <cfRule type="containsText" dxfId="813" priority="27" operator="containsText" text="Pulverização">
      <formula>NOT(ISERROR(SEARCH("Pulverização",B5)))</formula>
    </cfRule>
    <cfRule type="cellIs" dxfId="808" priority="26" operator="equal">
      <formula>$J$20</formula>
    </cfRule>
    <cfRule type="containsText" dxfId="807" priority="33" operator="containsText" text="Motorredutor">
      <formula>NOT(ISERROR(SEARCH("Motorredutor",B5)))</formula>
    </cfRule>
    <cfRule type="cellIs" dxfId="806" priority="28" operator="greaterThan">
      <formula>$J$5</formula>
    </cfRule>
    <cfRule type="containsText" dxfId="805" priority="29" operator="containsText" text="Cardã">
      <formula>NOT(ISERROR(SEARCH("Cardã",B5)))</formula>
    </cfRule>
    <cfRule type="containsText" dxfId="804" priority="30" operator="containsText" text="Pneu">
      <formula>NOT(ISERROR(SEARCH("Pneu",B5)))</formula>
    </cfRule>
    <cfRule type="containsText" dxfId="803" priority="31" operator="containsText" text="Vedação">
      <formula>NOT(ISERROR(SEARCH("Vedação",B5)))</formula>
    </cfRule>
    <cfRule type="containsText" dxfId="802" priority="32" operator="containsText" text="Retentor">
      <formula>NOT(ISERROR(SEARCH("Retentor",B5)))</formula>
    </cfRule>
    <cfRule type="containsText" dxfId="801" priority="34" operator="containsText" text="Redutor">
      <formula>NOT(ISERROR(SEARCH("Redutor",B5)))</formula>
    </cfRule>
    <cfRule type="containsText" dxfId="800" priority="35" operator="containsText" text="Bomba">
      <formula>NOT(ISERROR(SEARCH("Bomba",B5)))</formula>
    </cfRule>
  </conditionalFormatting>
  <conditionalFormatting sqref="B110:H111">
    <cfRule type="containsText" dxfId="790" priority="11" operator="containsText" text="Pulverização">
      <formula>NOT(ISERROR(SEARCH("Pulverização",B110)))</formula>
    </cfRule>
    <cfRule type="cellIs" dxfId="789" priority="12" operator="greaterThan">
      <formula>$J$5</formula>
    </cfRule>
    <cfRule type="containsText" dxfId="788" priority="13" operator="containsText" text="Cardã">
      <formula>NOT(ISERROR(SEARCH("Cardã",B110)))</formula>
    </cfRule>
    <cfRule type="containsText" dxfId="787" priority="14" operator="containsText" text="Pneu">
      <formula>NOT(ISERROR(SEARCH("Pneu",B110)))</formula>
    </cfRule>
    <cfRule type="containsText" dxfId="786" priority="15" operator="containsText" text="Vedação">
      <formula>NOT(ISERROR(SEARCH("Vedação",B110)))</formula>
    </cfRule>
    <cfRule type="containsText" dxfId="785" priority="16" operator="containsText" text="Retentor">
      <formula>NOT(ISERROR(SEARCH("Retentor",B110)))</formula>
    </cfRule>
    <cfRule type="containsText" dxfId="784" priority="17" operator="containsText" text="Motorredutor">
      <formula>NOT(ISERROR(SEARCH("Motorredutor",B110)))</formula>
    </cfRule>
    <cfRule type="containsText" dxfId="783" priority="18" operator="containsText" text="Redutor">
      <formula>NOT(ISERROR(SEARCH("Redutor",B110)))</formula>
    </cfRule>
    <cfRule type="containsText" dxfId="782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F73A785F-7B13-4855-BA6C-5C31977B1565}">
      <formula1>$J$5:$J$11</formula1>
    </dataValidation>
    <dataValidation type="list" allowBlank="1" showInputMessage="1" showErrorMessage="1" sqref="B5:H109" xr:uid="{591EA0A4-BE0F-472B-B4F9-E8B37B8A0166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A6E730E-8122-43FE-8EC4-5FDE1E25B310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1E964E14-D111-4590-8D5F-FD7B7220558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7878CCE6-FCB7-4F27-BE79-70DABDC73486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905A70EC-1743-40A2-A9FC-9B5948DC6E6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C4FACB9A-E1AB-4646-9B2A-6D2944A7378D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613BBD71-D4A7-4BE1-8A4C-4AECB50A389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D54E4B56-407B-4FEE-A4F3-C12C4FA78E7D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FED772FC-68DF-4209-8C91-FD0B86B2AEB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60B73B9C-FB43-419D-88D6-C9B7C3AC2E1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FC9B6220-077E-4FC6-94C1-3426242658E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AA48090E-2FFD-4F44-98D6-F1FDD81E3CE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E53520B6-064A-496A-9E9A-16B27648A12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5BF7C2B9-2B8F-428A-9C21-0F2148CA0BC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230842AB-7D43-433F-8883-31FDB623DF3D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943A5F1F-B33D-464C-87E7-6AADDF36FF4F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DD2702AA-CBD1-444B-8022-D6C9512A43A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F319337C-0085-43B9-A635-5B12274B46D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992EF99F-C873-4D23-B93D-00AE9AA1759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5A61FDF7-802F-42B6-9FF8-106BA87B70F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0F714CD8-3CE9-4472-8F73-EBF5F67BB6E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582DB67D-27EC-413E-BE98-849EA25CD51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D2A377A4-1781-405B-9125-E70FF182376F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2ECBD5C2-D0D7-41AC-A288-C63266AE5C5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346BB887-9F21-45F4-B858-071A1FD174A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A7151BAE-7F67-4BAD-A8CA-9329CEBB110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0859C0C5-FCBD-452C-A650-CC0F429D3CB7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7162CEDF-6D5B-4A71-9003-FE9B03FBC79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C9B6B411-A61B-4846-9C4D-0228FC05F15E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F3EECD4B-5F74-461E-A1BB-F9ED597EAF2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1FD21573-8270-464C-B980-48E7B701D2D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254F-6C89-4E2F-B7FB-031FD482278C}">
  <sheetPr>
    <tabColor rgb="FF92D050"/>
    <pageSetUpPr fitToPage="1"/>
  </sheetPr>
  <dimension ref="A1:P109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:L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45040</v>
      </c>
      <c r="C3" s="11">
        <f t="shared" ref="C3:H3" si="0">B3+1</f>
        <v>45041</v>
      </c>
      <c r="D3" s="11">
        <f t="shared" si="0"/>
        <v>45042</v>
      </c>
      <c r="E3" s="11">
        <f t="shared" si="0"/>
        <v>45043</v>
      </c>
      <c r="F3" s="11">
        <f t="shared" si="0"/>
        <v>45044</v>
      </c>
      <c r="G3" s="11">
        <f t="shared" si="0"/>
        <v>45045</v>
      </c>
      <c r="H3" s="12">
        <f t="shared" si="0"/>
        <v>45046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1</v>
      </c>
      <c r="L5" s="54">
        <f t="shared" ref="L5:L21" si="3">K5/$K$22</f>
        <v>5.8823529411764705E-2</v>
      </c>
      <c r="M5" s="58">
        <f>B3</f>
        <v>45040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1</v>
      </c>
      <c r="L11" s="54">
        <f t="shared" si="3"/>
        <v>5.8823529411764705E-2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3</v>
      </c>
      <c r="L15" s="54">
        <f t="shared" si="3"/>
        <v>0.17647058823529413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12</v>
      </c>
      <c r="L16" s="54">
        <f t="shared" si="3"/>
        <v>0.70588235294117652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 t="s">
        <v>121</v>
      </c>
      <c r="F21" s="9"/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17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 t="s">
        <v>121</v>
      </c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 t="s">
        <v>121</v>
      </c>
      <c r="D34" s="9"/>
      <c r="E34" s="9"/>
      <c r="F34" s="9" t="s">
        <v>15</v>
      </c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 t="s">
        <v>15</v>
      </c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 t="s">
        <v>10</v>
      </c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 t="s">
        <v>15</v>
      </c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 t="s">
        <v>15</v>
      </c>
    </row>
    <row r="64" spans="1:8" x14ac:dyDescent="0.25">
      <c r="A64" s="6" t="s">
        <v>194</v>
      </c>
      <c r="B64" s="9"/>
      <c r="C64" s="9"/>
      <c r="D64" s="9"/>
      <c r="E64" s="9"/>
      <c r="F64" s="9"/>
      <c r="G64" s="9" t="s">
        <v>15</v>
      </c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 t="s">
        <v>15</v>
      </c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 t="s">
        <v>15</v>
      </c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 t="s">
        <v>15</v>
      </c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 t="s">
        <v>15</v>
      </c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 t="s">
        <v>15</v>
      </c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 t="s">
        <v>15</v>
      </c>
      <c r="H76" s="9" t="s">
        <v>15</v>
      </c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 t="s">
        <v>4</v>
      </c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781" priority="7" operator="containsText" text="Pivô">
      <formula>NOT(ISERROR(SEARCH("Pivô",A1)))</formula>
    </cfRule>
    <cfRule type="containsText" dxfId="780" priority="8" operator="containsText" text="Pivô">
      <formula>NOT(ISERROR(SEARCH("Pivô",A1)))</formula>
    </cfRule>
  </conditionalFormatting>
  <conditionalFormatting sqref="B5:H109">
    <cfRule type="containsText" dxfId="778" priority="3" operator="containsText" text="Desponte">
      <formula>NOT(ISERROR(SEARCH("Desponte",B5)))</formula>
    </cfRule>
    <cfRule type="containsText" dxfId="761" priority="27" operator="containsText" text="Pulverização">
      <formula>NOT(ISERROR(SEARCH("Pulverização",B5)))</formula>
    </cfRule>
    <cfRule type="cellIs" dxfId="756" priority="26" operator="equal">
      <formula>$J$20</formula>
    </cfRule>
    <cfRule type="containsText" dxfId="755" priority="33" operator="containsText" text="Motorredutor">
      <formula>NOT(ISERROR(SEARCH("Motorredutor",B5)))</formula>
    </cfRule>
    <cfRule type="cellIs" dxfId="754" priority="28" operator="greaterThan">
      <formula>$J$5</formula>
    </cfRule>
    <cfRule type="containsText" dxfId="753" priority="29" operator="containsText" text="Cardã">
      <formula>NOT(ISERROR(SEARCH("Cardã",B5)))</formula>
    </cfRule>
    <cfRule type="containsText" dxfId="752" priority="30" operator="containsText" text="Pneu">
      <formula>NOT(ISERROR(SEARCH("Pneu",B5)))</formula>
    </cfRule>
    <cfRule type="containsText" dxfId="751" priority="31" operator="containsText" text="Vedação">
      <formula>NOT(ISERROR(SEARCH("Vedação",B5)))</formula>
    </cfRule>
    <cfRule type="containsText" dxfId="750" priority="32" operator="containsText" text="Retentor">
      <formula>NOT(ISERROR(SEARCH("Retentor",B5)))</formula>
    </cfRule>
    <cfRule type="containsText" dxfId="749" priority="34" operator="containsText" text="Redutor">
      <formula>NOT(ISERROR(SEARCH("Redutor",B5)))</formula>
    </cfRule>
    <cfRule type="containsText" dxfId="748" priority="35" operator="containsText" text="Bomba">
      <formula>NOT(ISERROR(SEARCH("Bomba",B5)))</formula>
    </cfRule>
  </conditionalFormatting>
  <conditionalFormatting sqref="B110:H111">
    <cfRule type="containsText" dxfId="738" priority="11" operator="containsText" text="Pulverização">
      <formula>NOT(ISERROR(SEARCH("Pulverização",B110)))</formula>
    </cfRule>
    <cfRule type="cellIs" dxfId="737" priority="12" operator="greaterThan">
      <formula>$J$5</formula>
    </cfRule>
    <cfRule type="containsText" dxfId="736" priority="13" operator="containsText" text="Cardã">
      <formula>NOT(ISERROR(SEARCH("Cardã",B110)))</formula>
    </cfRule>
    <cfRule type="containsText" dxfId="735" priority="14" operator="containsText" text="Pneu">
      <formula>NOT(ISERROR(SEARCH("Pneu",B110)))</formula>
    </cfRule>
    <cfRule type="containsText" dxfId="734" priority="15" operator="containsText" text="Vedação">
      <formula>NOT(ISERROR(SEARCH("Vedação",B110)))</formula>
    </cfRule>
    <cfRule type="containsText" dxfId="733" priority="16" operator="containsText" text="Retentor">
      <formula>NOT(ISERROR(SEARCH("Retentor",B110)))</formula>
    </cfRule>
    <cfRule type="containsText" dxfId="732" priority="17" operator="containsText" text="Motorredutor">
      <formula>NOT(ISERROR(SEARCH("Motorredutor",B110)))</formula>
    </cfRule>
    <cfRule type="containsText" dxfId="731" priority="18" operator="containsText" text="Redutor">
      <formula>NOT(ISERROR(SEARCH("Redutor",B110)))</formula>
    </cfRule>
    <cfRule type="containsText" dxfId="730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5:H109" xr:uid="{D42F1B99-BAAE-4B76-856B-5A208E846E1B}">
      <formula1>$J$5:$J$21</formula1>
    </dataValidation>
    <dataValidation type="list" allowBlank="1" showInputMessage="1" showErrorMessage="1" sqref="B110:H111" xr:uid="{3BAC1446-2BF5-4707-8905-EE364409BDD5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B5987A8-040C-4282-ABE8-2630C3614EF8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CA06D0D8-506D-4564-8F20-6A850991DFD4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CE33A613-790D-4DC5-BCC4-D262CFBB9327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F7ABEFE7-F6C7-49A1-829F-2B55CB500354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0B4B4870-356D-4AD1-8012-43A6D67D160B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E83D3387-9958-4434-9182-6A37E59C936B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FB72367C-3CD3-416D-809C-0F3CCEAAE17E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FAC8F2D7-EBBC-4935-A694-BE47E7FFCCC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A03585EF-6756-4C9C-AF4A-2A0AA8F4886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D8689F84-651E-4A99-8901-AD4EE562113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9407A914-308D-4260-BE04-5C5309C315D3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85D27009-F60A-4FCC-97A5-472E301EA5C6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2CFEF7D8-33CB-4075-9C68-F6015A7CCA5E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CC907F1A-FAFE-42E8-8CD1-592D60CA1C3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C5BB6017-8EAF-4B5E-9B5E-B32CE5E5C364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7A727CEB-B5F7-4900-8F53-1747FDD1E2F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9E630DD2-BA09-4BAF-952F-200AD8A4CF9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109F8530-2DA5-430F-ABD3-1B59A1D9FC6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A9F7FCA6-AE5E-4041-82AF-35B6AD62532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01B51810-3BA0-4D56-8B0D-F778D534C3B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F3ECF542-0887-4269-AD07-EB031EE03CC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81BFDB54-6C66-4BEF-AFEB-3E50757FD63E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D51DBCCB-6F32-488A-81DB-B1A70BA8F98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A4A534D4-6122-4B72-B288-64624000BE4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0028D195-B514-4949-8905-7E352DA303E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F4EEB620-BBBE-4C7D-B2F4-8433664AE36D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5A0687BB-BBE6-4BB4-BB09-CBC06AFCE65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EB793F0D-9FFA-4FDE-9425-4F3F5E2E85F3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B486AF74-D382-4A78-963C-E1C526461C8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CDF0DE37-9C3D-4D20-87CE-F7CA8059723D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9254-3F6D-4BF9-BBB0-9A2354817674}">
  <sheetPr>
    <tabColor rgb="FF92D050"/>
    <pageSetUpPr fitToPage="1"/>
  </sheetPr>
  <dimension ref="A1:P10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4" sqref="I14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45047</v>
      </c>
      <c r="C3" s="11">
        <f t="shared" ref="C3:H3" si="0">B3+1</f>
        <v>45048</v>
      </c>
      <c r="D3" s="11">
        <f t="shared" si="0"/>
        <v>45049</v>
      </c>
      <c r="E3" s="11">
        <f t="shared" si="0"/>
        <v>45050</v>
      </c>
      <c r="F3" s="11">
        <f t="shared" si="0"/>
        <v>45051</v>
      </c>
      <c r="G3" s="11">
        <f t="shared" si="0"/>
        <v>45052</v>
      </c>
      <c r="H3" s="12">
        <f t="shared" si="0"/>
        <v>45053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0</v>
      </c>
      <c r="L5" s="54">
        <f t="shared" ref="L5:L21" si="3">K5/$K$22</f>
        <v>0</v>
      </c>
      <c r="M5" s="58">
        <f>B3</f>
        <v>45047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1</v>
      </c>
      <c r="L6" s="54">
        <f t="shared" si="3"/>
        <v>0.05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2</v>
      </c>
      <c r="L7" s="54">
        <f t="shared" si="3"/>
        <v>0.1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2</v>
      </c>
      <c r="L8" s="54">
        <f t="shared" si="3"/>
        <v>0.1</v>
      </c>
    </row>
    <row r="9" spans="1:16" x14ac:dyDescent="0.25">
      <c r="A9" s="6" t="s">
        <v>29</v>
      </c>
      <c r="B9" s="9"/>
      <c r="C9" s="9" t="s">
        <v>127</v>
      </c>
      <c r="D9" s="9"/>
      <c r="E9" s="9" t="s">
        <v>5</v>
      </c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2</v>
      </c>
      <c r="L13" s="54">
        <f t="shared" si="3"/>
        <v>0.1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 t="s">
        <v>121</v>
      </c>
      <c r="F15" s="9"/>
      <c r="G15" s="9"/>
      <c r="H15" s="9"/>
      <c r="J15" s="47" t="s">
        <v>121</v>
      </c>
      <c r="K15" s="1">
        <f t="shared" si="2"/>
        <v>3</v>
      </c>
      <c r="L15" s="54">
        <f t="shared" si="3"/>
        <v>0.15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10</v>
      </c>
      <c r="L16" s="54">
        <f t="shared" si="3"/>
        <v>0.5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 t="s">
        <v>12</v>
      </c>
      <c r="H22" s="9" t="s">
        <v>12</v>
      </c>
      <c r="J22" s="7" t="s">
        <v>2</v>
      </c>
      <c r="K22" s="1">
        <f>SUM(K5:K21)</f>
        <v>20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 t="s">
        <v>15</v>
      </c>
      <c r="F30" s="9"/>
      <c r="G30" s="9"/>
      <c r="H30" s="9"/>
    </row>
    <row r="31" spans="1:12" x14ac:dyDescent="0.25">
      <c r="A31" s="6" t="s">
        <v>53</v>
      </c>
      <c r="B31" s="9"/>
      <c r="C31" s="9" t="s">
        <v>127</v>
      </c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 t="s">
        <v>15</v>
      </c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 t="s">
        <v>15</v>
      </c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 t="s">
        <v>15</v>
      </c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 t="s">
        <v>15</v>
      </c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 t="s">
        <v>15</v>
      </c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 t="s">
        <v>15</v>
      </c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 t="s">
        <v>15</v>
      </c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 t="s">
        <v>15</v>
      </c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 t="s">
        <v>15</v>
      </c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 t="s">
        <v>121</v>
      </c>
      <c r="C78" s="9"/>
      <c r="D78" s="9"/>
      <c r="E78" s="9" t="s">
        <v>121</v>
      </c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 t="s">
        <v>7</v>
      </c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 t="s">
        <v>7</v>
      </c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729" priority="7" operator="containsText" text="Pivô">
      <formula>NOT(ISERROR(SEARCH("Pivô",A1)))</formula>
    </cfRule>
    <cfRule type="containsText" dxfId="728" priority="8" operator="containsText" text="Pivô">
      <formula>NOT(ISERROR(SEARCH("Pivô",A1)))</formula>
    </cfRule>
  </conditionalFormatting>
  <conditionalFormatting sqref="B5:H109">
    <cfRule type="containsText" dxfId="726" priority="3" operator="containsText" text="Desponte">
      <formula>NOT(ISERROR(SEARCH("Desponte",B5)))</formula>
    </cfRule>
    <cfRule type="containsText" dxfId="709" priority="27" operator="containsText" text="Pulverização">
      <formula>NOT(ISERROR(SEARCH("Pulverização",B5)))</formula>
    </cfRule>
    <cfRule type="cellIs" dxfId="704" priority="26" operator="equal">
      <formula>$J$20</formula>
    </cfRule>
    <cfRule type="containsText" dxfId="703" priority="33" operator="containsText" text="Motorredutor">
      <formula>NOT(ISERROR(SEARCH("Motorredutor",B5)))</formula>
    </cfRule>
    <cfRule type="cellIs" dxfId="702" priority="28" operator="greaterThan">
      <formula>$J$5</formula>
    </cfRule>
    <cfRule type="containsText" dxfId="701" priority="29" operator="containsText" text="Cardã">
      <formula>NOT(ISERROR(SEARCH("Cardã",B5)))</formula>
    </cfRule>
    <cfRule type="containsText" dxfId="700" priority="30" operator="containsText" text="Pneu">
      <formula>NOT(ISERROR(SEARCH("Pneu",B5)))</formula>
    </cfRule>
    <cfRule type="containsText" dxfId="699" priority="31" operator="containsText" text="Vedação">
      <formula>NOT(ISERROR(SEARCH("Vedação",B5)))</formula>
    </cfRule>
    <cfRule type="containsText" dxfId="698" priority="32" operator="containsText" text="Retentor">
      <formula>NOT(ISERROR(SEARCH("Retentor",B5)))</formula>
    </cfRule>
    <cfRule type="containsText" dxfId="697" priority="34" operator="containsText" text="Redutor">
      <formula>NOT(ISERROR(SEARCH("Redutor",B5)))</formula>
    </cfRule>
    <cfRule type="containsText" dxfId="696" priority="35" operator="containsText" text="Bomba">
      <formula>NOT(ISERROR(SEARCH("Bomba",B5)))</formula>
    </cfRule>
  </conditionalFormatting>
  <conditionalFormatting sqref="B110:H111">
    <cfRule type="containsText" dxfId="686" priority="11" operator="containsText" text="Pulverização">
      <formula>NOT(ISERROR(SEARCH("Pulverização",B110)))</formula>
    </cfRule>
    <cfRule type="cellIs" dxfId="685" priority="12" operator="greaterThan">
      <formula>$J$5</formula>
    </cfRule>
    <cfRule type="containsText" dxfId="684" priority="13" operator="containsText" text="Cardã">
      <formula>NOT(ISERROR(SEARCH("Cardã",B110)))</formula>
    </cfRule>
    <cfRule type="containsText" dxfId="683" priority="14" operator="containsText" text="Pneu">
      <formula>NOT(ISERROR(SEARCH("Pneu",B110)))</formula>
    </cfRule>
    <cfRule type="containsText" dxfId="682" priority="15" operator="containsText" text="Vedação">
      <formula>NOT(ISERROR(SEARCH("Vedação",B110)))</formula>
    </cfRule>
    <cfRule type="containsText" dxfId="681" priority="16" operator="containsText" text="Retentor">
      <formula>NOT(ISERROR(SEARCH("Retentor",B110)))</formula>
    </cfRule>
    <cfRule type="containsText" dxfId="680" priority="17" operator="containsText" text="Motorredutor">
      <formula>NOT(ISERROR(SEARCH("Motorredutor",B110)))</formula>
    </cfRule>
    <cfRule type="containsText" dxfId="679" priority="18" operator="containsText" text="Redutor">
      <formula>NOT(ISERROR(SEARCH("Redutor",B110)))</formula>
    </cfRule>
    <cfRule type="containsText" dxfId="678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6DE33DCF-16CF-4C71-AF26-E13D617B7B1E}">
      <formula1>$J$5:$J$11</formula1>
    </dataValidation>
    <dataValidation type="list" allowBlank="1" showInputMessage="1" showErrorMessage="1" sqref="B5:H109" xr:uid="{5FD21AFE-4CB6-4172-AE8B-63B15093E075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805C499-EDBC-443C-815F-BA270AE39D91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5E8AE4E5-B1B4-4107-8D65-5D41A9601FD1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E13D13D0-9F59-4773-91A4-B5F69568E1A5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C0D39D95-F4B1-43C5-B03E-810D3CFB982C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FCC437CE-BE94-417F-B36B-44C4B80938EB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CE071DB1-2760-43C6-AEF4-BAAB2830937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000A87EC-CC47-40E4-858E-541659A7E9C7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393640A2-04F4-44CA-B106-CF271AC1CCB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88E1491F-29EC-499D-B832-609D433CF8B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B3DA23AE-764F-4000-A6E4-F71D557ABF0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169EDE79-09FB-44B0-8983-A79D606F913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2B7E22C1-2FFA-4EF4-BB74-F716D8E84561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A723545A-8AEC-457E-A23F-2382AE034D29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1C074BC0-A2A3-4D22-B91F-7B5A97AA53FA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3B7D1B3A-C350-4CE3-84C4-87A0A5F41632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2FE867BA-123E-4D6D-B647-91DCDF3A9F2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64AFD18C-7E58-4176-B0BA-963EC31E9CEA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47A96FD5-168E-4DAC-8145-B0156128E16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38CC9E40-79B5-4939-AB62-D0CEA3944E3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E7AC79E2-D9DC-4127-82E6-D2014EC3D5D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C460248E-F45E-4B6D-B039-4AF091FBE83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15D602A5-3A91-4C5E-88A5-83F320F27873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D231BBF4-FD8A-42C6-8680-7E22915BFF0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857DEB95-A706-4A53-ADD2-AEBAF8B05DA5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6F47B458-A71A-4409-BEB2-A05D73B00CE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343FC2BC-6EE1-4E95-A726-0EA7D09A621F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EC6867C4-E62B-47F5-9928-A31CE03B541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1A7FF19E-C6A6-4E54-92D3-E808F5EFA052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941A88F6-D433-48F8-A3E4-7C2A49F1D72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75BA9CBC-5AAC-4C4F-97EF-96833FA79A15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926D-605A-42B0-9B33-2A31B2880F8C}">
  <sheetPr>
    <tabColor rgb="FF92D050"/>
    <pageSetUpPr fitToPage="1"/>
  </sheetPr>
  <dimension ref="A1:P10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M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45054</v>
      </c>
      <c r="C3" s="11">
        <f t="shared" ref="C3:H3" si="0">B3+1</f>
        <v>45055</v>
      </c>
      <c r="D3" s="11">
        <f t="shared" si="0"/>
        <v>45056</v>
      </c>
      <c r="E3" s="11">
        <f t="shared" si="0"/>
        <v>45057</v>
      </c>
      <c r="F3" s="11">
        <f t="shared" si="0"/>
        <v>45058</v>
      </c>
      <c r="G3" s="11">
        <f t="shared" si="0"/>
        <v>45059</v>
      </c>
      <c r="H3" s="12">
        <f t="shared" si="0"/>
        <v>45060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4</v>
      </c>
      <c r="L5" s="54">
        <f t="shared" ref="L5:L21" si="3">K5/$K$22</f>
        <v>0.13333333333333333</v>
      </c>
      <c r="M5" s="58">
        <f>B3</f>
        <v>45054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1</v>
      </c>
      <c r="L8" s="54">
        <f t="shared" si="3"/>
        <v>3.3333333333333333E-2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1</v>
      </c>
      <c r="L9" s="54">
        <f t="shared" si="3"/>
        <v>3.3333333333333333E-2</v>
      </c>
      <c r="P9" s="3"/>
    </row>
    <row r="10" spans="1:16" x14ac:dyDescent="0.25">
      <c r="A10" s="6" t="s">
        <v>31</v>
      </c>
      <c r="B10" s="9"/>
      <c r="C10" s="9"/>
      <c r="D10" s="9" t="s">
        <v>4</v>
      </c>
      <c r="E10" s="9"/>
      <c r="F10" s="9"/>
      <c r="G10" s="9"/>
      <c r="H10" s="9"/>
      <c r="J10" s="25" t="s">
        <v>118</v>
      </c>
      <c r="K10" s="1">
        <f t="shared" si="2"/>
        <v>2</v>
      </c>
      <c r="L10" s="54">
        <f t="shared" si="3"/>
        <v>6.6666666666666666E-2</v>
      </c>
    </row>
    <row r="11" spans="1:16" x14ac:dyDescent="0.25">
      <c r="A11" s="6" t="s">
        <v>32</v>
      </c>
      <c r="B11" s="9" t="s">
        <v>4</v>
      </c>
      <c r="C11" s="9" t="s">
        <v>4</v>
      </c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 t="s">
        <v>118</v>
      </c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 t="s">
        <v>118</v>
      </c>
      <c r="H13" s="9"/>
      <c r="J13" s="28" t="s">
        <v>12</v>
      </c>
      <c r="K13" s="1">
        <f t="shared" si="2"/>
        <v>1</v>
      </c>
      <c r="L13" s="54">
        <f t="shared" si="3"/>
        <v>3.3333333333333333E-2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20</v>
      </c>
      <c r="L16" s="54">
        <f t="shared" si="3"/>
        <v>0.66666666666666663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1</v>
      </c>
      <c r="L18" s="54">
        <f t="shared" si="3"/>
        <v>3.3333333333333333E-2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 t="s">
        <v>12</v>
      </c>
      <c r="C22" s="9"/>
      <c r="D22" s="9"/>
      <c r="E22" s="9"/>
      <c r="F22" s="9"/>
      <c r="G22" s="9"/>
      <c r="H22" s="9"/>
      <c r="J22" s="7" t="s">
        <v>2</v>
      </c>
      <c r="K22" s="1">
        <f>SUM(K5:K21)</f>
        <v>30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 t="s">
        <v>15</v>
      </c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 t="s">
        <v>166</v>
      </c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 t="s">
        <v>15</v>
      </c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 t="s">
        <v>15</v>
      </c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 t="s">
        <v>4</v>
      </c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 t="s">
        <v>15</v>
      </c>
      <c r="F55" s="9"/>
      <c r="G55" s="9"/>
      <c r="H55" s="9" t="s">
        <v>15</v>
      </c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 t="s">
        <v>15</v>
      </c>
      <c r="F58" s="9"/>
      <c r="G58" s="9"/>
      <c r="H58" s="9" t="s">
        <v>15</v>
      </c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 t="s">
        <v>15</v>
      </c>
      <c r="F61" s="9"/>
      <c r="G61" s="9"/>
      <c r="H61" s="9" t="s">
        <v>15</v>
      </c>
    </row>
    <row r="62" spans="1:8" x14ac:dyDescent="0.25">
      <c r="A62" s="6" t="s">
        <v>192</v>
      </c>
      <c r="B62" s="9"/>
      <c r="C62" s="9"/>
      <c r="D62" s="9"/>
      <c r="E62" s="9" t="s">
        <v>15</v>
      </c>
      <c r="F62" s="9"/>
      <c r="G62" s="9"/>
      <c r="H62" s="9" t="s">
        <v>15</v>
      </c>
    </row>
    <row r="63" spans="1:8" x14ac:dyDescent="0.25">
      <c r="A63" s="6" t="s">
        <v>193</v>
      </c>
      <c r="B63" s="9"/>
      <c r="C63" s="9"/>
      <c r="D63" s="9"/>
      <c r="E63" s="9" t="s">
        <v>15</v>
      </c>
      <c r="F63" s="9"/>
      <c r="G63" s="9"/>
      <c r="H63" s="9" t="s">
        <v>15</v>
      </c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 t="s">
        <v>15</v>
      </c>
      <c r="F65" s="9"/>
      <c r="G65" s="9"/>
      <c r="H65" s="9" t="s">
        <v>15</v>
      </c>
    </row>
    <row r="66" spans="1:8" x14ac:dyDescent="0.25">
      <c r="A66" s="6" t="s">
        <v>196</v>
      </c>
      <c r="B66" s="9"/>
      <c r="C66" s="9"/>
      <c r="D66" s="9"/>
      <c r="E66" s="9" t="s">
        <v>15</v>
      </c>
      <c r="F66" s="9"/>
      <c r="G66" s="9"/>
      <c r="H66" s="9" t="s">
        <v>15</v>
      </c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 t="s">
        <v>15</v>
      </c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 t="s">
        <v>15</v>
      </c>
      <c r="H104" s="9"/>
    </row>
    <row r="105" spans="1:8" x14ac:dyDescent="0.25">
      <c r="A105" s="6" t="s">
        <v>111</v>
      </c>
      <c r="B105" s="9" t="s">
        <v>30</v>
      </c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 t="s">
        <v>7</v>
      </c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 t="s">
        <v>15</v>
      </c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677" priority="7" operator="containsText" text="Pivô">
      <formula>NOT(ISERROR(SEARCH("Pivô",A1)))</formula>
    </cfRule>
    <cfRule type="containsText" dxfId="676" priority="8" operator="containsText" text="Pivô">
      <formula>NOT(ISERROR(SEARCH("Pivô",A1)))</formula>
    </cfRule>
  </conditionalFormatting>
  <conditionalFormatting sqref="B5:H109">
    <cfRule type="containsText" dxfId="674" priority="3" operator="containsText" text="Desponte">
      <formula>NOT(ISERROR(SEARCH("Desponte",B5)))</formula>
    </cfRule>
    <cfRule type="containsText" dxfId="657" priority="27" operator="containsText" text="Pulverização">
      <formula>NOT(ISERROR(SEARCH("Pulverização",B5)))</formula>
    </cfRule>
    <cfRule type="cellIs" dxfId="652" priority="26" operator="equal">
      <formula>$J$20</formula>
    </cfRule>
    <cfRule type="containsText" dxfId="651" priority="33" operator="containsText" text="Motorredutor">
      <formula>NOT(ISERROR(SEARCH("Motorredutor",B5)))</formula>
    </cfRule>
    <cfRule type="cellIs" dxfId="650" priority="28" operator="greaterThan">
      <formula>$J$5</formula>
    </cfRule>
    <cfRule type="containsText" dxfId="649" priority="29" operator="containsText" text="Cardã">
      <formula>NOT(ISERROR(SEARCH("Cardã",B5)))</formula>
    </cfRule>
    <cfRule type="containsText" dxfId="648" priority="30" operator="containsText" text="Pneu">
      <formula>NOT(ISERROR(SEARCH("Pneu",B5)))</formula>
    </cfRule>
    <cfRule type="containsText" dxfId="647" priority="31" operator="containsText" text="Vedação">
      <formula>NOT(ISERROR(SEARCH("Vedação",B5)))</formula>
    </cfRule>
    <cfRule type="containsText" dxfId="646" priority="32" operator="containsText" text="Retentor">
      <formula>NOT(ISERROR(SEARCH("Retentor",B5)))</formula>
    </cfRule>
    <cfRule type="containsText" dxfId="645" priority="34" operator="containsText" text="Redutor">
      <formula>NOT(ISERROR(SEARCH("Redutor",B5)))</formula>
    </cfRule>
    <cfRule type="containsText" dxfId="644" priority="35" operator="containsText" text="Bomba">
      <formula>NOT(ISERROR(SEARCH("Bomba",B5)))</formula>
    </cfRule>
  </conditionalFormatting>
  <conditionalFormatting sqref="B110:H111">
    <cfRule type="containsText" dxfId="634" priority="11" operator="containsText" text="Pulverização">
      <formula>NOT(ISERROR(SEARCH("Pulverização",B110)))</formula>
    </cfRule>
    <cfRule type="cellIs" dxfId="633" priority="12" operator="greaterThan">
      <formula>$J$5</formula>
    </cfRule>
    <cfRule type="containsText" dxfId="632" priority="13" operator="containsText" text="Cardã">
      <formula>NOT(ISERROR(SEARCH("Cardã",B110)))</formula>
    </cfRule>
    <cfRule type="containsText" dxfId="631" priority="14" operator="containsText" text="Pneu">
      <formula>NOT(ISERROR(SEARCH("Pneu",B110)))</formula>
    </cfRule>
    <cfRule type="containsText" dxfId="630" priority="15" operator="containsText" text="Vedação">
      <formula>NOT(ISERROR(SEARCH("Vedação",B110)))</formula>
    </cfRule>
    <cfRule type="containsText" dxfId="629" priority="16" operator="containsText" text="Retentor">
      <formula>NOT(ISERROR(SEARCH("Retentor",B110)))</formula>
    </cfRule>
    <cfRule type="containsText" dxfId="628" priority="17" operator="containsText" text="Motorredutor">
      <formula>NOT(ISERROR(SEARCH("Motorredutor",B110)))</formula>
    </cfRule>
    <cfRule type="containsText" dxfId="627" priority="18" operator="containsText" text="Redutor">
      <formula>NOT(ISERROR(SEARCH("Redutor",B110)))</formula>
    </cfRule>
    <cfRule type="containsText" dxfId="626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5:H109" xr:uid="{DB408C50-4900-4887-B013-CB94D5350332}">
      <formula1>$J$5:$J$21</formula1>
    </dataValidation>
    <dataValidation type="list" allowBlank="1" showInputMessage="1" showErrorMessage="1" sqref="B110:H111" xr:uid="{58B6DB1D-2BE1-4EF8-8749-E90A7EBB10CC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AE8C84B-EDA5-4B88-B40F-394F5082A29B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8CD75FB5-A8F1-4C78-B912-98C830349656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A3E2E3FA-0783-4C01-ADA1-BE6E8043DE0C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144525D5-CF36-44D5-BBAB-235BE2B5FB95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4225C52D-6DC4-4AC2-B99C-E10B9512D743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92370EEB-9C43-48E5-813B-58321DFE6E0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987CAD94-A794-44A6-992D-EC0FDF4714A5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B8925AA6-E1B8-4924-8509-BC2C7908625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B2E3B567-8E9F-4F5A-95B3-1142A9C0DB1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D5110F90-517A-43BE-8831-9A72E0F7BC3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4F4D0D2D-B281-46B6-B975-DA6765EE43C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122369F6-BAAF-4232-BB0B-3B2832697ED0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763B916C-66B8-4579-B305-A9B465ED63F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FA543843-D741-4190-823A-18161569076A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FE2580DE-F843-4BCB-88FA-C8654695A490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203C8654-6B40-4EE7-93B2-C863879BE6E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00A8C6C8-884A-4183-8285-4BABCDE1D78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D38314E7-2732-422B-BCF6-2969F7D7C64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AFA58B80-8D90-4B30-86DA-4D505D9F541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11EF5CD1-216C-4DEC-88C8-69092710301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1BEC3D2F-D5DE-4DC5-866E-C9CC1C8968F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884DB56B-750E-4949-8CED-882755343BAC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6B2E1EBB-5643-49EE-B0F8-018004BDBB0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2B9171E4-3F9B-4C0F-AD13-334597972DF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047D8488-9331-4449-85A3-0DD6E078A54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51728FCF-6511-4634-B14C-F08DF4565BD8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17DE3C77-0519-4453-9FFF-3BAD7695DC7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BD24FEF6-ABF3-4C6D-B6A3-373D57CB569A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D3D06F81-E9FA-4C0E-92C4-C2EE28851A5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B0FBB1D0-AFB9-42B8-B020-E2A1A972936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1844-2285-4098-BC22-7C15677C2F4A}">
  <sheetPr>
    <tabColor rgb="FF92D050"/>
    <pageSetUpPr fitToPage="1"/>
  </sheetPr>
  <dimension ref="A1:P109"/>
  <sheetViews>
    <sheetView showGridLines="0" zoomScaleNormal="100"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H47" sqref="H47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45061</v>
      </c>
      <c r="C3" s="11">
        <f t="shared" ref="C3:H3" si="0">B3+1</f>
        <v>45062</v>
      </c>
      <c r="D3" s="11">
        <f t="shared" si="0"/>
        <v>45063</v>
      </c>
      <c r="E3" s="11">
        <f t="shared" si="0"/>
        <v>45064</v>
      </c>
      <c r="F3" s="11">
        <f t="shared" si="0"/>
        <v>45065</v>
      </c>
      <c r="G3" s="11">
        <f t="shared" si="0"/>
        <v>45066</v>
      </c>
      <c r="H3" s="12">
        <f t="shared" si="0"/>
        <v>45067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1</v>
      </c>
      <c r="L5" s="54">
        <f t="shared" ref="L5:L21" si="3">K5/$K$22</f>
        <v>1.5151515151515152E-2</v>
      </c>
      <c r="M5" s="58">
        <f>B3</f>
        <v>45061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 t="s">
        <v>34</v>
      </c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 t="s">
        <v>34</v>
      </c>
      <c r="F10" s="9"/>
      <c r="G10" s="9"/>
      <c r="H10" s="9"/>
      <c r="J10" s="25" t="s">
        <v>118</v>
      </c>
      <c r="K10" s="1">
        <f t="shared" si="2"/>
        <v>1</v>
      </c>
      <c r="L10" s="54">
        <f t="shared" si="3"/>
        <v>1.5151515151515152E-2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2</v>
      </c>
      <c r="L12" s="54">
        <f t="shared" si="3"/>
        <v>3.0303030303030304E-2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3</v>
      </c>
      <c r="L13" s="54">
        <f t="shared" si="3"/>
        <v>4.5454545454545456E-2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1</v>
      </c>
      <c r="L15" s="54">
        <f t="shared" si="3"/>
        <v>1.5151515151515152E-2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58</v>
      </c>
      <c r="L16" s="54">
        <f t="shared" si="3"/>
        <v>0.87878787878787878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 t="s">
        <v>12</v>
      </c>
      <c r="E22" s="9"/>
      <c r="F22" s="9"/>
      <c r="G22" s="9"/>
      <c r="H22" s="9"/>
      <c r="J22" s="7" t="s">
        <v>2</v>
      </c>
      <c r="K22" s="1">
        <f>SUM(K5:K21)</f>
        <v>66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 t="s">
        <v>15</v>
      </c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 t="s">
        <v>15</v>
      </c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 t="s">
        <v>15</v>
      </c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 t="s">
        <v>15</v>
      </c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 t="s">
        <v>15</v>
      </c>
      <c r="E34" s="9"/>
      <c r="F34" s="9"/>
      <c r="G34" s="9"/>
      <c r="H34" s="9"/>
    </row>
    <row r="35" spans="1:8" x14ac:dyDescent="0.25">
      <c r="A35" s="6" t="s">
        <v>57</v>
      </c>
      <c r="B35" s="9"/>
      <c r="C35" s="9" t="s">
        <v>15</v>
      </c>
      <c r="D35" s="9" t="s">
        <v>15</v>
      </c>
      <c r="E35" s="9"/>
      <c r="F35" s="9"/>
      <c r="G35" s="9"/>
      <c r="H35" s="9"/>
    </row>
    <row r="36" spans="1:8" x14ac:dyDescent="0.25">
      <c r="A36" s="6" t="s">
        <v>58</v>
      </c>
      <c r="B36" s="9" t="s">
        <v>15</v>
      </c>
      <c r="C36" s="9"/>
      <c r="D36" s="9"/>
      <c r="E36" s="9" t="s">
        <v>15</v>
      </c>
      <c r="F36" s="9"/>
      <c r="G36" s="9"/>
      <c r="H36" s="9"/>
    </row>
    <row r="37" spans="1:8" x14ac:dyDescent="0.25">
      <c r="A37" s="6" t="s">
        <v>59</v>
      </c>
      <c r="B37" s="9" t="s">
        <v>15</v>
      </c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 t="s">
        <v>15</v>
      </c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 t="s">
        <v>4</v>
      </c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 t="s">
        <v>118</v>
      </c>
      <c r="F48" s="9"/>
      <c r="G48" s="9" t="s">
        <v>12</v>
      </c>
      <c r="H48" s="9" t="s">
        <v>12</v>
      </c>
    </row>
    <row r="49" spans="1:8" x14ac:dyDescent="0.25">
      <c r="A49" s="6" t="s">
        <v>71</v>
      </c>
      <c r="B49" s="9"/>
      <c r="C49" s="9"/>
      <c r="D49" s="9"/>
      <c r="E49" s="9"/>
      <c r="F49" s="9"/>
      <c r="G49" s="9" t="s">
        <v>15</v>
      </c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 t="s">
        <v>15</v>
      </c>
    </row>
    <row r="51" spans="1:8" x14ac:dyDescent="0.25">
      <c r="A51" s="6" t="s">
        <v>73</v>
      </c>
      <c r="B51" s="9"/>
      <c r="C51" s="9"/>
      <c r="D51" s="9"/>
      <c r="E51" s="9"/>
      <c r="F51" s="9"/>
      <c r="G51" s="9" t="s">
        <v>15</v>
      </c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 t="s">
        <v>15</v>
      </c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 t="s">
        <v>15</v>
      </c>
      <c r="E54" s="9"/>
      <c r="F54" s="9"/>
      <c r="G54" s="9" t="s">
        <v>15</v>
      </c>
      <c r="H54" s="9"/>
    </row>
    <row r="55" spans="1:8" x14ac:dyDescent="0.25">
      <c r="A55" s="6" t="s">
        <v>77</v>
      </c>
      <c r="B55" s="9"/>
      <c r="C55" s="9"/>
      <c r="D55" s="9" t="s">
        <v>15</v>
      </c>
      <c r="E55" s="9"/>
      <c r="F55" s="9"/>
      <c r="G55" s="9" t="s">
        <v>15</v>
      </c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 t="s">
        <v>15</v>
      </c>
    </row>
    <row r="57" spans="1:8" x14ac:dyDescent="0.25">
      <c r="A57" s="6" t="s">
        <v>79</v>
      </c>
      <c r="B57" s="9"/>
      <c r="C57" s="9"/>
      <c r="D57" s="9"/>
      <c r="E57" s="9"/>
      <c r="F57" s="9"/>
      <c r="G57" s="9" t="s">
        <v>15</v>
      </c>
      <c r="H57" s="9"/>
    </row>
    <row r="58" spans="1:8" x14ac:dyDescent="0.25">
      <c r="A58" s="6" t="s">
        <v>80</v>
      </c>
      <c r="B58" s="9"/>
      <c r="C58" s="9"/>
      <c r="D58" s="9" t="s">
        <v>15</v>
      </c>
      <c r="E58" s="9"/>
      <c r="F58" s="9"/>
      <c r="G58" s="9"/>
      <c r="H58" s="9"/>
    </row>
    <row r="59" spans="1:8" x14ac:dyDescent="0.25">
      <c r="A59" s="6" t="s">
        <v>81</v>
      </c>
      <c r="B59" s="9" t="s">
        <v>15</v>
      </c>
      <c r="C59" s="9"/>
      <c r="D59" s="9"/>
      <c r="E59" s="9" t="s">
        <v>15</v>
      </c>
      <c r="F59" s="9"/>
      <c r="G59" s="9"/>
      <c r="H59" s="9" t="s">
        <v>15</v>
      </c>
    </row>
    <row r="60" spans="1:8" x14ac:dyDescent="0.25">
      <c r="A60" s="6" t="s">
        <v>82</v>
      </c>
      <c r="B60" s="9" t="s">
        <v>15</v>
      </c>
      <c r="C60" s="9"/>
      <c r="D60" s="9"/>
      <c r="E60" s="9" t="s">
        <v>15</v>
      </c>
      <c r="F60" s="9"/>
      <c r="G60" s="9"/>
      <c r="H60" s="9" t="s">
        <v>15</v>
      </c>
    </row>
    <row r="61" spans="1:8" x14ac:dyDescent="0.25">
      <c r="A61" s="6" t="s">
        <v>191</v>
      </c>
      <c r="B61" s="9"/>
      <c r="C61" s="9" t="s">
        <v>15</v>
      </c>
      <c r="D61" s="9"/>
      <c r="E61" s="9" t="s">
        <v>15</v>
      </c>
      <c r="F61" s="9"/>
      <c r="G61" s="9"/>
      <c r="H61" s="9" t="s">
        <v>15</v>
      </c>
    </row>
    <row r="62" spans="1:8" x14ac:dyDescent="0.25">
      <c r="A62" s="6" t="s">
        <v>192</v>
      </c>
      <c r="B62" s="9"/>
      <c r="C62" s="9" t="s">
        <v>15</v>
      </c>
      <c r="D62" s="9"/>
      <c r="E62" s="9" t="s">
        <v>15</v>
      </c>
      <c r="F62" s="9"/>
      <c r="G62" s="9"/>
      <c r="H62" s="9" t="s">
        <v>15</v>
      </c>
    </row>
    <row r="63" spans="1:8" x14ac:dyDescent="0.25">
      <c r="A63" s="6" t="s">
        <v>193</v>
      </c>
      <c r="B63" s="9"/>
      <c r="C63" s="9" t="s">
        <v>15</v>
      </c>
      <c r="D63" s="9"/>
      <c r="E63" s="9" t="s">
        <v>15</v>
      </c>
      <c r="F63" s="9"/>
      <c r="G63" s="9"/>
      <c r="H63" s="9" t="s">
        <v>15</v>
      </c>
    </row>
    <row r="64" spans="1:8" x14ac:dyDescent="0.25">
      <c r="A64" s="6" t="s">
        <v>194</v>
      </c>
      <c r="B64" s="9" t="s">
        <v>15</v>
      </c>
      <c r="C64" s="9"/>
      <c r="D64" s="9" t="s">
        <v>15</v>
      </c>
      <c r="E64" s="9"/>
      <c r="F64" s="9" t="s">
        <v>15</v>
      </c>
      <c r="G64" s="9"/>
      <c r="H64" s="9"/>
    </row>
    <row r="65" spans="1:8" x14ac:dyDescent="0.25">
      <c r="A65" s="6" t="s">
        <v>195</v>
      </c>
      <c r="B65" s="9"/>
      <c r="C65" s="9" t="s">
        <v>15</v>
      </c>
      <c r="D65" s="9"/>
      <c r="E65" s="9" t="s">
        <v>15</v>
      </c>
      <c r="F65" s="9"/>
      <c r="G65" s="9"/>
      <c r="H65" s="9" t="s">
        <v>15</v>
      </c>
    </row>
    <row r="66" spans="1:8" x14ac:dyDescent="0.25">
      <c r="A66" s="6" t="s">
        <v>196</v>
      </c>
      <c r="B66" s="9"/>
      <c r="C66" s="9" t="s">
        <v>15</v>
      </c>
      <c r="D66" s="9"/>
      <c r="E66" s="9" t="s">
        <v>15</v>
      </c>
      <c r="F66" s="9"/>
      <c r="G66" s="9"/>
      <c r="H66" s="9" t="s">
        <v>15</v>
      </c>
    </row>
    <row r="67" spans="1:8" x14ac:dyDescent="0.25">
      <c r="A67" s="6" t="s">
        <v>197</v>
      </c>
      <c r="B67" s="9"/>
      <c r="C67" s="9" t="s">
        <v>15</v>
      </c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 t="s">
        <v>15</v>
      </c>
      <c r="C70" s="9"/>
      <c r="D70" s="9" t="s">
        <v>15</v>
      </c>
      <c r="E70" s="9"/>
      <c r="F70" s="9" t="s">
        <v>15</v>
      </c>
      <c r="G70" s="9"/>
      <c r="H70" s="9"/>
    </row>
    <row r="71" spans="1:8" x14ac:dyDescent="0.25">
      <c r="A71" s="6" t="s">
        <v>201</v>
      </c>
      <c r="B71" s="9"/>
      <c r="C71" s="9"/>
      <c r="D71" s="9" t="s">
        <v>15</v>
      </c>
      <c r="E71" s="9"/>
      <c r="F71" s="9"/>
      <c r="G71" s="9"/>
      <c r="H71" s="9"/>
    </row>
    <row r="72" spans="1:8" x14ac:dyDescent="0.25">
      <c r="A72" s="6" t="s">
        <v>202</v>
      </c>
      <c r="B72" s="9" t="s">
        <v>15</v>
      </c>
      <c r="C72" s="9"/>
      <c r="D72" s="9" t="s">
        <v>15</v>
      </c>
      <c r="E72" s="9"/>
      <c r="F72" s="9" t="s">
        <v>15</v>
      </c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 t="s">
        <v>15</v>
      </c>
      <c r="C74" s="9"/>
      <c r="D74" s="9"/>
      <c r="E74" s="9"/>
      <c r="F74" s="9" t="s">
        <v>15</v>
      </c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 t="s">
        <v>15</v>
      </c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 t="s">
        <v>121</v>
      </c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 t="s">
        <v>15</v>
      </c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625" priority="7" operator="containsText" text="Pivô">
      <formula>NOT(ISERROR(SEARCH("Pivô",A1)))</formula>
    </cfRule>
    <cfRule type="containsText" dxfId="624" priority="8" operator="containsText" text="Pivô">
      <formula>NOT(ISERROR(SEARCH("Pivô",A1)))</formula>
    </cfRule>
  </conditionalFormatting>
  <conditionalFormatting sqref="B5:H109">
    <cfRule type="containsText" dxfId="622" priority="3" operator="containsText" text="Desponte">
      <formula>NOT(ISERROR(SEARCH("Desponte",B5)))</formula>
    </cfRule>
    <cfRule type="containsText" dxfId="605" priority="27" operator="containsText" text="Pulverização">
      <formula>NOT(ISERROR(SEARCH("Pulverização",B5)))</formula>
    </cfRule>
    <cfRule type="cellIs" dxfId="600" priority="26" operator="equal">
      <formula>$J$20</formula>
    </cfRule>
    <cfRule type="containsText" dxfId="599" priority="33" operator="containsText" text="Motorredutor">
      <formula>NOT(ISERROR(SEARCH("Motorredutor",B5)))</formula>
    </cfRule>
    <cfRule type="cellIs" dxfId="598" priority="28" operator="greaterThan">
      <formula>$J$5</formula>
    </cfRule>
    <cfRule type="containsText" dxfId="597" priority="29" operator="containsText" text="Cardã">
      <formula>NOT(ISERROR(SEARCH("Cardã",B5)))</formula>
    </cfRule>
    <cfRule type="containsText" dxfId="596" priority="30" operator="containsText" text="Pneu">
      <formula>NOT(ISERROR(SEARCH("Pneu",B5)))</formula>
    </cfRule>
    <cfRule type="containsText" dxfId="595" priority="31" operator="containsText" text="Vedação">
      <formula>NOT(ISERROR(SEARCH("Vedação",B5)))</formula>
    </cfRule>
    <cfRule type="containsText" dxfId="594" priority="32" operator="containsText" text="Retentor">
      <formula>NOT(ISERROR(SEARCH("Retentor",B5)))</formula>
    </cfRule>
    <cfRule type="containsText" dxfId="593" priority="34" operator="containsText" text="Redutor">
      <formula>NOT(ISERROR(SEARCH("Redutor",B5)))</formula>
    </cfRule>
    <cfRule type="containsText" dxfId="592" priority="35" operator="containsText" text="Bomba">
      <formula>NOT(ISERROR(SEARCH("Bomba",B5)))</formula>
    </cfRule>
  </conditionalFormatting>
  <conditionalFormatting sqref="B110:H111">
    <cfRule type="containsText" dxfId="582" priority="11" operator="containsText" text="Pulverização">
      <formula>NOT(ISERROR(SEARCH("Pulverização",B110)))</formula>
    </cfRule>
    <cfRule type="cellIs" dxfId="581" priority="12" operator="greaterThan">
      <formula>$J$5</formula>
    </cfRule>
    <cfRule type="containsText" dxfId="580" priority="13" operator="containsText" text="Cardã">
      <formula>NOT(ISERROR(SEARCH("Cardã",B110)))</formula>
    </cfRule>
    <cfRule type="containsText" dxfId="579" priority="14" operator="containsText" text="Pneu">
      <formula>NOT(ISERROR(SEARCH("Pneu",B110)))</formula>
    </cfRule>
    <cfRule type="containsText" dxfId="578" priority="15" operator="containsText" text="Vedação">
      <formula>NOT(ISERROR(SEARCH("Vedação",B110)))</formula>
    </cfRule>
    <cfRule type="containsText" dxfId="577" priority="16" operator="containsText" text="Retentor">
      <formula>NOT(ISERROR(SEARCH("Retentor",B110)))</formula>
    </cfRule>
    <cfRule type="containsText" dxfId="576" priority="17" operator="containsText" text="Motorredutor">
      <formula>NOT(ISERROR(SEARCH("Motorredutor",B110)))</formula>
    </cfRule>
    <cfRule type="containsText" dxfId="575" priority="18" operator="containsText" text="Redutor">
      <formula>NOT(ISERROR(SEARCH("Redutor",B110)))</formula>
    </cfRule>
    <cfRule type="containsText" dxfId="574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B2AC765E-FD0E-4362-AB49-B5B79F711BC9}">
      <formula1>$J$5:$J$11</formula1>
    </dataValidation>
    <dataValidation type="list" allowBlank="1" showInputMessage="1" showErrorMessage="1" sqref="B5:H109" xr:uid="{4101D5F1-A6D9-444E-BE87-2AA2767EF960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9E424A6-1AA0-4DF2-B268-585D7D667CD5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65C1F1DE-218E-47BD-BC55-B64DBB5ECDE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4F1D60D4-5232-4422-8761-8AEBC735A20C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FC3203E8-DDCC-4FF8-A2E0-F6AE7C4C7BF9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4713BA81-033A-447A-B486-04D31F1D30A8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A2BEBC7A-E75E-422D-BE6C-E88C3B4DDEA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E4680866-3AA1-46E6-9360-9C1B4BA1722B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11CC1357-41C9-45C0-8FC4-D4E7D23F946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987C2CEA-E85C-4B27-A040-CBC52BAE39A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FBC387CC-B44E-46DC-973C-5A1F0F57B52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46AFC900-C2BD-46D8-A49E-1885E3E2E5A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E22424E1-D320-4D93-AC5C-1AA6EF57454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8E1BE6F5-A436-4DA7-920C-E8779679B8E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558BC22F-AA60-4D01-9391-D0BC954F768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3CB82803-8224-433E-8C04-512F9E9E8555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6D9F3C0D-D840-42EF-A2C6-B0F00D4BC48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CB490EC9-8F6A-47D7-A542-8859F7A1487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D1E8EEC7-E1F5-48FB-A961-8D35F2FD6EA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97D8AED4-DDCA-4197-8B31-ECBA4907757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DEFB2D3B-96B1-4656-B754-C04426D429C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C50F1FFB-5843-4287-B89A-BCD449C594E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3D5A5294-BE7A-4DC2-A501-7E01688B0E83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36699B0D-35FF-4225-BDDC-13F97ECEE28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B6CF30DD-75BA-4FEE-9130-B3E406ECBCA3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63460BFF-3646-4941-8D8F-2FD86A85FD0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FCC05721-EE10-4CEE-AE98-75FC776F53FB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30C0CD78-1ECC-4249-B0B9-C34822A2C52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02E0AB94-5FD1-4451-9058-2DD7CC4BEE48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3FD063F6-D22F-4973-83E6-0CAF59EDFDE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AC3B1CEF-A9BB-403E-AC3A-39F9CAB0AA9E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1091-49C1-47F5-BFCC-DB4D0BC31017}">
  <sheetPr>
    <tabColor rgb="FF92D050"/>
    <pageSetUpPr fitToPage="1"/>
  </sheetPr>
  <dimension ref="A1:P109"/>
  <sheetViews>
    <sheetView showGridLines="0" zoomScaleNormal="100" workbookViewId="0">
      <pane xSplit="1" ySplit="4" topLeftCell="M27" activePane="bottomRight" state="frozen"/>
      <selection pane="topRight" activeCell="B1" sqref="B1"/>
      <selection pane="bottomLeft" activeCell="A5" sqref="A5"/>
      <selection pane="bottomRight" activeCell="M27" sqref="M27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45068</v>
      </c>
      <c r="C3" s="11">
        <f t="shared" ref="C3:H3" si="0">B3+1</f>
        <v>45069</v>
      </c>
      <c r="D3" s="11">
        <f t="shared" si="0"/>
        <v>45070</v>
      </c>
      <c r="E3" s="11">
        <f t="shared" si="0"/>
        <v>45071</v>
      </c>
      <c r="F3" s="11">
        <f t="shared" si="0"/>
        <v>45072</v>
      </c>
      <c r="G3" s="11">
        <f t="shared" si="0"/>
        <v>45073</v>
      </c>
      <c r="H3" s="12">
        <f t="shared" si="0"/>
        <v>45074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1</v>
      </c>
      <c r="L5" s="54">
        <f t="shared" ref="L5:L21" si="3">K5/$K$22</f>
        <v>3.8461538461538464E-2</v>
      </c>
      <c r="M5" s="58">
        <f>B3</f>
        <v>45068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 t="s">
        <v>4</v>
      </c>
      <c r="G10" s="9"/>
      <c r="H10" s="9"/>
      <c r="J10" s="25" t="s">
        <v>118</v>
      </c>
      <c r="K10" s="1">
        <f t="shared" si="2"/>
        <v>1</v>
      </c>
      <c r="L10" s="54">
        <f t="shared" si="3"/>
        <v>3.8461538461538464E-2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2</v>
      </c>
      <c r="L13" s="54">
        <f t="shared" si="3"/>
        <v>7.6923076923076927E-2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1</v>
      </c>
      <c r="L14" s="54">
        <f t="shared" si="3"/>
        <v>3.8461538461538464E-2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19</v>
      </c>
      <c r="L16" s="54">
        <f t="shared" si="3"/>
        <v>0.73076923076923073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1</v>
      </c>
      <c r="L17" s="54">
        <f t="shared" si="3"/>
        <v>3.8461538461538464E-2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1</v>
      </c>
      <c r="L21" s="54">
        <f t="shared" si="3"/>
        <v>3.8461538461538464E-2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26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 t="s">
        <v>15</v>
      </c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 t="s">
        <v>15</v>
      </c>
      <c r="E36" s="9"/>
      <c r="F36" s="9"/>
      <c r="G36" s="9"/>
      <c r="H36" s="9"/>
    </row>
    <row r="37" spans="1:8" x14ac:dyDescent="0.25">
      <c r="A37" s="6" t="s">
        <v>59</v>
      </c>
      <c r="B37" s="9"/>
      <c r="C37" s="9" t="s">
        <v>15</v>
      </c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 t="s">
        <v>15</v>
      </c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 t="s">
        <v>12</v>
      </c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 t="s">
        <v>118</v>
      </c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 t="s">
        <v>173</v>
      </c>
      <c r="G56" s="9"/>
      <c r="H56" s="9"/>
    </row>
    <row r="57" spans="1:8" x14ac:dyDescent="0.25">
      <c r="A57" s="6" t="s">
        <v>79</v>
      </c>
      <c r="B57" s="9"/>
      <c r="C57" s="9" t="s">
        <v>15</v>
      </c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 t="s">
        <v>15</v>
      </c>
      <c r="D58" s="9"/>
      <c r="E58" s="9"/>
      <c r="F58" s="9"/>
      <c r="G58" s="9"/>
      <c r="H58" s="9" t="s">
        <v>15</v>
      </c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 t="s">
        <v>15</v>
      </c>
      <c r="D61" s="9"/>
      <c r="E61" s="9" t="s">
        <v>15</v>
      </c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 t="s">
        <v>15</v>
      </c>
      <c r="D63" s="9"/>
      <c r="E63" s="9" t="s">
        <v>15</v>
      </c>
      <c r="F63" s="9"/>
      <c r="G63" s="9"/>
      <c r="H63" s="9"/>
    </row>
    <row r="64" spans="1:8" x14ac:dyDescent="0.25">
      <c r="A64" s="6" t="s">
        <v>194</v>
      </c>
      <c r="B64" s="9" t="s">
        <v>15</v>
      </c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 t="s">
        <v>15</v>
      </c>
      <c r="D65" s="9"/>
      <c r="E65" s="9" t="s">
        <v>15</v>
      </c>
      <c r="F65" s="9"/>
      <c r="G65" s="9"/>
      <c r="H65" s="9"/>
    </row>
    <row r="66" spans="1:8" x14ac:dyDescent="0.25">
      <c r="A66" s="6" t="s">
        <v>196</v>
      </c>
      <c r="B66" s="9"/>
      <c r="C66" s="9" t="s">
        <v>15</v>
      </c>
      <c r="D66" s="9"/>
      <c r="E66" s="9" t="s">
        <v>15</v>
      </c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 t="s">
        <v>15</v>
      </c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 t="s">
        <v>15</v>
      </c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 t="s">
        <v>15</v>
      </c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 t="s">
        <v>12</v>
      </c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 t="s">
        <v>13</v>
      </c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 t="s">
        <v>16</v>
      </c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573" priority="7" operator="containsText" text="Pivô">
      <formula>NOT(ISERROR(SEARCH("Pivô",A1)))</formula>
    </cfRule>
    <cfRule type="containsText" dxfId="572" priority="8" operator="containsText" text="Pivô">
      <formula>NOT(ISERROR(SEARCH("Pivô",A1)))</formula>
    </cfRule>
  </conditionalFormatting>
  <conditionalFormatting sqref="B5:H109">
    <cfRule type="containsText" dxfId="570" priority="3" operator="containsText" text="Desponte">
      <formula>NOT(ISERROR(SEARCH("Desponte",B5)))</formula>
    </cfRule>
    <cfRule type="containsText" dxfId="553" priority="27" operator="containsText" text="Pulverização">
      <formula>NOT(ISERROR(SEARCH("Pulverização",B5)))</formula>
    </cfRule>
    <cfRule type="cellIs" dxfId="548" priority="26" operator="equal">
      <formula>$J$20</formula>
    </cfRule>
    <cfRule type="containsText" dxfId="547" priority="33" operator="containsText" text="Motorredutor">
      <formula>NOT(ISERROR(SEARCH("Motorredutor",B5)))</formula>
    </cfRule>
    <cfRule type="cellIs" dxfId="546" priority="28" operator="greaterThan">
      <formula>$J$5</formula>
    </cfRule>
    <cfRule type="containsText" dxfId="545" priority="29" operator="containsText" text="Cardã">
      <formula>NOT(ISERROR(SEARCH("Cardã",B5)))</formula>
    </cfRule>
    <cfRule type="containsText" dxfId="544" priority="30" operator="containsText" text="Pneu">
      <formula>NOT(ISERROR(SEARCH("Pneu",B5)))</formula>
    </cfRule>
    <cfRule type="containsText" dxfId="543" priority="31" operator="containsText" text="Vedação">
      <formula>NOT(ISERROR(SEARCH("Vedação",B5)))</formula>
    </cfRule>
    <cfRule type="containsText" dxfId="542" priority="32" operator="containsText" text="Retentor">
      <formula>NOT(ISERROR(SEARCH("Retentor",B5)))</formula>
    </cfRule>
    <cfRule type="containsText" dxfId="541" priority="34" operator="containsText" text="Redutor">
      <formula>NOT(ISERROR(SEARCH("Redutor",B5)))</formula>
    </cfRule>
    <cfRule type="containsText" dxfId="540" priority="35" operator="containsText" text="Bomba">
      <formula>NOT(ISERROR(SEARCH("Bomba",B5)))</formula>
    </cfRule>
  </conditionalFormatting>
  <conditionalFormatting sqref="B110:H111">
    <cfRule type="containsText" dxfId="530" priority="11" operator="containsText" text="Pulverização">
      <formula>NOT(ISERROR(SEARCH("Pulverização",B110)))</formula>
    </cfRule>
    <cfRule type="cellIs" dxfId="529" priority="12" operator="greaterThan">
      <formula>$J$5</formula>
    </cfRule>
    <cfRule type="containsText" dxfId="528" priority="13" operator="containsText" text="Cardã">
      <formula>NOT(ISERROR(SEARCH("Cardã",B110)))</formula>
    </cfRule>
    <cfRule type="containsText" dxfId="527" priority="14" operator="containsText" text="Pneu">
      <formula>NOT(ISERROR(SEARCH("Pneu",B110)))</formula>
    </cfRule>
    <cfRule type="containsText" dxfId="526" priority="15" operator="containsText" text="Vedação">
      <formula>NOT(ISERROR(SEARCH("Vedação",B110)))</formula>
    </cfRule>
    <cfRule type="containsText" dxfId="525" priority="16" operator="containsText" text="Retentor">
      <formula>NOT(ISERROR(SEARCH("Retentor",B110)))</formula>
    </cfRule>
    <cfRule type="containsText" dxfId="524" priority="17" operator="containsText" text="Motorredutor">
      <formula>NOT(ISERROR(SEARCH("Motorredutor",B110)))</formula>
    </cfRule>
    <cfRule type="containsText" dxfId="523" priority="18" operator="containsText" text="Redutor">
      <formula>NOT(ISERROR(SEARCH("Redutor",B110)))</formula>
    </cfRule>
    <cfRule type="containsText" dxfId="522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82775D0E-8113-420E-B0DB-D7927C3A235C}">
      <formula1>$J$5:$J$11</formula1>
    </dataValidation>
    <dataValidation type="list" allowBlank="1" showInputMessage="1" showErrorMessage="1" sqref="B5:H109" xr:uid="{051ABB03-C028-46C8-B513-C5E21CEBE04B}">
      <formula1>$J$5:$J$21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F414ACF-C262-4AF6-97A9-13C389750D80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E0EE474A-4B41-41F0-9DEE-6CDE6E78FD90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6A6AD846-BBCA-48ED-BB1B-FFD14D22A9CA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5D4C64BF-CFDE-49E9-876F-BA1E024DE087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1FD285E1-DEC9-4C72-A992-FD333756D575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20FB4639-BEF3-4927-BDA9-7863318D2A1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69E70736-CDC3-4D4D-8658-027824E4F16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6457857B-7B64-4D43-B2A5-43E83FF4D06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A441A862-8348-4055-94D3-D8CF24C054A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EED65500-D37E-4897-B281-D563AFFCA03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17E09936-D405-42E8-A38C-15A42705D96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624D1763-03AD-430E-9ADF-2D49F916158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397A39A7-3FE9-46B0-BA4A-D35428F20B69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FDA4EDC3-38AB-4690-B081-35C86B358EC6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FCD8678F-E0C4-4BB2-AFF6-002E7013F33E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97304AE4-10CD-42BB-8CCB-04AF169F14D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0EDA3F2C-DA06-4457-84A2-74BA6E6F295C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CAC9FB7D-2317-4047-8429-2EF2B9F7C73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28A1715A-F50C-4BE4-A0C3-31FCA882D33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2121A1A4-186F-4EBF-9288-1F215A2E71A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38EEE7E2-5265-4E10-BD30-D596CD3DD50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24F4AD68-5516-4D4F-A314-4C03F08A8AD5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B05C73A0-49FD-4F66-8FFE-09A57759EFB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87F22BBD-D7C4-4090-97A9-E4956A6A9D78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D4235AB6-3F77-4A61-A28C-EEBD924A817A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BC0ED363-2644-4C84-8C46-22532AD87867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2B63CE1C-CB87-4F97-9150-80107B8C2FA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E9FDA8E9-640A-49D6-B006-0055E3A1C9C2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3CD93A42-AA36-4CBB-AEA6-89166D9AEA3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EC726445-65A0-46BB-987E-A43626F1533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245A-D20B-4679-A3D8-BED40F885C21}">
  <sheetPr>
    <tabColor rgb="FF92D050"/>
    <pageSetUpPr fitToPage="1"/>
  </sheetPr>
  <dimension ref="A1:P109"/>
  <sheetViews>
    <sheetView showGridLines="0" zoomScaleNormal="100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J5" sqref="J5:L21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45075</v>
      </c>
      <c r="C3" s="11">
        <f t="shared" ref="C3:H3" si="0">B3+1</f>
        <v>45076</v>
      </c>
      <c r="D3" s="11">
        <f t="shared" si="0"/>
        <v>45077</v>
      </c>
      <c r="E3" s="11">
        <f t="shared" si="0"/>
        <v>45078</v>
      </c>
      <c r="F3" s="11">
        <f t="shared" si="0"/>
        <v>45079</v>
      </c>
      <c r="G3" s="11">
        <f t="shared" si="0"/>
        <v>45080</v>
      </c>
      <c r="H3" s="12">
        <f t="shared" si="0"/>
        <v>45081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21" si="2">COUNTIF($B$5:$H$109,J5)</f>
        <v>0</v>
      </c>
      <c r="L5" s="54">
        <f t="shared" ref="L5:L21" si="3">K5/$K$22</f>
        <v>0</v>
      </c>
      <c r="M5" s="58">
        <f>B3</f>
        <v>45075</v>
      </c>
    </row>
    <row r="6" spans="1:16" x14ac:dyDescent="0.25">
      <c r="A6" s="6" t="s">
        <v>25</v>
      </c>
      <c r="B6" s="9" t="s">
        <v>16</v>
      </c>
      <c r="C6" s="9"/>
      <c r="D6" s="9"/>
      <c r="E6" s="9"/>
      <c r="F6" s="9"/>
      <c r="G6" s="9"/>
      <c r="H6" s="9"/>
      <c r="J6" s="21" t="s">
        <v>5</v>
      </c>
      <c r="K6" s="1">
        <f t="shared" si="2"/>
        <v>1</v>
      </c>
      <c r="L6" s="54">
        <f t="shared" si="3"/>
        <v>0.14285714285714285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1</v>
      </c>
      <c r="L8" s="54">
        <f t="shared" si="3"/>
        <v>0.14285714285714285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 t="s">
        <v>5</v>
      </c>
      <c r="E11" s="9"/>
      <c r="F11" s="9" t="s">
        <v>34</v>
      </c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2</v>
      </c>
      <c r="L12" s="54">
        <f t="shared" si="3"/>
        <v>0.2857142857142857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 t="s">
        <v>173</v>
      </c>
      <c r="D16" s="9"/>
      <c r="E16" s="9"/>
      <c r="F16" s="9"/>
      <c r="G16" s="9"/>
      <c r="H16" s="9"/>
      <c r="J16" s="53" t="s">
        <v>15</v>
      </c>
      <c r="K16" s="1">
        <f t="shared" si="2"/>
        <v>1</v>
      </c>
      <c r="L16" s="54">
        <f t="shared" si="3"/>
        <v>0.14285714285714285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1</v>
      </c>
      <c r="L17" s="54">
        <f t="shared" si="3"/>
        <v>0.14285714285714285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 t="shared" si="2"/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s="64" t="s">
        <v>173</v>
      </c>
      <c r="K21" s="1">
        <f t="shared" si="2"/>
        <v>1</v>
      </c>
      <c r="L21" s="54">
        <f t="shared" si="3"/>
        <v>0.14285714285714285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7" t="s">
        <v>2</v>
      </c>
      <c r="K22" s="1">
        <f>SUM(K5:K21)</f>
        <v>7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/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 t="s">
        <v>15</v>
      </c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 t="s">
        <v>34</v>
      </c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 t="s">
        <v>7</v>
      </c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521" priority="7" operator="containsText" text="Pivô">
      <formula>NOT(ISERROR(SEARCH("Pivô",A1)))</formula>
    </cfRule>
    <cfRule type="containsText" dxfId="520" priority="8" operator="containsText" text="Pivô">
      <formula>NOT(ISERROR(SEARCH("Pivô",A1)))</formula>
    </cfRule>
  </conditionalFormatting>
  <conditionalFormatting sqref="B5:H109">
    <cfRule type="containsText" dxfId="518" priority="3" operator="containsText" text="Desponte">
      <formula>NOT(ISERROR(SEARCH("Desponte",B5)))</formula>
    </cfRule>
    <cfRule type="containsText" dxfId="501" priority="27" operator="containsText" text="Pulverização">
      <formula>NOT(ISERROR(SEARCH("Pulverização",B5)))</formula>
    </cfRule>
    <cfRule type="cellIs" dxfId="496" priority="26" operator="equal">
      <formula>$J$20</formula>
    </cfRule>
    <cfRule type="containsText" dxfId="495" priority="33" operator="containsText" text="Motorredutor">
      <formula>NOT(ISERROR(SEARCH("Motorredutor",B5)))</formula>
    </cfRule>
    <cfRule type="cellIs" dxfId="494" priority="28" operator="greaterThan">
      <formula>$J$5</formula>
    </cfRule>
    <cfRule type="containsText" dxfId="493" priority="29" operator="containsText" text="Cardã">
      <formula>NOT(ISERROR(SEARCH("Cardã",B5)))</formula>
    </cfRule>
    <cfRule type="containsText" dxfId="492" priority="30" operator="containsText" text="Pneu">
      <formula>NOT(ISERROR(SEARCH("Pneu",B5)))</formula>
    </cfRule>
    <cfRule type="containsText" dxfId="491" priority="31" operator="containsText" text="Vedação">
      <formula>NOT(ISERROR(SEARCH("Vedação",B5)))</formula>
    </cfRule>
    <cfRule type="containsText" dxfId="490" priority="32" operator="containsText" text="Retentor">
      <formula>NOT(ISERROR(SEARCH("Retentor",B5)))</formula>
    </cfRule>
    <cfRule type="containsText" dxfId="489" priority="34" operator="containsText" text="Redutor">
      <formula>NOT(ISERROR(SEARCH("Redutor",B5)))</formula>
    </cfRule>
    <cfRule type="containsText" dxfId="488" priority="35" operator="containsText" text="Bomba">
      <formula>NOT(ISERROR(SEARCH("Bomba",B5)))</formula>
    </cfRule>
  </conditionalFormatting>
  <conditionalFormatting sqref="B110:H111">
    <cfRule type="containsText" dxfId="478" priority="11" operator="containsText" text="Pulverização">
      <formula>NOT(ISERROR(SEARCH("Pulverização",B110)))</formula>
    </cfRule>
    <cfRule type="cellIs" dxfId="477" priority="12" operator="greaterThan">
      <formula>$J$5</formula>
    </cfRule>
    <cfRule type="containsText" dxfId="476" priority="13" operator="containsText" text="Cardã">
      <formula>NOT(ISERROR(SEARCH("Cardã",B110)))</formula>
    </cfRule>
    <cfRule type="containsText" dxfId="475" priority="14" operator="containsText" text="Pneu">
      <formula>NOT(ISERROR(SEARCH("Pneu",B110)))</formula>
    </cfRule>
    <cfRule type="containsText" dxfId="474" priority="15" operator="containsText" text="Vedação">
      <formula>NOT(ISERROR(SEARCH("Vedação",B110)))</formula>
    </cfRule>
    <cfRule type="containsText" dxfId="473" priority="16" operator="containsText" text="Retentor">
      <formula>NOT(ISERROR(SEARCH("Retentor",B110)))</formula>
    </cfRule>
    <cfRule type="containsText" dxfId="472" priority="17" operator="containsText" text="Motorredutor">
      <formula>NOT(ISERROR(SEARCH("Motorredutor",B110)))</formula>
    </cfRule>
    <cfRule type="containsText" dxfId="471" priority="18" operator="containsText" text="Redutor">
      <formula>NOT(ISERROR(SEARCH("Redutor",B110)))</formula>
    </cfRule>
    <cfRule type="containsText" dxfId="470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5:H109" xr:uid="{9BD5974A-59AD-49F5-967F-03BAC4DC2462}">
      <formula1>$J$5:$J$21</formula1>
    </dataValidation>
    <dataValidation type="list" allowBlank="1" showInputMessage="1" showErrorMessage="1" sqref="B110:H111" xr:uid="{D2F56D1A-40C1-415E-8688-E8BF111FCA9E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ignoredErrors>
    <ignoredError sqref="L9" evalError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A6DF0D8-A55C-49A2-ABB8-4AD0811A7CE0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C3094447-CBDF-456D-A634-2FBC12E3EE40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F48A01F2-E815-423B-8B08-57ABE6AE57B2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1D2CDC92-7B8E-4E5B-BE30-90FCF24571E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EEDB4D06-5D58-4BB6-83BD-4B5DA3921854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A16A62EF-1323-4A35-9D78-82B81D26AE69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8" operator="containsText" id="{BEDBB63D-8495-4B18-8394-F48166B35DF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0D86D28A-A573-4BEC-9A4C-178782A653A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B7764D55-93AF-4A39-850E-632B3C45650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75E8767B-FD45-4804-B948-9D63446C411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65A1AEEB-AF6B-4768-8678-1BCE7F8FD4AB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ED12924F-3694-4637-BBBA-6054233ED8B3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D772C121-9286-4CE9-8646-22EDD2BBF238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6242AFFA-77C7-49FA-ADDD-9C3EFD917891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AC15BCD0-048F-474B-B22E-6AFA6467DB22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4D857019-8601-4F17-B014-0D0B348A403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6876B969-1C79-4251-AA71-71ED3944EACD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BC1C5D26-A140-4579-A05E-75A485E75837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C6315F65-E4FA-43DA-9178-E17909A7FFF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BB246FF0-6A93-4FE6-95A5-68C7E8C9D9A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15A58877-3DC8-4229-BB46-CC4263A2F75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36" operator="containsText" id="{0478B117-7F4E-4EA9-9CAF-34855B58B663}">
            <xm:f>NOT(ISERROR(SEARCH($J$21,B5)))</xm:f>
            <xm:f>$J$21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CF873490-1078-484D-872D-4DA85E47A30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6645F414-01AF-449C-A6EB-93B571D15AA9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893A1E39-024D-46F2-8B5F-ED9533443E8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E94C242D-A7BD-403A-9043-F4D75D98AC84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9076C234-A124-412E-9EE8-A7E2374AD6F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F2C46252-0A25-4BF8-96D0-4901C55743DA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88D50709-E3A8-4524-B0C8-D7B2B772A98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0612CFF2-8335-4B15-BD0D-7045CA26684E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A933-D984-404A-8D27-6DBA161DB281}">
  <sheetPr>
    <tabColor rgb="FF92D050"/>
    <pageSetUpPr fitToPage="1"/>
  </sheetPr>
  <dimension ref="A1:P10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32" sqref="E32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45082</v>
      </c>
      <c r="C3" s="11">
        <f t="shared" ref="C3:H3" si="0">B3+1</f>
        <v>45083</v>
      </c>
      <c r="D3" s="11">
        <f t="shared" si="0"/>
        <v>45084</v>
      </c>
      <c r="E3" s="11">
        <f t="shared" si="0"/>
        <v>45085</v>
      </c>
      <c r="F3" s="11">
        <f t="shared" si="0"/>
        <v>45086</v>
      </c>
      <c r="G3" s="11">
        <f t="shared" si="0"/>
        <v>45087</v>
      </c>
      <c r="H3" s="12">
        <f t="shared" si="0"/>
        <v>45088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19" si="2">COUNTIF($B$5:$H$109,J5)</f>
        <v>3</v>
      </c>
      <c r="L5" s="54">
        <f t="shared" ref="L5:L20" si="3">K5/$K$23</f>
        <v>0.25</v>
      </c>
      <c r="M5" s="58">
        <f>B3</f>
        <v>45082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1</v>
      </c>
      <c r="L6" s="54">
        <f t="shared" si="3"/>
        <v>8.3333333333333329E-2</v>
      </c>
    </row>
    <row r="7" spans="1:16" x14ac:dyDescent="0.25">
      <c r="A7" s="6" t="s">
        <v>26</v>
      </c>
      <c r="B7" s="9"/>
      <c r="C7" s="9"/>
      <c r="D7" s="9"/>
      <c r="E7" s="9" t="s">
        <v>13</v>
      </c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1</v>
      </c>
      <c r="L10" s="54">
        <f t="shared" si="3"/>
        <v>8.3333333333333329E-2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1</v>
      </c>
      <c r="L12" s="54">
        <f t="shared" si="3"/>
        <v>8.3333333333333329E-2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1</v>
      </c>
      <c r="L13" s="54">
        <f t="shared" si="3"/>
        <v>8.3333333333333329E-2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1</v>
      </c>
      <c r="L14" s="54">
        <f t="shared" si="3"/>
        <v>8.3333333333333329E-2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2</v>
      </c>
      <c r="L15" s="54">
        <f t="shared" si="3"/>
        <v>0.16666666666666666</v>
      </c>
    </row>
    <row r="16" spans="1:16" x14ac:dyDescent="0.25">
      <c r="A16" s="6" t="s">
        <v>38</v>
      </c>
      <c r="B16" s="9"/>
      <c r="C16" s="9"/>
      <c r="D16" s="9" t="s">
        <v>121</v>
      </c>
      <c r="E16" s="9"/>
      <c r="F16" s="9"/>
      <c r="G16" s="9"/>
      <c r="H16" s="9"/>
      <c r="J16" s="53" t="s">
        <v>15</v>
      </c>
      <c r="K16" s="1">
        <f t="shared" si="2"/>
        <v>0</v>
      </c>
      <c r="L16" s="54">
        <f t="shared" si="3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1</v>
      </c>
      <c r="L17" s="54">
        <f t="shared" si="3"/>
        <v>8.3333333333333329E-2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COUNTIF($B$5:$H$109,J20)</f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t="s">
        <v>216</v>
      </c>
      <c r="K21" s="1">
        <f>COUNTIF($B$5:$H$109,J21)</f>
        <v>1</v>
      </c>
      <c r="L21" s="54">
        <f t="shared" ref="L21:L23" si="4">K21/$K$23</f>
        <v>8.3333333333333329E-2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64" t="s">
        <v>173</v>
      </c>
      <c r="K22" s="1">
        <f>COUNTIF($B$5:$H$109,J22)</f>
        <v>0</v>
      </c>
      <c r="L22" s="54">
        <f t="shared" si="4"/>
        <v>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 t="s">
        <v>2</v>
      </c>
      <c r="K23" s="1">
        <f>SUM(K5:K22)</f>
        <v>12</v>
      </c>
      <c r="L23" s="54">
        <f t="shared" si="4"/>
        <v>1</v>
      </c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 t="s">
        <v>118</v>
      </c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 t="s">
        <v>12</v>
      </c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 t="s">
        <v>4</v>
      </c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 t="s">
        <v>34</v>
      </c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 t="s">
        <v>16</v>
      </c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 t="s">
        <v>121</v>
      </c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 t="s">
        <v>4</v>
      </c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 t="s">
        <v>4</v>
      </c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 t="s">
        <v>216</v>
      </c>
      <c r="H104" s="9"/>
    </row>
    <row r="105" spans="1:8" x14ac:dyDescent="0.25">
      <c r="A105" s="6" t="s">
        <v>111</v>
      </c>
      <c r="B105" s="9" t="s">
        <v>5</v>
      </c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115</v>
      </c>
      <c r="B109" s="9"/>
      <c r="C109" s="9"/>
      <c r="D109" s="9"/>
      <c r="E109" s="9"/>
      <c r="F109" s="9"/>
      <c r="G109" s="9"/>
      <c r="H109" s="9"/>
    </row>
  </sheetData>
  <mergeCells count="1">
    <mergeCell ref="A1:H2"/>
  </mergeCells>
  <conditionalFormatting sqref="A1:A1048576">
    <cfRule type="containsText" dxfId="469" priority="7" operator="containsText" text="Pivô">
      <formula>NOT(ISERROR(SEARCH("Pivô",A1)))</formula>
    </cfRule>
    <cfRule type="containsText" dxfId="468" priority="8" operator="containsText" text="Pivô">
      <formula>NOT(ISERROR(SEARCH("Pivô",A1)))</formula>
    </cfRule>
  </conditionalFormatting>
  <conditionalFormatting sqref="B5:H109">
    <cfRule type="containsText" dxfId="466" priority="3" operator="containsText" text="Desponte">
      <formula>NOT(ISERROR(SEARCH("Desponte",B5)))</formula>
    </cfRule>
    <cfRule type="containsText" dxfId="449" priority="27" operator="containsText" text="Pulverização">
      <formula>NOT(ISERROR(SEARCH("Pulverização",B5)))</formula>
    </cfRule>
    <cfRule type="cellIs" dxfId="444" priority="26" operator="equal">
      <formula>$J$20</formula>
    </cfRule>
    <cfRule type="containsText" dxfId="443" priority="33" operator="containsText" text="Motorredutor">
      <formula>NOT(ISERROR(SEARCH("Motorredutor",B5)))</formula>
    </cfRule>
    <cfRule type="cellIs" dxfId="442" priority="28" operator="greaterThan">
      <formula>$J$5</formula>
    </cfRule>
    <cfRule type="containsText" dxfId="441" priority="29" operator="containsText" text="Cardã">
      <formula>NOT(ISERROR(SEARCH("Cardã",B5)))</formula>
    </cfRule>
    <cfRule type="containsText" dxfId="440" priority="30" operator="containsText" text="Pneu">
      <formula>NOT(ISERROR(SEARCH("Pneu",B5)))</formula>
    </cfRule>
    <cfRule type="containsText" dxfId="439" priority="31" operator="containsText" text="Vedação">
      <formula>NOT(ISERROR(SEARCH("Vedação",B5)))</formula>
    </cfRule>
    <cfRule type="containsText" dxfId="438" priority="32" operator="containsText" text="Retentor">
      <formula>NOT(ISERROR(SEARCH("Retentor",B5)))</formula>
    </cfRule>
    <cfRule type="containsText" dxfId="437" priority="34" operator="containsText" text="Redutor">
      <formula>NOT(ISERROR(SEARCH("Redutor",B5)))</formula>
    </cfRule>
    <cfRule type="containsText" dxfId="436" priority="35" operator="containsText" text="Bomba">
      <formula>NOT(ISERROR(SEARCH("Bomba",B5)))</formula>
    </cfRule>
  </conditionalFormatting>
  <conditionalFormatting sqref="B110:H111">
    <cfRule type="containsText" dxfId="426" priority="11" operator="containsText" text="Pulverização">
      <formula>NOT(ISERROR(SEARCH("Pulverização",B110)))</formula>
    </cfRule>
    <cfRule type="cellIs" dxfId="425" priority="12" operator="greaterThan">
      <formula>$J$5</formula>
    </cfRule>
    <cfRule type="containsText" dxfId="424" priority="13" operator="containsText" text="Cardã">
      <formula>NOT(ISERROR(SEARCH("Cardã",B110)))</formula>
    </cfRule>
    <cfRule type="containsText" dxfId="423" priority="14" operator="containsText" text="Pneu">
      <formula>NOT(ISERROR(SEARCH("Pneu",B110)))</formula>
    </cfRule>
    <cfRule type="containsText" dxfId="422" priority="15" operator="containsText" text="Vedação">
      <formula>NOT(ISERROR(SEARCH("Vedação",B110)))</formula>
    </cfRule>
    <cfRule type="containsText" dxfId="421" priority="16" operator="containsText" text="Retentor">
      <formula>NOT(ISERROR(SEARCH("Retentor",B110)))</formula>
    </cfRule>
    <cfRule type="containsText" dxfId="420" priority="17" operator="containsText" text="Motorredutor">
      <formula>NOT(ISERROR(SEARCH("Motorredutor",B110)))</formula>
    </cfRule>
    <cfRule type="containsText" dxfId="419" priority="18" operator="containsText" text="Redutor">
      <formula>NOT(ISERROR(SEARCH("Redutor",B110)))</formula>
    </cfRule>
    <cfRule type="containsText" dxfId="418" priority="19" operator="containsText" text="Bomba">
      <formula>NOT(ISERROR(SEARCH("Bomba",B110)))</formula>
    </cfRule>
  </conditionalFormatting>
  <dataValidations count="2">
    <dataValidation type="list" allowBlank="1" showInputMessage="1" showErrorMessage="1" sqref="B110:H111" xr:uid="{617857BE-C6A8-4BCB-90EC-EC98F48A849B}">
      <formula1>$J$5:$J$11</formula1>
    </dataValidation>
    <dataValidation type="list" allowBlank="1" showInputMessage="1" showErrorMessage="1" sqref="B5:H7 B8:H109" xr:uid="{8CFFD38D-D04B-4D54-9235-118E7F369859}">
      <formula1>$J$5:$J$22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3F07EAF-23DC-4BDB-BEBB-7609B931180D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6CC5A51E-0E51-4A2C-B8EF-2A91B39A1DA7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06F0A5D2-C26D-449C-BC72-09D56091B1B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78FEFD10-F758-49E0-A1D4-220038862527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C6FD7964-525F-4397-84E3-06F573A64CF0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8" operator="containsText" id="{3DE35744-0657-49AA-A70C-9970B798839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9" operator="containsText" id="{6D72F32D-15F2-4241-B9CB-93B3F274C8D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40" operator="containsText" id="{978A18F6-763E-41FE-B1D9-FF10DCCBEF3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1" operator="containsText" id="{B0BFDB49-8C65-4520-8215-1F1E81672E5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2" operator="containsText" id="{B40563E8-2D85-4963-AC3C-5A76AEE2A35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3" operator="containsText" id="{9700B1A1-F7EC-49C8-B1B1-D24133F7A30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4" operator="containsText" id="{7874F7AA-C98D-434A-A75E-9646131DD32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A6DAB3B6-DE33-4D97-A0E9-6F3415E94A99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6" operator="containsText" id="{4DCF52BF-C34A-490C-9070-29DEB1AA3C91}">
            <xm:f>NOT(ISERROR(SEARCH($E$109,B5)))</xm:f>
            <xm:f>$E$109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3A1F7273-8941-43C6-A405-CFACE73A517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8" operator="containsText" id="{BCCD6095-0AAC-4527-9610-3C0E792B894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9" operator="containsText" id="{EA027B84-40B2-45E4-9616-8A704F7B22F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50" operator="containsText" id="{C36E3937-49BC-4492-99F2-D1D311CB2F8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1" operator="containsText" id="{F932C21C-773F-4F15-B296-4EF7E1D626E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2" operator="containsText" id="{8CF2610D-D75C-41ED-83AF-1D2724F9D9A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220" operator="containsText" id="{DD4D2C69-444D-41C8-BF46-ED6228E5AF6C}">
            <xm:f>NOT(ISERROR(SEARCH($J$22,B5)))</xm:f>
            <xm:f>$J$22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7" operator="containsText" id="{8739A6AB-A7FD-4B88-B9DF-7D461DF2BD1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10" operator="containsText" id="{66E73D3A-7D86-429B-989C-403BA776E51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865F1121-77A6-4919-91D9-37770CAAFEC7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020B364D-ADD3-4701-9D9D-3934DA093B2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AB91E0EA-CD69-4B48-B071-DE5B0977ED8C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93D3F088-703F-461C-8694-13667082C73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83A754A8-BFEE-43F8-9915-28B213462876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6F2970F5-8843-4A5C-8886-58CFD7E5182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9" operator="containsText" id="{6BE147EE-6067-417E-9D03-0F417404CDA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B5:H112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25D7-9810-445F-B4DE-9CB2685F3D8C}">
  <sheetPr>
    <tabColor rgb="FF92D050"/>
    <pageSetUpPr fitToPage="1"/>
  </sheetPr>
  <dimension ref="A1:P111"/>
  <sheetViews>
    <sheetView showGridLines="0" zoomScaleNormal="100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H32" sqref="H32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45089</v>
      </c>
      <c r="C3" s="11">
        <f t="shared" ref="C3:H3" si="0">B3+1</f>
        <v>45090</v>
      </c>
      <c r="D3" s="11">
        <f t="shared" si="0"/>
        <v>45091</v>
      </c>
      <c r="E3" s="11">
        <f t="shared" si="0"/>
        <v>45092</v>
      </c>
      <c r="F3" s="11">
        <f t="shared" si="0"/>
        <v>45093</v>
      </c>
      <c r="G3" s="11">
        <f t="shared" si="0"/>
        <v>45094</v>
      </c>
      <c r="H3" s="12">
        <f t="shared" si="0"/>
        <v>45095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19" si="2">COUNTIF($B$5:$H$111,J5)</f>
        <v>3</v>
      </c>
      <c r="L5" s="54">
        <f t="shared" ref="L5:L23" si="3">K5/$K$23</f>
        <v>0.3</v>
      </c>
      <c r="M5" s="58">
        <f>B3</f>
        <v>45089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 t="s">
        <v>10</v>
      </c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1</v>
      </c>
      <c r="L10" s="54">
        <f t="shared" si="3"/>
        <v>0.1</v>
      </c>
    </row>
    <row r="11" spans="1:16" x14ac:dyDescent="0.25">
      <c r="A11" s="6" t="s">
        <v>32</v>
      </c>
      <c r="B11" s="9"/>
      <c r="C11" s="9" t="s">
        <v>4</v>
      </c>
      <c r="D11" s="9"/>
      <c r="E11" s="9"/>
      <c r="F11" s="9"/>
      <c r="G11" s="9"/>
      <c r="H11" s="9"/>
      <c r="J11" s="26" t="s">
        <v>10</v>
      </c>
      <c r="K11" s="1">
        <f t="shared" si="2"/>
        <v>1</v>
      </c>
      <c r="L11" s="54">
        <f t="shared" si="3"/>
        <v>0.1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1</v>
      </c>
      <c r="L13" s="54">
        <f t="shared" si="3"/>
        <v>0.1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2</v>
      </c>
      <c r="L14" s="54">
        <f t="shared" si="3"/>
        <v>0.2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1</v>
      </c>
      <c r="L15" s="54">
        <f t="shared" si="3"/>
        <v>0.1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0</v>
      </c>
      <c r="L16" s="54">
        <f t="shared" si="3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1</v>
      </c>
      <c r="L17" s="54">
        <f t="shared" si="3"/>
        <v>0.1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COUNTIF($B$5:$H$111,J20)</f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t="s">
        <v>216</v>
      </c>
      <c r="K21" s="1">
        <f>COUNTIF($B$5:$H$111,J21)</f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64" t="s">
        <v>173</v>
      </c>
      <c r="K22" s="1">
        <f>COUNTIF($B$5:$H$111,J22)</f>
        <v>0</v>
      </c>
      <c r="L22" s="54">
        <f t="shared" si="3"/>
        <v>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 t="s">
        <v>2</v>
      </c>
      <c r="K23" s="1">
        <f>SUM(K5:K22)</f>
        <v>10</v>
      </c>
      <c r="L23" s="54">
        <f t="shared" si="3"/>
        <v>1</v>
      </c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 t="s">
        <v>12</v>
      </c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 t="s">
        <v>118</v>
      </c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 t="s">
        <v>16</v>
      </c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 t="s">
        <v>121</v>
      </c>
      <c r="D50" s="9" t="s">
        <v>4</v>
      </c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 t="s">
        <v>4</v>
      </c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 t="s">
        <v>13</v>
      </c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217</v>
      </c>
      <c r="B109" s="9"/>
      <c r="C109" s="9"/>
      <c r="D109" s="9" t="s">
        <v>13</v>
      </c>
      <c r="E109" s="9"/>
      <c r="F109" s="9"/>
      <c r="G109" s="9"/>
      <c r="H109" s="9"/>
    </row>
    <row r="110" spans="1:8" x14ac:dyDescent="0.25">
      <c r="A110" s="6" t="s">
        <v>218</v>
      </c>
      <c r="B110" s="9"/>
      <c r="C110" s="9"/>
      <c r="D110" s="9"/>
      <c r="E110" s="9"/>
      <c r="F110" s="9"/>
      <c r="G110" s="9"/>
      <c r="H110" s="9"/>
    </row>
    <row r="111" spans="1:8" x14ac:dyDescent="0.25">
      <c r="A111" s="6" t="s">
        <v>115</v>
      </c>
      <c r="B111" s="9"/>
      <c r="C111" s="9"/>
      <c r="D111" s="9"/>
      <c r="E111" s="9"/>
      <c r="F111" s="9"/>
      <c r="G111" s="9"/>
      <c r="H111" s="9"/>
    </row>
  </sheetData>
  <mergeCells count="1">
    <mergeCell ref="A1:H2"/>
  </mergeCells>
  <phoneticPr fontId="3" type="noConversion"/>
  <conditionalFormatting sqref="A1:A1048576">
    <cfRule type="containsText" dxfId="417" priority="7" operator="containsText" text="Pivô">
      <formula>NOT(ISERROR(SEARCH("Pivô",A1)))</formula>
    </cfRule>
    <cfRule type="containsText" dxfId="416" priority="8" operator="containsText" text="Pivô">
      <formula>NOT(ISERROR(SEARCH("Pivô",A1)))</formula>
    </cfRule>
  </conditionalFormatting>
  <conditionalFormatting sqref="B5:H111">
    <cfRule type="containsText" dxfId="414" priority="3" operator="containsText" text="Desponte">
      <formula>NOT(ISERROR(SEARCH("Desponte",B5)))</formula>
    </cfRule>
    <cfRule type="containsText" dxfId="397" priority="27" operator="containsText" text="Pulverização">
      <formula>NOT(ISERROR(SEARCH("Pulverização",B5)))</formula>
    </cfRule>
    <cfRule type="cellIs" dxfId="392" priority="26" operator="equal">
      <formula>$J$20</formula>
    </cfRule>
    <cfRule type="containsText" dxfId="391" priority="33" operator="containsText" text="Motorredutor">
      <formula>NOT(ISERROR(SEARCH("Motorredutor",B5)))</formula>
    </cfRule>
    <cfRule type="cellIs" dxfId="390" priority="28" operator="greaterThan">
      <formula>$J$5</formula>
    </cfRule>
    <cfRule type="containsText" dxfId="389" priority="29" operator="containsText" text="Cardã">
      <formula>NOT(ISERROR(SEARCH("Cardã",B5)))</formula>
    </cfRule>
    <cfRule type="containsText" dxfId="388" priority="30" operator="containsText" text="Pneu">
      <formula>NOT(ISERROR(SEARCH("Pneu",B5)))</formula>
    </cfRule>
    <cfRule type="containsText" dxfId="387" priority="31" operator="containsText" text="Vedação">
      <formula>NOT(ISERROR(SEARCH("Vedação",B5)))</formula>
    </cfRule>
    <cfRule type="containsText" dxfId="386" priority="32" operator="containsText" text="Retentor">
      <formula>NOT(ISERROR(SEARCH("Retentor",B5)))</formula>
    </cfRule>
    <cfRule type="containsText" dxfId="385" priority="34" operator="containsText" text="Redutor">
      <formula>NOT(ISERROR(SEARCH("Redutor",B5)))</formula>
    </cfRule>
    <cfRule type="containsText" dxfId="384" priority="35" operator="containsText" text="Bomba">
      <formula>NOT(ISERROR(SEARCH("Bomba",B5)))</formula>
    </cfRule>
  </conditionalFormatting>
  <conditionalFormatting sqref="B112:H113">
    <cfRule type="containsText" dxfId="374" priority="11" operator="containsText" text="Pulverização">
      <formula>NOT(ISERROR(SEARCH("Pulverização",B112)))</formula>
    </cfRule>
    <cfRule type="cellIs" dxfId="373" priority="12" operator="greaterThan">
      <formula>$J$5</formula>
    </cfRule>
    <cfRule type="containsText" dxfId="372" priority="13" operator="containsText" text="Cardã">
      <formula>NOT(ISERROR(SEARCH("Cardã",B112)))</formula>
    </cfRule>
    <cfRule type="containsText" dxfId="371" priority="14" operator="containsText" text="Pneu">
      <formula>NOT(ISERROR(SEARCH("Pneu",B112)))</formula>
    </cfRule>
    <cfRule type="containsText" dxfId="370" priority="15" operator="containsText" text="Vedação">
      <formula>NOT(ISERROR(SEARCH("Vedação",B112)))</formula>
    </cfRule>
    <cfRule type="containsText" dxfId="369" priority="16" operator="containsText" text="Retentor">
      <formula>NOT(ISERROR(SEARCH("Retentor",B112)))</formula>
    </cfRule>
    <cfRule type="containsText" dxfId="368" priority="17" operator="containsText" text="Motorredutor">
      <formula>NOT(ISERROR(SEARCH("Motorredutor",B112)))</formula>
    </cfRule>
    <cfRule type="containsText" dxfId="367" priority="18" operator="containsText" text="Redutor">
      <formula>NOT(ISERROR(SEARCH("Redutor",B112)))</formula>
    </cfRule>
    <cfRule type="containsText" dxfId="366" priority="19" operator="containsText" text="Bomba">
      <formula>NOT(ISERROR(SEARCH("Bomba",B112)))</formula>
    </cfRule>
  </conditionalFormatting>
  <dataValidations count="2">
    <dataValidation type="list" allowBlank="1" showInputMessage="1" showErrorMessage="1" sqref="B5:H111" xr:uid="{33114E29-BD37-4578-94F8-8B51C51D9AE3}">
      <formula1>$J$5:$J$22</formula1>
    </dataValidation>
    <dataValidation type="list" allowBlank="1" showInputMessage="1" showErrorMessage="1" sqref="B112:H113" xr:uid="{61EF050F-D74D-47AA-A962-1D0E68C4ABC3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613F081-2C9B-4330-9FE7-28D8C783B37A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AE782ABE-5872-4256-941A-4E9B9A4984F7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5446B304-850A-4D31-8298-32AD042D3CB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51FE0A2D-A3C5-4C8F-B089-7E5BCBA48E38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C22B581E-D2E3-4D6D-A8E6-CE14C39C83B9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83609950-054E-4429-8484-F81C3B4FD4C5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8" operator="containsText" id="{EBA1BD86-3627-49E8-9DA8-5AD462F9AC6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9" operator="containsText" id="{37E2A6C7-CA26-4F01-8B5C-E7F580F3CE8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0" operator="containsText" id="{95887B6D-4394-4713-A4ED-88D0B17C988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1" operator="containsText" id="{3D4D7548-A95E-4ED4-8CAC-F96F28BFD06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2" operator="containsText" id="{1B547512-B2A0-4859-A76F-D00E821965E2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3" operator="containsText" id="{4C441CFA-A7A7-4650-AF84-F31B32EB338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4" operator="containsText" id="{21A8DF0D-CFBB-463B-B013-9F863930512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3B05C739-B66E-4A06-83E1-EED2FC3A0088}">
            <xm:f>NOT(ISERROR(SEARCH($E$111,B5)))</xm:f>
            <xm:f>$E$111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6" operator="containsText" id="{79B2A02E-308B-4458-9184-809C0F0E0A0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7" operator="containsText" id="{765D4EE9-D447-469B-9BFE-1A27E8B2C56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8" operator="containsText" id="{690B72BC-EC91-41AE-B362-21CEE8147B4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49" operator="containsText" id="{D2E42FCA-19A9-42F2-9D43-47AB2D25B9C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0" operator="containsText" id="{C4E95955-22E6-4559-86EF-C4096492CC8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1" operator="containsText" id="{012E286E-8E55-4475-8E08-D3D551D99AA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8E9069EC-0DE5-4A0A-8551-ED4E9E251321}">
            <xm:f>NOT(ISERROR(SEARCH($J$22,B5)))</xm:f>
            <xm:f>$J$22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6" operator="containsText" id="{15C67471-05B4-4D77-ACB0-431BE951B4C9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10" operator="containsText" id="{44EEFDA7-9D26-497B-BB42-DD1E256D8BD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7194C7FA-12C9-4723-9211-9FA80D266D6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03BB1463-2553-41DF-9422-5A5C5A4F9AE7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EAF9AF0A-106B-45FB-B477-9AE98B266635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E2133927-0151-46AC-92AA-F1E469EA4A3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8AD8330F-6960-4C6E-81FA-2B3280502562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5C886229-0D81-4A72-8A25-D3EF73D950C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B5:H113</xm:sqref>
        </x14:conditionalFormatting>
        <x14:conditionalFormatting xmlns:xm="http://schemas.microsoft.com/office/excel/2006/main">
          <x14:cfRule type="containsText" priority="9" operator="containsText" id="{6EFE3741-214A-4F19-A534-2EA4DA327C2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B5:H114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B2A7-48FF-42F0-B83C-94837ED21B0B}">
  <sheetPr>
    <tabColor rgb="FF92D050"/>
    <pageSetUpPr fitToPage="1"/>
  </sheetPr>
  <dimension ref="A1:P11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M22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45096</v>
      </c>
      <c r="C3" s="11">
        <f t="shared" ref="C3:H3" si="0">B3+1</f>
        <v>45097</v>
      </c>
      <c r="D3" s="11">
        <f t="shared" si="0"/>
        <v>45098</v>
      </c>
      <c r="E3" s="11">
        <f t="shared" si="0"/>
        <v>45099</v>
      </c>
      <c r="F3" s="11">
        <f t="shared" si="0"/>
        <v>45100</v>
      </c>
      <c r="G3" s="11">
        <f t="shared" si="0"/>
        <v>45101</v>
      </c>
      <c r="H3" s="12">
        <f t="shared" si="0"/>
        <v>45102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19" si="2">COUNTIF($B$5:$H$111,J5)</f>
        <v>1</v>
      </c>
      <c r="L5" s="54">
        <f t="shared" ref="L5:L23" si="3">K5/$K$23</f>
        <v>8.3333333333333329E-2</v>
      </c>
      <c r="M5" s="58">
        <f>B3</f>
        <v>45096</v>
      </c>
    </row>
    <row r="6" spans="1:16" x14ac:dyDescent="0.25">
      <c r="A6" s="6" t="s">
        <v>25</v>
      </c>
      <c r="B6" s="9"/>
      <c r="C6" s="9"/>
      <c r="D6" s="9"/>
      <c r="E6" s="9"/>
      <c r="F6" s="9" t="s">
        <v>7</v>
      </c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 t="s">
        <v>7</v>
      </c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2</v>
      </c>
      <c r="L8" s="54">
        <f t="shared" si="3"/>
        <v>0.16666666666666666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1</v>
      </c>
      <c r="L10" s="54">
        <f t="shared" si="3"/>
        <v>8.3333333333333329E-2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1</v>
      </c>
      <c r="L11" s="54">
        <f t="shared" si="3"/>
        <v>8.3333333333333329E-2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1</v>
      </c>
      <c r="L14" s="54">
        <f t="shared" si="3"/>
        <v>8.3333333333333329E-2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 t="s">
        <v>15</v>
      </c>
      <c r="E16" s="9"/>
      <c r="F16" s="9"/>
      <c r="G16" s="9"/>
      <c r="H16" s="9"/>
      <c r="J16" s="53" t="s">
        <v>15</v>
      </c>
      <c r="K16" s="1">
        <f t="shared" si="2"/>
        <v>3</v>
      </c>
      <c r="L16" s="54">
        <f t="shared" si="3"/>
        <v>0.25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1</v>
      </c>
      <c r="L17" s="54">
        <f t="shared" si="3"/>
        <v>8.3333333333333329E-2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 t="s">
        <v>15</v>
      </c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COUNTIF($B$5:$H$111,J20)</f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t="s">
        <v>216</v>
      </c>
      <c r="K21" s="1">
        <f>COUNTIF($B$5:$H$111,J21)</f>
        <v>2</v>
      </c>
      <c r="L21" s="54">
        <f t="shared" si="3"/>
        <v>0.16666666666666666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64" t="s">
        <v>173</v>
      </c>
      <c r="K22" s="1">
        <f>COUNTIF($B$5:$H$111,J22)</f>
        <v>0</v>
      </c>
      <c r="L22" s="54">
        <f t="shared" si="3"/>
        <v>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 t="s">
        <v>2</v>
      </c>
      <c r="K23" s="1">
        <f>SUM(K5:K22)</f>
        <v>12</v>
      </c>
      <c r="L23" s="54">
        <f t="shared" si="3"/>
        <v>1</v>
      </c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 t="s">
        <v>15</v>
      </c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 t="s">
        <v>118</v>
      </c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 t="s">
        <v>16</v>
      </c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 t="s">
        <v>216</v>
      </c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 t="s">
        <v>4</v>
      </c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 t="s">
        <v>13</v>
      </c>
      <c r="C105" s="9" t="s">
        <v>10</v>
      </c>
      <c r="D105" s="9" t="s">
        <v>216</v>
      </c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217</v>
      </c>
      <c r="B109" s="9"/>
      <c r="C109" s="9"/>
      <c r="D109" s="9"/>
      <c r="E109" s="9"/>
      <c r="F109" s="9"/>
      <c r="G109" s="9"/>
      <c r="H109" s="9"/>
    </row>
    <row r="110" spans="1:8" x14ac:dyDescent="0.25">
      <c r="A110" s="6" t="s">
        <v>218</v>
      </c>
      <c r="B110" s="9"/>
      <c r="C110" s="9"/>
      <c r="D110" s="9"/>
      <c r="E110" s="9"/>
      <c r="F110" s="9"/>
      <c r="G110" s="9"/>
      <c r="H110" s="9"/>
    </row>
    <row r="111" spans="1:8" x14ac:dyDescent="0.25">
      <c r="A111" s="6" t="s">
        <v>115</v>
      </c>
      <c r="B111" s="9"/>
      <c r="C111" s="9"/>
      <c r="D111" s="9"/>
      <c r="E111" s="9"/>
      <c r="F111" s="9"/>
      <c r="G111" s="9"/>
      <c r="H111" s="9"/>
    </row>
  </sheetData>
  <mergeCells count="1">
    <mergeCell ref="A1:H2"/>
  </mergeCells>
  <phoneticPr fontId="3" type="noConversion"/>
  <conditionalFormatting sqref="A1:A1048576">
    <cfRule type="containsText" dxfId="365" priority="7" operator="containsText" text="Pivô">
      <formula>NOT(ISERROR(SEARCH("Pivô",A1)))</formula>
    </cfRule>
    <cfRule type="containsText" dxfId="364" priority="8" operator="containsText" text="Pivô">
      <formula>NOT(ISERROR(SEARCH("Pivô",A1)))</formula>
    </cfRule>
  </conditionalFormatting>
  <conditionalFormatting sqref="B5:H111">
    <cfRule type="containsText" dxfId="362" priority="3" operator="containsText" text="Desponte">
      <formula>NOT(ISERROR(SEARCH("Desponte",B5)))</formula>
    </cfRule>
    <cfRule type="containsText" dxfId="345" priority="27" operator="containsText" text="Pulverização">
      <formula>NOT(ISERROR(SEARCH("Pulverização",B5)))</formula>
    </cfRule>
    <cfRule type="cellIs" dxfId="340" priority="26" operator="equal">
      <formula>$J$20</formula>
    </cfRule>
    <cfRule type="containsText" dxfId="339" priority="33" operator="containsText" text="Motorredutor">
      <formula>NOT(ISERROR(SEARCH("Motorredutor",B5)))</formula>
    </cfRule>
    <cfRule type="cellIs" dxfId="338" priority="28" operator="greaterThan">
      <formula>$J$5</formula>
    </cfRule>
    <cfRule type="containsText" dxfId="337" priority="29" operator="containsText" text="Cardã">
      <formula>NOT(ISERROR(SEARCH("Cardã",B5)))</formula>
    </cfRule>
    <cfRule type="containsText" dxfId="336" priority="30" operator="containsText" text="Pneu">
      <formula>NOT(ISERROR(SEARCH("Pneu",B5)))</formula>
    </cfRule>
    <cfRule type="containsText" dxfId="335" priority="31" operator="containsText" text="Vedação">
      <formula>NOT(ISERROR(SEARCH("Vedação",B5)))</formula>
    </cfRule>
    <cfRule type="containsText" dxfId="334" priority="32" operator="containsText" text="Retentor">
      <formula>NOT(ISERROR(SEARCH("Retentor",B5)))</formula>
    </cfRule>
    <cfRule type="containsText" dxfId="333" priority="34" operator="containsText" text="Redutor">
      <formula>NOT(ISERROR(SEARCH("Redutor",B5)))</formula>
    </cfRule>
    <cfRule type="containsText" dxfId="332" priority="35" operator="containsText" text="Bomba">
      <formula>NOT(ISERROR(SEARCH("Bomba",B5)))</formula>
    </cfRule>
  </conditionalFormatting>
  <conditionalFormatting sqref="B112:H113">
    <cfRule type="containsText" dxfId="322" priority="11" operator="containsText" text="Pulverização">
      <formula>NOT(ISERROR(SEARCH("Pulverização",B112)))</formula>
    </cfRule>
    <cfRule type="cellIs" dxfId="321" priority="12" operator="greaterThan">
      <formula>$J$5</formula>
    </cfRule>
    <cfRule type="containsText" dxfId="320" priority="13" operator="containsText" text="Cardã">
      <formula>NOT(ISERROR(SEARCH("Cardã",B112)))</formula>
    </cfRule>
    <cfRule type="containsText" dxfId="319" priority="14" operator="containsText" text="Pneu">
      <formula>NOT(ISERROR(SEARCH("Pneu",B112)))</formula>
    </cfRule>
    <cfRule type="containsText" dxfId="318" priority="15" operator="containsText" text="Vedação">
      <formula>NOT(ISERROR(SEARCH("Vedação",B112)))</formula>
    </cfRule>
    <cfRule type="containsText" dxfId="317" priority="16" operator="containsText" text="Retentor">
      <formula>NOT(ISERROR(SEARCH("Retentor",B112)))</formula>
    </cfRule>
    <cfRule type="containsText" dxfId="316" priority="17" operator="containsText" text="Motorredutor">
      <formula>NOT(ISERROR(SEARCH("Motorredutor",B112)))</formula>
    </cfRule>
    <cfRule type="containsText" dxfId="315" priority="18" operator="containsText" text="Redutor">
      <formula>NOT(ISERROR(SEARCH("Redutor",B112)))</formula>
    </cfRule>
    <cfRule type="containsText" dxfId="314" priority="19" operator="containsText" text="Bomba">
      <formula>NOT(ISERROR(SEARCH("Bomba",B112)))</formula>
    </cfRule>
  </conditionalFormatting>
  <dataValidations count="2">
    <dataValidation type="list" allowBlank="1" showInputMessage="1" showErrorMessage="1" sqref="B112:H113" xr:uid="{3CFCE6DD-AE73-455E-BC33-E2EEAF2B1507}">
      <formula1>$J$5:$J$11</formula1>
    </dataValidation>
    <dataValidation type="list" allowBlank="1" showInputMessage="1" showErrorMessage="1" sqref="B5:H111" xr:uid="{93F1EF0C-37FB-48A7-AFC2-D910566A4982}">
      <formula1>$J$5:$J$22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58B4FFD-96AA-4020-BE56-2C44370187BD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B9F5DE31-7A22-4C0E-838F-E62A4DA5334E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318AC20D-E252-4A4E-BD78-86599C714C25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46828C46-5C95-4E9D-85DA-F1FC54CF69BF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F2632E0D-88C7-4EE3-883D-7412EF49B417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F7949CCA-5A84-4CD6-BC76-433408C1EED2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8" operator="containsText" id="{68B5FCA5-DB9D-406A-AB95-9E103A71EDA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9" operator="containsText" id="{F51C9F40-DB37-44C2-B130-333FB743717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0" operator="containsText" id="{8E2F7901-4FF8-4DD8-B21E-B6429C6784C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1" operator="containsText" id="{59172155-21B5-406F-A22D-75E6B8B6BE2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2" operator="containsText" id="{4DFA8EE1-8839-4B74-A63A-7182F914FCA6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3" operator="containsText" id="{EEA8371F-FA84-4B18-836F-A43C1E3DCBD2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4" operator="containsText" id="{B5B60DA8-7CC1-4AF2-8FF5-C5C94A10BD60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543F7C92-F991-4D90-8F4D-E9DE5AD57D5E}">
            <xm:f>NOT(ISERROR(SEARCH($E$111,B5)))</xm:f>
            <xm:f>$E$111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6" operator="containsText" id="{FB8B1F89-B112-4211-9D53-8F3CF02727A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7" operator="containsText" id="{320312D9-4A4C-41D2-8725-E4117BFF2FD2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8" operator="containsText" id="{BEFCF033-868D-4269-A66D-9432F22D311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49" operator="containsText" id="{3EC9AD1C-A001-4B4C-A3DF-912747F181D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0" operator="containsText" id="{184CA1C6-1090-4A18-92B5-C5A6BE825E8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1" operator="containsText" id="{A034D5B5-FDA0-47A2-B9BE-3752A2E904E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D6B39A7D-AD61-4B86-9A3B-1DFC3459BB02}">
            <xm:f>NOT(ISERROR(SEARCH($J$22,B5)))</xm:f>
            <xm:f>$J$22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6" operator="containsText" id="{049C6C1A-E63C-483C-8414-37B7B2110B5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10" operator="containsText" id="{3812B9A4-C77A-429A-9F1C-B8EF13F6518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CDF6934E-841F-4E77-B87E-FF6CF66C8405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80D74099-F51C-49C2-87AE-AD0E518DCF3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F6256A24-96C6-42ED-8215-E6E0DA8F9949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2782AEAB-DE4C-45B3-9900-25AAA4CB403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C4AFAD8D-E03E-49C7-A1C9-955D41C6C25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D7224CCB-468F-4533-B9E8-6AB2B4B3059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B5:H113</xm:sqref>
        </x14:conditionalFormatting>
        <x14:conditionalFormatting xmlns:xm="http://schemas.microsoft.com/office/excel/2006/main">
          <x14:cfRule type="containsText" priority="9" operator="containsText" id="{D8E1D1B7-2965-4264-80BC-57E5A35DE60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B5:H114</xm:sqref>
        </x14:conditionalFormatting>
      </x14:conditionalFormatting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456F-690E-4DEE-824E-70CEFC91D597}">
  <sheetPr>
    <tabColor rgb="FF92D050"/>
    <pageSetUpPr fitToPage="1"/>
  </sheetPr>
  <dimension ref="A1:P111"/>
  <sheetViews>
    <sheetView showGridLines="0" zoomScaleNormal="100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J5" sqref="J5:L22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45103</v>
      </c>
      <c r="C3" s="11">
        <f t="shared" ref="C3:H3" si="0">B3+1</f>
        <v>45104</v>
      </c>
      <c r="D3" s="11">
        <f t="shared" si="0"/>
        <v>45105</v>
      </c>
      <c r="E3" s="11">
        <f t="shared" si="0"/>
        <v>45106</v>
      </c>
      <c r="F3" s="11">
        <f t="shared" si="0"/>
        <v>45107</v>
      </c>
      <c r="G3" s="11">
        <f t="shared" si="0"/>
        <v>45108</v>
      </c>
      <c r="H3" s="12">
        <f t="shared" si="0"/>
        <v>45109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19" si="2">COUNTIF($B$5:$H$111,J5)</f>
        <v>0</v>
      </c>
      <c r="L5" s="54">
        <f t="shared" ref="L5:L23" si="3">K5/$K$23</f>
        <v>0</v>
      </c>
      <c r="M5" s="58">
        <f>B3</f>
        <v>45103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0</v>
      </c>
      <c r="L9" s="54">
        <f t="shared" si="3"/>
        <v>0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3</v>
      </c>
      <c r="L10" s="54">
        <f t="shared" si="3"/>
        <v>0.25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3</v>
      </c>
      <c r="L14" s="54">
        <f t="shared" si="3"/>
        <v>0.25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1</v>
      </c>
      <c r="L15" s="54">
        <f t="shared" si="3"/>
        <v>8.3333333333333329E-2</v>
      </c>
    </row>
    <row r="16" spans="1:16" x14ac:dyDescent="0.25">
      <c r="A16" s="6" t="s">
        <v>38</v>
      </c>
      <c r="B16" s="9"/>
      <c r="C16" s="9"/>
      <c r="D16" s="9"/>
      <c r="E16" s="9" t="s">
        <v>13</v>
      </c>
      <c r="F16" s="9"/>
      <c r="G16" s="9"/>
      <c r="H16" s="9"/>
      <c r="J16" s="53" t="s">
        <v>15</v>
      </c>
      <c r="K16" s="1">
        <f t="shared" si="2"/>
        <v>0</v>
      </c>
      <c r="L16" s="54">
        <f t="shared" si="3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3</v>
      </c>
      <c r="L17" s="54">
        <f t="shared" si="3"/>
        <v>0.25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2</v>
      </c>
      <c r="L18" s="54">
        <f t="shared" si="3"/>
        <v>0.16666666666666666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COUNTIF($B$5:$H$111,J20)</f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t="s">
        <v>216</v>
      </c>
      <c r="K21" s="1">
        <f>COUNTIF($B$5:$H$111,J21)</f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64" t="s">
        <v>173</v>
      </c>
      <c r="K22" s="1">
        <f>COUNTIF($B$5:$H$111,J22)</f>
        <v>0</v>
      </c>
      <c r="L22" s="54">
        <f t="shared" si="3"/>
        <v>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 t="s">
        <v>2</v>
      </c>
      <c r="K23" s="1">
        <f>SUM(K5:K22)</f>
        <v>12</v>
      </c>
      <c r="L23" s="54">
        <f t="shared" si="3"/>
        <v>1</v>
      </c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 t="s">
        <v>118</v>
      </c>
      <c r="H36" s="9" t="s">
        <v>118</v>
      </c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 t="s">
        <v>16</v>
      </c>
      <c r="C39" s="9"/>
      <c r="D39" s="9" t="s">
        <v>16</v>
      </c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 t="s">
        <v>13</v>
      </c>
      <c r="E42" s="9" t="s">
        <v>16</v>
      </c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 t="s">
        <v>13</v>
      </c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 t="s">
        <v>118</v>
      </c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 t="s">
        <v>121</v>
      </c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 t="s">
        <v>166</v>
      </c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 t="s">
        <v>166</v>
      </c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217</v>
      </c>
      <c r="B109" s="9"/>
      <c r="C109" s="9"/>
      <c r="D109" s="9"/>
      <c r="E109" s="9"/>
      <c r="F109" s="9"/>
      <c r="G109" s="9"/>
      <c r="H109" s="9"/>
    </row>
    <row r="110" spans="1:8" x14ac:dyDescent="0.25">
      <c r="A110" s="6" t="s">
        <v>218</v>
      </c>
      <c r="B110" s="9"/>
      <c r="C110" s="9"/>
      <c r="D110" s="9"/>
      <c r="E110" s="9"/>
      <c r="F110" s="9"/>
      <c r="G110" s="9"/>
      <c r="H110" s="9"/>
    </row>
    <row r="111" spans="1:8" x14ac:dyDescent="0.25">
      <c r="A111" s="6" t="s">
        <v>115</v>
      </c>
      <c r="B111" s="9"/>
      <c r="C111" s="9"/>
      <c r="D111" s="9"/>
      <c r="E111" s="9"/>
      <c r="F111" s="9"/>
      <c r="G111" s="9"/>
      <c r="H111" s="9"/>
    </row>
  </sheetData>
  <mergeCells count="1">
    <mergeCell ref="A1:H2"/>
  </mergeCells>
  <conditionalFormatting sqref="A1:A1048576">
    <cfRule type="containsText" dxfId="313" priority="7" operator="containsText" text="Pivô">
      <formula>NOT(ISERROR(SEARCH("Pivô",A1)))</formula>
    </cfRule>
    <cfRule type="containsText" dxfId="312" priority="8" operator="containsText" text="Pivô">
      <formula>NOT(ISERROR(SEARCH("Pivô",A1)))</formula>
    </cfRule>
  </conditionalFormatting>
  <conditionalFormatting sqref="B5:H111">
    <cfRule type="containsText" dxfId="310" priority="3" operator="containsText" text="Desponte">
      <formula>NOT(ISERROR(SEARCH("Desponte",B5)))</formula>
    </cfRule>
    <cfRule type="containsText" dxfId="293" priority="27" operator="containsText" text="Pulverização">
      <formula>NOT(ISERROR(SEARCH("Pulverização",B5)))</formula>
    </cfRule>
    <cfRule type="cellIs" dxfId="288" priority="26" operator="equal">
      <formula>$J$20</formula>
    </cfRule>
    <cfRule type="containsText" dxfId="287" priority="33" operator="containsText" text="Motorredutor">
      <formula>NOT(ISERROR(SEARCH("Motorredutor",B5)))</formula>
    </cfRule>
    <cfRule type="cellIs" dxfId="286" priority="28" operator="greaterThan">
      <formula>$J$5</formula>
    </cfRule>
    <cfRule type="containsText" dxfId="285" priority="29" operator="containsText" text="Cardã">
      <formula>NOT(ISERROR(SEARCH("Cardã",B5)))</formula>
    </cfRule>
    <cfRule type="containsText" dxfId="284" priority="30" operator="containsText" text="Pneu">
      <formula>NOT(ISERROR(SEARCH("Pneu",B5)))</formula>
    </cfRule>
    <cfRule type="containsText" dxfId="283" priority="31" operator="containsText" text="Vedação">
      <formula>NOT(ISERROR(SEARCH("Vedação",B5)))</formula>
    </cfRule>
    <cfRule type="containsText" dxfId="282" priority="32" operator="containsText" text="Retentor">
      <formula>NOT(ISERROR(SEARCH("Retentor",B5)))</formula>
    </cfRule>
    <cfRule type="containsText" dxfId="281" priority="34" operator="containsText" text="Redutor">
      <formula>NOT(ISERROR(SEARCH("Redutor",B5)))</formula>
    </cfRule>
    <cfRule type="containsText" dxfId="280" priority="35" operator="containsText" text="Bomba">
      <formula>NOT(ISERROR(SEARCH("Bomba",B5)))</formula>
    </cfRule>
  </conditionalFormatting>
  <conditionalFormatting sqref="B112:H113">
    <cfRule type="containsText" dxfId="270" priority="11" operator="containsText" text="Pulverização">
      <formula>NOT(ISERROR(SEARCH("Pulverização",B112)))</formula>
    </cfRule>
    <cfRule type="cellIs" dxfId="269" priority="12" operator="greaterThan">
      <formula>$J$5</formula>
    </cfRule>
    <cfRule type="containsText" dxfId="268" priority="13" operator="containsText" text="Cardã">
      <formula>NOT(ISERROR(SEARCH("Cardã",B112)))</formula>
    </cfRule>
    <cfRule type="containsText" dxfId="267" priority="14" operator="containsText" text="Pneu">
      <formula>NOT(ISERROR(SEARCH("Pneu",B112)))</formula>
    </cfRule>
    <cfRule type="containsText" dxfId="266" priority="15" operator="containsText" text="Vedação">
      <formula>NOT(ISERROR(SEARCH("Vedação",B112)))</formula>
    </cfRule>
    <cfRule type="containsText" dxfId="265" priority="16" operator="containsText" text="Retentor">
      <formula>NOT(ISERROR(SEARCH("Retentor",B112)))</formula>
    </cfRule>
    <cfRule type="containsText" dxfId="264" priority="17" operator="containsText" text="Motorredutor">
      <formula>NOT(ISERROR(SEARCH("Motorredutor",B112)))</formula>
    </cfRule>
    <cfRule type="containsText" dxfId="263" priority="18" operator="containsText" text="Redutor">
      <formula>NOT(ISERROR(SEARCH("Redutor",B112)))</formula>
    </cfRule>
    <cfRule type="containsText" dxfId="262" priority="19" operator="containsText" text="Bomba">
      <formula>NOT(ISERROR(SEARCH("Bomba",B112)))</formula>
    </cfRule>
  </conditionalFormatting>
  <dataValidations count="2">
    <dataValidation type="list" allowBlank="1" showInputMessage="1" showErrorMessage="1" sqref="B5:H111" xr:uid="{CB8AA980-3B8F-4872-A011-44F1A884CC7C}">
      <formula1>$J$5:$J$22</formula1>
    </dataValidation>
    <dataValidation type="list" allowBlank="1" showInputMessage="1" showErrorMessage="1" sqref="B112:H113" xr:uid="{F9612C0C-E647-446F-8BC5-5FAF93579D89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F173661-5FC1-432A-98FB-6AFC1A78AF76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F306E4AB-8D26-46C7-B0D2-B35FA567E19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8E90490D-907A-49A2-8B23-71E7402056A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4650DAE8-3126-43D6-A7B1-C5C597ECCD29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0D2F1E3A-CEA7-49FD-B896-C7E8CFBAD77D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E47226A5-8A22-4D08-8A84-2267251D56F1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8" operator="containsText" id="{BA40A61B-30BB-4367-8523-C851F17DB25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9" operator="containsText" id="{E5738051-6508-4A9A-82A5-605A3766E76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0" operator="containsText" id="{8DA0248B-B2E1-4319-BC98-2877C7AC8DC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1" operator="containsText" id="{065BCEA3-1053-4EB1-AA93-7EBD4216FF9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2" operator="containsText" id="{F04AD50B-1061-4937-B156-086F00C74ACA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3" operator="containsText" id="{D18B5EE6-2EBA-41C2-96B5-D71DCF630C5C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4" operator="containsText" id="{55EB35A6-FB45-400C-9A90-C2DEB6D5EDF7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BA9AE50E-E3FE-4FE7-A02E-2709B612ADDE}">
            <xm:f>NOT(ISERROR(SEARCH($E$111,B5)))</xm:f>
            <xm:f>$E$111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6" operator="containsText" id="{2B5D7811-DF8C-4339-BDDD-9075A41D78B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7" operator="containsText" id="{6669EF00-E726-4A7B-92BA-90608C99D1FB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8" operator="containsText" id="{F3E675EB-8882-496C-93ED-A63216E73F11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49" operator="containsText" id="{2CE05D33-94E6-46D6-8D45-DBF7B6F982A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0" operator="containsText" id="{C3522251-0EC2-4CB4-B74C-91EDE1B756B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1" operator="containsText" id="{811593E0-CEFE-4FA3-A44E-FD7F188BFB2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2960DA74-93FB-4312-B9D5-8311C9949DB5}">
            <xm:f>NOT(ISERROR(SEARCH($J$22,B5)))</xm:f>
            <xm:f>$J$22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6" operator="containsText" id="{721D7B67-9283-488F-890F-862DCA5802F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10" operator="containsText" id="{399C2C95-1361-403B-A6D7-8ED06284C5A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7D5E78AB-7A8C-4F82-9DAB-C5DF3458FB73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2254E5C2-4221-42EE-9A63-7E34252B1E2A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A4EB764A-17EC-443F-A928-4F53AE743297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D87D04AA-80F4-4C11-AA4B-3599583B981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C42F5FBC-18A9-43FC-9FC7-F32EDDCCD7D6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BF7FDFCB-45B1-4C95-9840-A7F64497033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B5:H113</xm:sqref>
        </x14:conditionalFormatting>
        <x14:conditionalFormatting xmlns:xm="http://schemas.microsoft.com/office/excel/2006/main">
          <x14:cfRule type="containsText" priority="9" operator="containsText" id="{DDD7B509-520C-4C87-B2FA-331A8D0F93B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B5:H114</xm:sqref>
        </x14:conditionalFormatting>
      </x14:conditionalFormatting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1914-E241-4C81-8D17-2C6B2F667821}">
  <sheetPr>
    <tabColor rgb="FF92D050"/>
    <pageSetUpPr fitToPage="1"/>
  </sheetPr>
  <dimension ref="A1:P111"/>
  <sheetViews>
    <sheetView showGridLines="0" zoomScaleNormal="100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O18" sqref="O18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45110</v>
      </c>
      <c r="C3" s="11">
        <f t="shared" ref="C3:H3" si="0">B3+1</f>
        <v>45111</v>
      </c>
      <c r="D3" s="11">
        <f t="shared" si="0"/>
        <v>45112</v>
      </c>
      <c r="E3" s="11">
        <f t="shared" si="0"/>
        <v>45113</v>
      </c>
      <c r="F3" s="11">
        <f t="shared" si="0"/>
        <v>45114</v>
      </c>
      <c r="G3" s="11">
        <f t="shared" si="0"/>
        <v>45115</v>
      </c>
      <c r="H3" s="12">
        <f t="shared" si="0"/>
        <v>45116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19" si="2">COUNTIF($B$5:$H$111,J5)</f>
        <v>1</v>
      </c>
      <c r="L5" s="54">
        <f t="shared" ref="L5:L23" si="3">K5/$K$23</f>
        <v>6.6666666666666666E-2</v>
      </c>
      <c r="M5" s="58">
        <f>B3</f>
        <v>45110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2</v>
      </c>
      <c r="L6" s="54">
        <f t="shared" si="3"/>
        <v>0.13333333333333333</v>
      </c>
    </row>
    <row r="7" spans="1:16" x14ac:dyDescent="0.25">
      <c r="A7" s="6" t="s">
        <v>26</v>
      </c>
      <c r="B7" s="9"/>
      <c r="C7" s="9"/>
      <c r="D7" s="9" t="s">
        <v>7</v>
      </c>
      <c r="E7" s="9"/>
      <c r="F7" s="9"/>
      <c r="G7" s="9"/>
      <c r="H7" s="9"/>
      <c r="J7" s="22" t="s">
        <v>127</v>
      </c>
      <c r="K7" s="1">
        <f t="shared" si="2"/>
        <v>1</v>
      </c>
      <c r="L7" s="54">
        <f t="shared" si="3"/>
        <v>6.6666666666666666E-2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1</v>
      </c>
      <c r="L8" s="54">
        <f t="shared" si="3"/>
        <v>6.6666666666666666E-2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6</v>
      </c>
      <c r="L9" s="54">
        <f t="shared" si="3"/>
        <v>0.4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2</v>
      </c>
      <c r="L10" s="54">
        <f t="shared" si="3"/>
        <v>0.13333333333333333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1</v>
      </c>
      <c r="L14" s="54">
        <f t="shared" si="3"/>
        <v>6.6666666666666666E-2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1</v>
      </c>
      <c r="L16" s="54">
        <f t="shared" si="3"/>
        <v>6.6666666666666666E-2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COUNTIF($B$5:$H$111,J20)</f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t="s">
        <v>216</v>
      </c>
      <c r="K21" s="1">
        <f>COUNTIF($B$5:$H$111,J21)</f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64" t="s">
        <v>173</v>
      </c>
      <c r="K22" s="1">
        <f>COUNTIF($B$5:$H$111,J22)</f>
        <v>0</v>
      </c>
      <c r="L22" s="54">
        <f t="shared" si="3"/>
        <v>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 t="s">
        <v>2</v>
      </c>
      <c r="K23" s="1">
        <f>SUM(K5:K22)</f>
        <v>15</v>
      </c>
      <c r="L23" s="54">
        <f t="shared" si="3"/>
        <v>1</v>
      </c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 t="s">
        <v>118</v>
      </c>
      <c r="C36" s="9" t="s">
        <v>118</v>
      </c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 t="s">
        <v>127</v>
      </c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 t="s">
        <v>5</v>
      </c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 t="s">
        <v>5</v>
      </c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 t="s">
        <v>15</v>
      </c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 t="s">
        <v>30</v>
      </c>
      <c r="E91" s="9" t="s">
        <v>30</v>
      </c>
      <c r="F91" s="9" t="s">
        <v>30</v>
      </c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 t="s">
        <v>30</v>
      </c>
      <c r="E95" s="9" t="s">
        <v>30</v>
      </c>
      <c r="F95" s="9" t="s">
        <v>30</v>
      </c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 t="s">
        <v>13</v>
      </c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 t="s">
        <v>4</v>
      </c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217</v>
      </c>
      <c r="B109" s="9"/>
      <c r="C109" s="9"/>
      <c r="D109" s="9"/>
      <c r="E109" s="9"/>
      <c r="F109" s="9"/>
      <c r="G109" s="9"/>
      <c r="H109" s="9"/>
    </row>
    <row r="110" spans="1:8" x14ac:dyDescent="0.25">
      <c r="A110" s="6" t="s">
        <v>218</v>
      </c>
      <c r="B110" s="9"/>
      <c r="C110" s="9"/>
      <c r="D110" s="9"/>
      <c r="E110" s="9"/>
      <c r="F110" s="9"/>
      <c r="G110" s="9"/>
      <c r="H110" s="9"/>
    </row>
    <row r="111" spans="1:8" x14ac:dyDescent="0.25">
      <c r="A111" s="6" t="s">
        <v>115</v>
      </c>
      <c r="B111" s="9"/>
      <c r="C111" s="9"/>
      <c r="D111" s="9"/>
      <c r="E111" s="9"/>
      <c r="F111" s="9"/>
      <c r="G111" s="9"/>
      <c r="H111" s="9"/>
    </row>
  </sheetData>
  <mergeCells count="1">
    <mergeCell ref="A1:H2"/>
  </mergeCells>
  <conditionalFormatting sqref="A1:A1048576">
    <cfRule type="containsText" dxfId="261" priority="7" operator="containsText" text="Pivô">
      <formula>NOT(ISERROR(SEARCH("Pivô",A1)))</formula>
    </cfRule>
    <cfRule type="containsText" dxfId="260" priority="8" operator="containsText" text="Pivô">
      <formula>NOT(ISERROR(SEARCH("Pivô",A1)))</formula>
    </cfRule>
  </conditionalFormatting>
  <conditionalFormatting sqref="B5:H111">
    <cfRule type="containsText" dxfId="258" priority="3" operator="containsText" text="Desponte">
      <formula>NOT(ISERROR(SEARCH("Desponte",B5)))</formula>
    </cfRule>
    <cfRule type="containsText" dxfId="241" priority="27" operator="containsText" text="Pulverização">
      <formula>NOT(ISERROR(SEARCH("Pulverização",B5)))</formula>
    </cfRule>
    <cfRule type="cellIs" dxfId="236" priority="26" operator="equal">
      <formula>$J$20</formula>
    </cfRule>
    <cfRule type="containsText" dxfId="235" priority="33" operator="containsText" text="Motorredutor">
      <formula>NOT(ISERROR(SEARCH("Motorredutor",B5)))</formula>
    </cfRule>
    <cfRule type="cellIs" dxfId="234" priority="28" operator="greaterThan">
      <formula>$J$5</formula>
    </cfRule>
    <cfRule type="containsText" dxfId="233" priority="29" operator="containsText" text="Cardã">
      <formula>NOT(ISERROR(SEARCH("Cardã",B5)))</formula>
    </cfRule>
    <cfRule type="containsText" dxfId="232" priority="30" operator="containsText" text="Pneu">
      <formula>NOT(ISERROR(SEARCH("Pneu",B5)))</formula>
    </cfRule>
    <cfRule type="containsText" dxfId="231" priority="31" operator="containsText" text="Vedação">
      <formula>NOT(ISERROR(SEARCH("Vedação",B5)))</formula>
    </cfRule>
    <cfRule type="containsText" dxfId="230" priority="32" operator="containsText" text="Retentor">
      <formula>NOT(ISERROR(SEARCH("Retentor",B5)))</formula>
    </cfRule>
    <cfRule type="containsText" dxfId="229" priority="34" operator="containsText" text="Redutor">
      <formula>NOT(ISERROR(SEARCH("Redutor",B5)))</formula>
    </cfRule>
    <cfRule type="containsText" dxfId="228" priority="35" operator="containsText" text="Bomba">
      <formula>NOT(ISERROR(SEARCH("Bomba",B5)))</formula>
    </cfRule>
  </conditionalFormatting>
  <conditionalFormatting sqref="B112:H113">
    <cfRule type="containsText" dxfId="218" priority="11" operator="containsText" text="Pulverização">
      <formula>NOT(ISERROR(SEARCH("Pulverização",B112)))</formula>
    </cfRule>
    <cfRule type="cellIs" dxfId="217" priority="12" operator="greaterThan">
      <formula>$J$5</formula>
    </cfRule>
    <cfRule type="containsText" dxfId="216" priority="13" operator="containsText" text="Cardã">
      <formula>NOT(ISERROR(SEARCH("Cardã",B112)))</formula>
    </cfRule>
    <cfRule type="containsText" dxfId="215" priority="14" operator="containsText" text="Pneu">
      <formula>NOT(ISERROR(SEARCH("Pneu",B112)))</formula>
    </cfRule>
    <cfRule type="containsText" dxfId="214" priority="15" operator="containsText" text="Vedação">
      <formula>NOT(ISERROR(SEARCH("Vedação",B112)))</formula>
    </cfRule>
    <cfRule type="containsText" dxfId="213" priority="16" operator="containsText" text="Retentor">
      <formula>NOT(ISERROR(SEARCH("Retentor",B112)))</formula>
    </cfRule>
    <cfRule type="containsText" dxfId="212" priority="17" operator="containsText" text="Motorredutor">
      <formula>NOT(ISERROR(SEARCH("Motorredutor",B112)))</formula>
    </cfRule>
    <cfRule type="containsText" dxfId="211" priority="18" operator="containsText" text="Redutor">
      <formula>NOT(ISERROR(SEARCH("Redutor",B112)))</formula>
    </cfRule>
    <cfRule type="containsText" dxfId="210" priority="19" operator="containsText" text="Bomba">
      <formula>NOT(ISERROR(SEARCH("Bomba",B112)))</formula>
    </cfRule>
  </conditionalFormatting>
  <dataValidations count="2">
    <dataValidation type="list" allowBlank="1" showInputMessage="1" showErrorMessage="1" sqref="B112:H113" xr:uid="{6190F355-EC52-4D02-9313-BDAD1EC019FE}">
      <formula1>$J$5:$J$11</formula1>
    </dataValidation>
    <dataValidation type="list" allowBlank="1" showInputMessage="1" showErrorMessage="1" sqref="B5:H111" xr:uid="{E85ED06F-96DC-428E-8FFA-B492217C040C}">
      <formula1>$J$5:$J$22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9AD7FE7-64F4-4144-86D2-D472D6F9CC24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CA639021-8425-4519-AF3A-6646075EFAB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F9ED7700-C181-436E-89DC-7FD81F3A6AF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34523630-CD11-4A87-9CE4-793B57CD75E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D35F1B17-02C4-43AE-B302-93CF85B1FBF3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854D9839-DEC3-4BF3-8EB6-CC6E355D372E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8" operator="containsText" id="{FD03678B-6C3C-4AD0-BFEF-913E0958CF3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9" operator="containsText" id="{CEC1A74C-F86F-4B73-BF44-7AE0FADCC4E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0" operator="containsText" id="{6F0FDB26-F474-478A-B51C-CE3F78D9C00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1" operator="containsText" id="{656E4371-2457-446E-8C26-CC48C4C4259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2" operator="containsText" id="{EFD9EF09-4CF1-40B7-8FF5-D8D67299B21B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3" operator="containsText" id="{F571E0B7-2747-4860-ABCB-5E773546B32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4" operator="containsText" id="{D40CE388-7F3C-429D-B51E-359970894FDF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AE3243B9-493F-4520-83A2-B59AB2824A9B}">
            <xm:f>NOT(ISERROR(SEARCH($E$111,B5)))</xm:f>
            <xm:f>$E$111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6" operator="containsText" id="{026E3757-2BD7-4168-BC4D-487FA55EBA3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7" operator="containsText" id="{C4672E88-F404-4BD4-B90A-8707DD6B5E61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8" operator="containsText" id="{9097B7F8-AD93-495E-95D8-18A790D12D51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49" operator="containsText" id="{5B409502-198A-4CC9-8A0B-AB85FDAEE95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0" operator="containsText" id="{0FB6F043-942F-48EF-998F-68162CB24C4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1" operator="containsText" id="{7CCC1CA4-18C7-4B3C-936E-87593476F5C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56A06373-1B8E-46CC-B1C8-26F13507D0B7}">
            <xm:f>NOT(ISERROR(SEARCH($J$22,B5)))</xm:f>
            <xm:f>$J$22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6" operator="containsText" id="{B6F686D4-5B93-4B7D-9B56-4DC172CB0DBB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10" operator="containsText" id="{78908316-4153-4B8D-B2A3-AF476432FF4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C9D8A03F-818D-4A0D-9C2C-3858AE2CBD48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215031B7-A8F3-42A0-83DA-ABCD7096AFD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22E64388-C9AB-4300-A697-7DE77A6469A4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99AC9B2D-7741-41D8-A2E7-D04B191B37C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10EACECD-0946-42E8-87F0-FFE1B721BEA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F8D475AC-9726-4109-B43B-1763DA04C0A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B5:H113</xm:sqref>
        </x14:conditionalFormatting>
        <x14:conditionalFormatting xmlns:xm="http://schemas.microsoft.com/office/excel/2006/main">
          <x14:cfRule type="containsText" priority="9" operator="containsText" id="{62807816-C3EC-4F1C-98D0-8DFE66DFDC4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B5:H114</xm:sqref>
        </x14:conditionalFormatting>
      </x14:conditionalFormatting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180A-FBEE-4B42-88B0-CE122A6838BA}">
  <sheetPr>
    <tabColor rgb="FF92D050"/>
    <pageSetUpPr fitToPage="1"/>
  </sheetPr>
  <dimension ref="A1:P111"/>
  <sheetViews>
    <sheetView showGridLines="0" zoomScaleNormal="100" workbookViewId="0">
      <pane xSplit="1" ySplit="4" topLeftCell="D26" activePane="bottomRight" state="frozen"/>
      <selection pane="topRight" activeCell="B1" sqref="B1"/>
      <selection pane="bottomLeft" activeCell="A5" sqref="A5"/>
      <selection pane="bottomRight" activeCell="J5" sqref="J5:L22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45117</v>
      </c>
      <c r="C3" s="11">
        <f t="shared" ref="C3:H3" si="0">B3+1</f>
        <v>45118</v>
      </c>
      <c r="D3" s="11">
        <f t="shared" si="0"/>
        <v>45119</v>
      </c>
      <c r="E3" s="11">
        <f t="shared" si="0"/>
        <v>45120</v>
      </c>
      <c r="F3" s="11">
        <f t="shared" si="0"/>
        <v>45121</v>
      </c>
      <c r="G3" s="11">
        <f t="shared" si="0"/>
        <v>45122</v>
      </c>
      <c r="H3" s="12">
        <f t="shared" si="0"/>
        <v>45123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19" si="2">COUNTIF($B$5:$H$111,J5)</f>
        <v>1</v>
      </c>
      <c r="L5" s="54">
        <f t="shared" ref="L5:L23" si="3">K5/$K$23</f>
        <v>0.1111111111111111</v>
      </c>
      <c r="M5" s="58">
        <f>B3</f>
        <v>45117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7</v>
      </c>
      <c r="L9" s="54">
        <f t="shared" si="3"/>
        <v>0.77777777777777779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1</v>
      </c>
      <c r="L14" s="54">
        <f t="shared" si="3"/>
        <v>0.1111111111111111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0</v>
      </c>
      <c r="L16" s="54">
        <f t="shared" si="3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COUNTIF($B$5:$H$111,J20)</f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t="s">
        <v>216</v>
      </c>
      <c r="K21" s="1">
        <f>COUNTIF($B$5:$H$111,J21)</f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64" t="s">
        <v>173</v>
      </c>
      <c r="K22" s="1">
        <f>COUNTIF($B$5:$H$111,J22)</f>
        <v>0</v>
      </c>
      <c r="L22" s="54">
        <f t="shared" si="3"/>
        <v>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 t="s">
        <v>2</v>
      </c>
      <c r="K23" s="1">
        <f>SUM(K5:K22)</f>
        <v>9</v>
      </c>
      <c r="L23" s="54">
        <f t="shared" si="3"/>
        <v>1</v>
      </c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 t="s">
        <v>30</v>
      </c>
      <c r="C91" s="9" t="s">
        <v>30</v>
      </c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 t="s">
        <v>30</v>
      </c>
      <c r="C95" s="9" t="s">
        <v>30</v>
      </c>
      <c r="D95" s="9" t="s">
        <v>30</v>
      </c>
      <c r="E95" s="9" t="s">
        <v>30</v>
      </c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 t="s">
        <v>30</v>
      </c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 t="s">
        <v>4</v>
      </c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 t="s">
        <v>13</v>
      </c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217</v>
      </c>
      <c r="B109" s="9"/>
      <c r="C109" s="9"/>
      <c r="D109" s="9"/>
      <c r="E109" s="9"/>
      <c r="F109" s="9"/>
      <c r="G109" s="9"/>
      <c r="H109" s="9"/>
    </row>
    <row r="110" spans="1:8" x14ac:dyDescent="0.25">
      <c r="A110" s="6" t="s">
        <v>218</v>
      </c>
      <c r="B110" s="9"/>
      <c r="C110" s="9"/>
      <c r="D110" s="9"/>
      <c r="E110" s="9"/>
      <c r="F110" s="9"/>
      <c r="G110" s="9"/>
      <c r="H110" s="9"/>
    </row>
    <row r="111" spans="1:8" x14ac:dyDescent="0.25">
      <c r="A111" s="6" t="s">
        <v>115</v>
      </c>
      <c r="B111" s="9"/>
      <c r="C111" s="9"/>
      <c r="D111" s="9"/>
      <c r="E111" s="9"/>
      <c r="F111" s="9"/>
      <c r="G111" s="9"/>
      <c r="H111" s="9"/>
    </row>
  </sheetData>
  <mergeCells count="1">
    <mergeCell ref="A1:H2"/>
  </mergeCells>
  <conditionalFormatting sqref="A1:A1048576">
    <cfRule type="containsText" dxfId="209" priority="7" operator="containsText" text="Pivô">
      <formula>NOT(ISERROR(SEARCH("Pivô",A1)))</formula>
    </cfRule>
    <cfRule type="containsText" dxfId="208" priority="8" operator="containsText" text="Pivô">
      <formula>NOT(ISERROR(SEARCH("Pivô",A1)))</formula>
    </cfRule>
  </conditionalFormatting>
  <conditionalFormatting sqref="B5:H111">
    <cfRule type="containsText" dxfId="206" priority="3" operator="containsText" text="Desponte">
      <formula>NOT(ISERROR(SEARCH("Desponte",B5)))</formula>
    </cfRule>
    <cfRule type="containsText" dxfId="189" priority="27" operator="containsText" text="Pulverização">
      <formula>NOT(ISERROR(SEARCH("Pulverização",B5)))</formula>
    </cfRule>
    <cfRule type="cellIs" dxfId="184" priority="26" operator="equal">
      <formula>$J$20</formula>
    </cfRule>
    <cfRule type="containsText" dxfId="183" priority="33" operator="containsText" text="Motorredutor">
      <formula>NOT(ISERROR(SEARCH("Motorredutor",B5)))</formula>
    </cfRule>
    <cfRule type="cellIs" dxfId="182" priority="28" operator="greaterThan">
      <formula>$J$5</formula>
    </cfRule>
    <cfRule type="containsText" dxfId="181" priority="29" operator="containsText" text="Cardã">
      <formula>NOT(ISERROR(SEARCH("Cardã",B5)))</formula>
    </cfRule>
    <cfRule type="containsText" dxfId="180" priority="30" operator="containsText" text="Pneu">
      <formula>NOT(ISERROR(SEARCH("Pneu",B5)))</formula>
    </cfRule>
    <cfRule type="containsText" dxfId="179" priority="31" operator="containsText" text="Vedação">
      <formula>NOT(ISERROR(SEARCH("Vedação",B5)))</formula>
    </cfRule>
    <cfRule type="containsText" dxfId="178" priority="32" operator="containsText" text="Retentor">
      <formula>NOT(ISERROR(SEARCH("Retentor",B5)))</formula>
    </cfRule>
    <cfRule type="containsText" dxfId="177" priority="34" operator="containsText" text="Redutor">
      <formula>NOT(ISERROR(SEARCH("Redutor",B5)))</formula>
    </cfRule>
    <cfRule type="containsText" dxfId="176" priority="35" operator="containsText" text="Bomba">
      <formula>NOT(ISERROR(SEARCH("Bomba",B5)))</formula>
    </cfRule>
  </conditionalFormatting>
  <conditionalFormatting sqref="B112:H113">
    <cfRule type="containsText" dxfId="166" priority="11" operator="containsText" text="Pulverização">
      <formula>NOT(ISERROR(SEARCH("Pulverização",B112)))</formula>
    </cfRule>
    <cfRule type="cellIs" dxfId="165" priority="12" operator="greaterThan">
      <formula>$J$5</formula>
    </cfRule>
    <cfRule type="containsText" dxfId="164" priority="13" operator="containsText" text="Cardã">
      <formula>NOT(ISERROR(SEARCH("Cardã",B112)))</formula>
    </cfRule>
    <cfRule type="containsText" dxfId="163" priority="14" operator="containsText" text="Pneu">
      <formula>NOT(ISERROR(SEARCH("Pneu",B112)))</formula>
    </cfRule>
    <cfRule type="containsText" dxfId="162" priority="15" operator="containsText" text="Vedação">
      <formula>NOT(ISERROR(SEARCH("Vedação",B112)))</formula>
    </cfRule>
    <cfRule type="containsText" dxfId="161" priority="16" operator="containsText" text="Retentor">
      <formula>NOT(ISERROR(SEARCH("Retentor",B112)))</formula>
    </cfRule>
    <cfRule type="containsText" dxfId="160" priority="17" operator="containsText" text="Motorredutor">
      <formula>NOT(ISERROR(SEARCH("Motorredutor",B112)))</formula>
    </cfRule>
    <cfRule type="containsText" dxfId="159" priority="18" operator="containsText" text="Redutor">
      <formula>NOT(ISERROR(SEARCH("Redutor",B112)))</formula>
    </cfRule>
    <cfRule type="containsText" dxfId="158" priority="19" operator="containsText" text="Bomba">
      <formula>NOT(ISERROR(SEARCH("Bomba",B112)))</formula>
    </cfRule>
  </conditionalFormatting>
  <dataValidations count="2">
    <dataValidation type="list" allowBlank="1" showInputMessage="1" showErrorMessage="1" sqref="B5:H111" xr:uid="{76EC28CC-BD3C-45E2-BBD8-7A59B64DE2AB}">
      <formula1>$J$5:$J$22</formula1>
    </dataValidation>
    <dataValidation type="list" allowBlank="1" showInputMessage="1" showErrorMessage="1" sqref="B112:H113" xr:uid="{F9F42F4E-E10A-45CC-9C77-FBFB8CA6B8CA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748D00C-63A1-4227-B79F-0AC4AF99A820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6B9552F6-A8E3-4D55-B909-BAB7E94A267D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8AEAB194-170E-4D17-A279-D8894FE0D29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1913C659-2CC9-48F1-90D8-A4FC6C5476B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646B53E6-9A44-4BC6-92B7-04803DD633B4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D9207852-C845-4C8A-ACB6-F3CE9C901FA6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8" operator="containsText" id="{E2BBF14F-A2FB-4ADD-B2C8-D5422F9650D4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9" operator="containsText" id="{BA08C934-C319-44CC-8CEC-49590403E71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0" operator="containsText" id="{FC0B7DBD-2B26-4B43-A556-5333C23F7EF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1" operator="containsText" id="{4C06F6EB-6A4F-4C9A-87A5-255E5F8C52C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2" operator="containsText" id="{2CE46B7E-F892-4AE0-A59C-1B473C60DE39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3" operator="containsText" id="{64C58E0B-B5B8-4E85-AEAE-67B71FE97C3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4" operator="containsText" id="{C1ACDA14-1109-435B-B9DD-C68C74AACBA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1F88ECDB-06D9-4D4B-96BE-052404919AF4}">
            <xm:f>NOT(ISERROR(SEARCH($E$111,B5)))</xm:f>
            <xm:f>$E$111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6" operator="containsText" id="{7F7178F3-E3D0-4D22-BD18-216646B958D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7" operator="containsText" id="{CCECF5FE-0CCD-4863-8F66-996B3801E871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8" operator="containsText" id="{E7E1150B-120A-4FA5-A456-B7C58310D7C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49" operator="containsText" id="{CB7B2B6F-900C-468F-A1C1-3DBAFDA1CA3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0" operator="containsText" id="{D61D6D1E-166E-402E-B9CF-BC3BBFBC9BF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1" operator="containsText" id="{4523A54B-4F82-4DD3-A895-B54DC10A1B8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12715674-41D9-47D2-A635-5231651C4020}">
            <xm:f>NOT(ISERROR(SEARCH($J$22,B5)))</xm:f>
            <xm:f>$J$22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6" operator="containsText" id="{56A0B50B-3100-4D02-9A87-69544C0DBB8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10" operator="containsText" id="{ED5AD294-1CEA-4193-8820-5D937711812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57491F48-3EBA-40FD-8456-3FABF2BC49ED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63084F92-5E35-4A46-A66A-5CDD8DFED4B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DBE22358-CE09-4C3D-9D22-9469D02AC559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BC8DB82E-7853-41C7-AA72-C41A778E5B2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414B5358-8D95-4701-AEAF-4DAD36FDB183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E905928C-13F3-432A-BD0B-547E3FB616B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B5:H113</xm:sqref>
        </x14:conditionalFormatting>
        <x14:conditionalFormatting xmlns:xm="http://schemas.microsoft.com/office/excel/2006/main">
          <x14:cfRule type="containsText" priority="9" operator="containsText" id="{B596CEEC-1CC8-4417-9406-1767B79DC395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B5:H114</xm:sqref>
        </x14:conditionalFormatting>
      </x14:conditionalFormatting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0487-FF5C-47DA-A222-6D926F30915E}">
  <sheetPr>
    <tabColor rgb="FF92D050"/>
    <pageSetUpPr fitToPage="1"/>
  </sheetPr>
  <dimension ref="A1:P111"/>
  <sheetViews>
    <sheetView showGridLines="0" zoomScaleNormal="100" workbookViewId="0">
      <pane xSplit="1" ySplit="4" topLeftCell="E67" activePane="bottomRight" state="frozen"/>
      <selection pane="topRight" activeCell="B1" sqref="B1"/>
      <selection pane="bottomLeft" activeCell="A5" sqref="A5"/>
      <selection pane="bottomRight" activeCell="G92" sqref="G92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45124</v>
      </c>
      <c r="C3" s="11">
        <f t="shared" ref="C3:H3" si="0">B3+1</f>
        <v>45125</v>
      </c>
      <c r="D3" s="11">
        <f t="shared" si="0"/>
        <v>45126</v>
      </c>
      <c r="E3" s="11">
        <f t="shared" si="0"/>
        <v>45127</v>
      </c>
      <c r="F3" s="11">
        <f t="shared" si="0"/>
        <v>45128</v>
      </c>
      <c r="G3" s="11">
        <f t="shared" si="0"/>
        <v>45129</v>
      </c>
      <c r="H3" s="12">
        <f t="shared" si="0"/>
        <v>45130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19" si="2">COUNTIF($B$5:$H$111,J5)</f>
        <v>3</v>
      </c>
      <c r="L5" s="54">
        <f t="shared" ref="L5:L23" si="3">K5/$K$23</f>
        <v>0.33333333333333331</v>
      </c>
      <c r="M5" s="58">
        <f>B3</f>
        <v>45124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6</v>
      </c>
      <c r="L9" s="54">
        <f t="shared" si="3"/>
        <v>0.66666666666666663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0</v>
      </c>
      <c r="L16" s="54">
        <f t="shared" si="3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COUNTIF($B$5:$H$111,J20)</f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t="s">
        <v>216</v>
      </c>
      <c r="K21" s="1">
        <f>COUNTIF($B$5:$H$111,J21)</f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64" t="s">
        <v>173</v>
      </c>
      <c r="K22" s="1">
        <f>COUNTIF($B$5:$H$111,J22)</f>
        <v>0</v>
      </c>
      <c r="L22" s="54">
        <f t="shared" si="3"/>
        <v>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 t="s">
        <v>2</v>
      </c>
      <c r="K23" s="1">
        <f>SUM(K5:K22)</f>
        <v>9</v>
      </c>
      <c r="L23" s="54">
        <f t="shared" si="3"/>
        <v>1</v>
      </c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 t="s">
        <v>30</v>
      </c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/>
      <c r="D64" s="9" t="s">
        <v>30</v>
      </c>
      <c r="E64" s="9"/>
      <c r="F64" s="9" t="s">
        <v>30</v>
      </c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 t="s">
        <v>30</v>
      </c>
      <c r="F70" s="9" t="s">
        <v>30</v>
      </c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 t="s">
        <v>4</v>
      </c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/>
      <c r="D93" s="9"/>
      <c r="E93" s="9" t="s">
        <v>30</v>
      </c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 t="s">
        <v>4</v>
      </c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 t="s">
        <v>4</v>
      </c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217</v>
      </c>
      <c r="B109" s="9"/>
      <c r="C109" s="9"/>
      <c r="D109" s="9"/>
      <c r="E109" s="9"/>
      <c r="F109" s="9"/>
      <c r="G109" s="9"/>
      <c r="H109" s="9"/>
    </row>
    <row r="110" spans="1:8" x14ac:dyDescent="0.25">
      <c r="A110" s="6" t="s">
        <v>218</v>
      </c>
      <c r="B110" s="9"/>
      <c r="C110" s="9"/>
      <c r="D110" s="9"/>
      <c r="E110" s="9"/>
      <c r="F110" s="9"/>
      <c r="G110" s="9"/>
      <c r="H110" s="9"/>
    </row>
    <row r="111" spans="1:8" x14ac:dyDescent="0.25">
      <c r="A111" s="6" t="s">
        <v>115</v>
      </c>
      <c r="B111" s="9"/>
      <c r="C111" s="9"/>
      <c r="D111" s="9"/>
      <c r="E111" s="9"/>
      <c r="F111" s="9"/>
      <c r="G111" s="9"/>
      <c r="H111" s="9"/>
    </row>
  </sheetData>
  <mergeCells count="1">
    <mergeCell ref="A1:H2"/>
  </mergeCells>
  <conditionalFormatting sqref="A1:A1048576">
    <cfRule type="containsText" dxfId="157" priority="7" operator="containsText" text="Pivô">
      <formula>NOT(ISERROR(SEARCH("Pivô",A1)))</formula>
    </cfRule>
    <cfRule type="containsText" dxfId="156" priority="8" operator="containsText" text="Pivô">
      <formula>NOT(ISERROR(SEARCH("Pivô",A1)))</formula>
    </cfRule>
  </conditionalFormatting>
  <conditionalFormatting sqref="B5:H111">
    <cfRule type="containsText" dxfId="154" priority="3" operator="containsText" text="Desponte">
      <formula>NOT(ISERROR(SEARCH("Desponte",B5)))</formula>
    </cfRule>
    <cfRule type="containsText" dxfId="137" priority="27" operator="containsText" text="Pulverização">
      <formula>NOT(ISERROR(SEARCH("Pulverização",B5)))</formula>
    </cfRule>
    <cfRule type="cellIs" dxfId="132" priority="26" operator="equal">
      <formula>$J$20</formula>
    </cfRule>
    <cfRule type="containsText" dxfId="131" priority="33" operator="containsText" text="Motorredutor">
      <formula>NOT(ISERROR(SEARCH("Motorredutor",B5)))</formula>
    </cfRule>
    <cfRule type="cellIs" dxfId="130" priority="28" operator="greaterThan">
      <formula>$J$5</formula>
    </cfRule>
    <cfRule type="containsText" dxfId="129" priority="29" operator="containsText" text="Cardã">
      <formula>NOT(ISERROR(SEARCH("Cardã",B5)))</formula>
    </cfRule>
    <cfRule type="containsText" dxfId="128" priority="30" operator="containsText" text="Pneu">
      <formula>NOT(ISERROR(SEARCH("Pneu",B5)))</formula>
    </cfRule>
    <cfRule type="containsText" dxfId="127" priority="31" operator="containsText" text="Vedação">
      <formula>NOT(ISERROR(SEARCH("Vedação",B5)))</formula>
    </cfRule>
    <cfRule type="containsText" dxfId="126" priority="32" operator="containsText" text="Retentor">
      <formula>NOT(ISERROR(SEARCH("Retentor",B5)))</formula>
    </cfRule>
    <cfRule type="containsText" dxfId="125" priority="34" operator="containsText" text="Redutor">
      <formula>NOT(ISERROR(SEARCH("Redutor",B5)))</formula>
    </cfRule>
    <cfRule type="containsText" dxfId="124" priority="35" operator="containsText" text="Bomba">
      <formula>NOT(ISERROR(SEARCH("Bomba",B5)))</formula>
    </cfRule>
  </conditionalFormatting>
  <conditionalFormatting sqref="B112:H113">
    <cfRule type="containsText" dxfId="114" priority="11" operator="containsText" text="Pulverização">
      <formula>NOT(ISERROR(SEARCH("Pulverização",B112)))</formula>
    </cfRule>
    <cfRule type="cellIs" dxfId="113" priority="12" operator="greaterThan">
      <formula>$J$5</formula>
    </cfRule>
    <cfRule type="containsText" dxfId="112" priority="13" operator="containsText" text="Cardã">
      <formula>NOT(ISERROR(SEARCH("Cardã",B112)))</formula>
    </cfRule>
    <cfRule type="containsText" dxfId="111" priority="14" operator="containsText" text="Pneu">
      <formula>NOT(ISERROR(SEARCH("Pneu",B112)))</formula>
    </cfRule>
    <cfRule type="containsText" dxfId="110" priority="15" operator="containsText" text="Vedação">
      <formula>NOT(ISERROR(SEARCH("Vedação",B112)))</formula>
    </cfRule>
    <cfRule type="containsText" dxfId="109" priority="16" operator="containsText" text="Retentor">
      <formula>NOT(ISERROR(SEARCH("Retentor",B112)))</formula>
    </cfRule>
    <cfRule type="containsText" dxfId="108" priority="17" operator="containsText" text="Motorredutor">
      <formula>NOT(ISERROR(SEARCH("Motorredutor",B112)))</formula>
    </cfRule>
    <cfRule type="containsText" dxfId="107" priority="18" operator="containsText" text="Redutor">
      <formula>NOT(ISERROR(SEARCH("Redutor",B112)))</formula>
    </cfRule>
    <cfRule type="containsText" dxfId="106" priority="19" operator="containsText" text="Bomba">
      <formula>NOT(ISERROR(SEARCH("Bomba",B112)))</formula>
    </cfRule>
  </conditionalFormatting>
  <dataValidations count="2">
    <dataValidation type="list" allowBlank="1" showInputMessage="1" showErrorMessage="1" sqref="B112:H113" xr:uid="{74841075-292E-43AF-BCBD-E454F4A6A768}">
      <formula1>$J$5:$J$11</formula1>
    </dataValidation>
    <dataValidation type="list" allowBlank="1" showInputMessage="1" showErrorMessage="1" sqref="B5:H111" xr:uid="{F01D35EC-8A6D-498B-957A-7781432264A9}">
      <formula1>$J$5:$J$22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9291B10-CDBD-415C-BD7E-0CC770BBF779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410B1E53-D5D4-4CA3-9222-39225A8C9058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61F6A201-2F77-4992-AF6A-DCD706B5ED59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361424E7-283E-4396-8F6F-E7ADDFE41B1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5831459A-BCEB-4F02-96F0-7166F5D82A7D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50FBD140-DC25-47C6-A836-91CFF7E10E06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8" operator="containsText" id="{7F8CF6F3-C3ED-40CD-882E-8D6F6E88808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9" operator="containsText" id="{7EF0939E-B7D8-4A95-A48E-034F4E24012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0" operator="containsText" id="{250B7C25-00C3-4C85-839F-5279FA8DFD1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1" operator="containsText" id="{CD96A84E-69EF-41D8-9C82-6AF570B21AE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2" operator="containsText" id="{8C286F1C-EF94-4842-A7AC-91D6EE23D9ED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3" operator="containsText" id="{61199A8A-C316-4F01-940F-9F4D7806CED3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4" operator="containsText" id="{0901A819-84EB-4EB1-8D15-AF0ED172E228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2866CC19-2FCE-4D60-A8EB-7937C64FD180}">
            <xm:f>NOT(ISERROR(SEARCH($E$111,B5)))</xm:f>
            <xm:f>$E$111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6" operator="containsText" id="{CF2D4066-1F58-43EA-A742-0D0554B42C2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7" operator="containsText" id="{407CDBC1-C642-4A88-9765-352EBBC4FC06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8" operator="containsText" id="{7953432F-0E17-4493-A3C0-0CA8B50E76E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49" operator="containsText" id="{5CFE8E62-B57C-46E0-AF6E-ED09B01DCE4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0" operator="containsText" id="{28B951AC-F240-40EE-996E-A78EE3EFB53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1" operator="containsText" id="{BEA6F3AA-BF80-4353-86BF-A214F51EB50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1D01DB40-E433-4B74-B758-0BF2474236DD}">
            <xm:f>NOT(ISERROR(SEARCH($J$22,B5)))</xm:f>
            <xm:f>$J$22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6" operator="containsText" id="{6B2C9215-DF45-44D0-B5E5-3D188617E69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10" operator="containsText" id="{A54F15E7-B078-401D-A573-C331F714312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E67EA2A0-BBEB-4220-BE4E-DD413D03E1E6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21FE9E71-824F-4FC2-AC5C-AE9B83B620C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C29DD2BE-BBF4-4145-B761-C66A919C5217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E9E57D69-7B45-4358-BE71-8369FDE5A50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6A6CE99E-CD4B-43F3-9F71-C8BC928C1FE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8A2F2CC3-1100-46CC-8C1B-5430ECD227C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B5:H113</xm:sqref>
        </x14:conditionalFormatting>
        <x14:conditionalFormatting xmlns:xm="http://schemas.microsoft.com/office/excel/2006/main">
          <x14:cfRule type="containsText" priority="9" operator="containsText" id="{1DC8D317-9F85-4834-94B0-4F692566BA5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B5:H114</xm:sqref>
        </x14:conditionalFormatting>
      </x14:conditionalFormatting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3436-03EF-4024-A9C9-3FB09036C19C}">
  <sheetPr>
    <tabColor rgb="FF92D050"/>
    <pageSetUpPr fitToPage="1"/>
  </sheetPr>
  <dimension ref="A1:P111"/>
  <sheetViews>
    <sheetView showGridLines="0" zoomScaleNormal="100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J5" sqref="J5:M22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45131</v>
      </c>
      <c r="C3" s="11">
        <f t="shared" ref="C3:H3" si="0">B3+1</f>
        <v>45132</v>
      </c>
      <c r="D3" s="11">
        <f t="shared" si="0"/>
        <v>45133</v>
      </c>
      <c r="E3" s="11">
        <f t="shared" si="0"/>
        <v>45134</v>
      </c>
      <c r="F3" s="11">
        <f t="shared" si="0"/>
        <v>45135</v>
      </c>
      <c r="G3" s="11">
        <f t="shared" si="0"/>
        <v>45136</v>
      </c>
      <c r="H3" s="12">
        <f t="shared" si="0"/>
        <v>45137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19" si="2">COUNTIF($B$5:$H$111,J5)</f>
        <v>1</v>
      </c>
      <c r="L5" s="54">
        <f t="shared" ref="L5:L23" si="3">K5/$K$23</f>
        <v>0.14285714285714285</v>
      </c>
      <c r="M5" s="58">
        <f>B3</f>
        <v>45131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0</v>
      </c>
      <c r="L6" s="54">
        <f t="shared" si="3"/>
        <v>0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3</v>
      </c>
      <c r="L9" s="54">
        <f t="shared" si="3"/>
        <v>0.42857142857142855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0</v>
      </c>
      <c r="L10" s="54">
        <f t="shared" si="3"/>
        <v>0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0</v>
      </c>
      <c r="L16" s="54">
        <f t="shared" si="3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COUNTIF($B$5:$H$111,J20)</f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t="s">
        <v>216</v>
      </c>
      <c r="K21" s="1">
        <f>COUNTIF($B$5:$H$111,J21)</f>
        <v>2</v>
      </c>
      <c r="L21" s="54">
        <f t="shared" si="3"/>
        <v>0.2857142857142857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64" t="s">
        <v>173</v>
      </c>
      <c r="K22" s="1">
        <f>COUNTIF($B$5:$H$111,J22)</f>
        <v>1</v>
      </c>
      <c r="L22" s="54">
        <f t="shared" si="3"/>
        <v>0.14285714285714285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 t="s">
        <v>2</v>
      </c>
      <c r="K23" s="1">
        <f>SUM(K5:K22)</f>
        <v>7</v>
      </c>
      <c r="L23" s="54">
        <f t="shared" si="3"/>
        <v>1</v>
      </c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/>
      <c r="C35" s="9"/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 t="s">
        <v>173</v>
      </c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/>
      <c r="C64" s="9" t="s">
        <v>30</v>
      </c>
      <c r="D64" s="9" t="s">
        <v>30</v>
      </c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 t="s">
        <v>4</v>
      </c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 t="s">
        <v>216</v>
      </c>
      <c r="H92" s="9"/>
    </row>
    <row r="93" spans="1:8" x14ac:dyDescent="0.25">
      <c r="A93" s="6" t="s">
        <v>99</v>
      </c>
      <c r="B93" s="9"/>
      <c r="C93" s="9"/>
      <c r="D93" s="9"/>
      <c r="E93" s="9"/>
      <c r="F93" s="9" t="s">
        <v>30</v>
      </c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 t="s">
        <v>216</v>
      </c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217</v>
      </c>
      <c r="B109" s="9"/>
      <c r="C109" s="9"/>
      <c r="D109" s="9"/>
      <c r="E109" s="9"/>
      <c r="F109" s="9"/>
      <c r="G109" s="9"/>
      <c r="H109" s="9"/>
    </row>
    <row r="110" spans="1:8" x14ac:dyDescent="0.25">
      <c r="A110" s="6" t="s">
        <v>218</v>
      </c>
      <c r="B110" s="9"/>
      <c r="C110" s="9"/>
      <c r="D110" s="9"/>
      <c r="E110" s="9"/>
      <c r="F110" s="9"/>
      <c r="G110" s="9"/>
      <c r="H110" s="9"/>
    </row>
    <row r="111" spans="1:8" x14ac:dyDescent="0.25">
      <c r="A111" s="6" t="s">
        <v>115</v>
      </c>
      <c r="B111" s="9"/>
      <c r="C111" s="9"/>
      <c r="D111" s="9"/>
      <c r="E111" s="9"/>
      <c r="F111" s="9"/>
      <c r="G111" s="9"/>
      <c r="H111" s="9"/>
    </row>
  </sheetData>
  <mergeCells count="1">
    <mergeCell ref="A1:H2"/>
  </mergeCells>
  <conditionalFormatting sqref="A1:A1048576">
    <cfRule type="containsText" dxfId="105" priority="7" operator="containsText" text="Pivô">
      <formula>NOT(ISERROR(SEARCH("Pivô",A1)))</formula>
    </cfRule>
    <cfRule type="containsText" dxfId="104" priority="8" operator="containsText" text="Pivô">
      <formula>NOT(ISERROR(SEARCH("Pivô",A1)))</formula>
    </cfRule>
  </conditionalFormatting>
  <conditionalFormatting sqref="B5:H111">
    <cfRule type="containsText" dxfId="102" priority="3" operator="containsText" text="Desponte">
      <formula>NOT(ISERROR(SEARCH("Desponte",B5)))</formula>
    </cfRule>
    <cfRule type="containsText" dxfId="85" priority="27" operator="containsText" text="Pulverização">
      <formula>NOT(ISERROR(SEARCH("Pulverização",B5)))</formula>
    </cfRule>
    <cfRule type="cellIs" dxfId="80" priority="26" operator="equal">
      <formula>$J$20</formula>
    </cfRule>
    <cfRule type="containsText" dxfId="79" priority="33" operator="containsText" text="Motorredutor">
      <formula>NOT(ISERROR(SEARCH("Motorredutor",B5)))</formula>
    </cfRule>
    <cfRule type="cellIs" dxfId="78" priority="28" operator="greaterThan">
      <formula>$J$5</formula>
    </cfRule>
    <cfRule type="containsText" dxfId="77" priority="29" operator="containsText" text="Cardã">
      <formula>NOT(ISERROR(SEARCH("Cardã",B5)))</formula>
    </cfRule>
    <cfRule type="containsText" dxfId="76" priority="30" operator="containsText" text="Pneu">
      <formula>NOT(ISERROR(SEARCH("Pneu",B5)))</formula>
    </cfRule>
    <cfRule type="containsText" dxfId="75" priority="31" operator="containsText" text="Vedação">
      <formula>NOT(ISERROR(SEARCH("Vedação",B5)))</formula>
    </cfRule>
    <cfRule type="containsText" dxfId="74" priority="32" operator="containsText" text="Retentor">
      <formula>NOT(ISERROR(SEARCH("Retentor",B5)))</formula>
    </cfRule>
    <cfRule type="containsText" dxfId="73" priority="34" operator="containsText" text="Redutor">
      <formula>NOT(ISERROR(SEARCH("Redutor",B5)))</formula>
    </cfRule>
    <cfRule type="containsText" dxfId="72" priority="35" operator="containsText" text="Bomba">
      <formula>NOT(ISERROR(SEARCH("Bomba",B5)))</formula>
    </cfRule>
  </conditionalFormatting>
  <conditionalFormatting sqref="B112:H113">
    <cfRule type="containsText" dxfId="62" priority="11" operator="containsText" text="Pulverização">
      <formula>NOT(ISERROR(SEARCH("Pulverização",B112)))</formula>
    </cfRule>
    <cfRule type="cellIs" dxfId="61" priority="12" operator="greaterThan">
      <formula>$J$5</formula>
    </cfRule>
    <cfRule type="containsText" dxfId="60" priority="13" operator="containsText" text="Cardã">
      <formula>NOT(ISERROR(SEARCH("Cardã",B112)))</formula>
    </cfRule>
    <cfRule type="containsText" dxfId="59" priority="14" operator="containsText" text="Pneu">
      <formula>NOT(ISERROR(SEARCH("Pneu",B112)))</formula>
    </cfRule>
    <cfRule type="containsText" dxfId="58" priority="15" operator="containsText" text="Vedação">
      <formula>NOT(ISERROR(SEARCH("Vedação",B112)))</formula>
    </cfRule>
    <cfRule type="containsText" dxfId="57" priority="16" operator="containsText" text="Retentor">
      <formula>NOT(ISERROR(SEARCH("Retentor",B112)))</formula>
    </cfRule>
    <cfRule type="containsText" dxfId="56" priority="17" operator="containsText" text="Motorredutor">
      <formula>NOT(ISERROR(SEARCH("Motorredutor",B112)))</formula>
    </cfRule>
    <cfRule type="containsText" dxfId="55" priority="18" operator="containsText" text="Redutor">
      <formula>NOT(ISERROR(SEARCH("Redutor",B112)))</formula>
    </cfRule>
    <cfRule type="containsText" dxfId="54" priority="19" operator="containsText" text="Bomba">
      <formula>NOT(ISERROR(SEARCH("Bomba",B112)))</formula>
    </cfRule>
  </conditionalFormatting>
  <dataValidations count="2">
    <dataValidation type="list" allowBlank="1" showInputMessage="1" showErrorMessage="1" sqref="B5:H111" xr:uid="{062A9289-A29B-4FB9-8213-4BE9070366B2}">
      <formula1>$J$5:$J$22</formula1>
    </dataValidation>
    <dataValidation type="list" allowBlank="1" showInputMessage="1" showErrorMessage="1" sqref="B112:H113" xr:uid="{56A4858A-6FA9-45D0-93CD-A14949210E26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7DB2F04-CA1B-485E-B813-FB53319FDAEF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21F48462-7C51-469C-8BCE-D050A35DE4D5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B685ADAA-378B-4BC6-9BB7-AFDBC9032627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7B55D068-8D1A-4874-BD3D-2F3D089631F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1" operator="containsText" id="{1EE35AA0-CCAD-461F-8B18-E2B09BA06315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7" operator="containsText" id="{609BDCB1-BCD0-4A0E-82FE-49AC038B8D4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8" operator="containsText" id="{FAA746DB-2654-41EF-8ED2-31C9F00575C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9" operator="containsText" id="{97DEED52-62BB-4303-A3F1-18FB5B62806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0" operator="containsText" id="{DEDA8B74-E337-4737-84BA-FB78CEAE40F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1" operator="containsText" id="{548F29E8-0CAA-4D96-B1B8-A238C350B5D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2" operator="containsText" id="{522B56D0-0170-4A71-A923-3C50D4657D30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3" operator="containsText" id="{CC95C0EF-B097-4B6B-ADC0-4685694953AC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4" operator="containsText" id="{529FE012-7CEE-4235-B93B-DC426E850F5B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0E9602F0-8DCB-4E25-816E-CE5A6908D03D}">
            <xm:f>NOT(ISERROR(SEARCH($E$111,B5)))</xm:f>
            <xm:f>$E$111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6" operator="containsText" id="{71733506-B543-471C-BA82-81191A13C87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7" operator="containsText" id="{E2304521-01BA-4EB9-8B52-6E2A4C3ABA16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8" operator="containsText" id="{2DC425E7-6CBF-4DFF-B4AC-4B8CDAF0C80A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49" operator="containsText" id="{2E83EAF5-9FFB-40B1-B21D-3EA35737D71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0" operator="containsText" id="{9C576997-F235-4DF4-8470-4C546D3428E0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1" operator="containsText" id="{4639A12D-F967-4CE9-99C1-C493B67AD0E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D920EFC4-B63D-4E87-88E9-5F317AC4D7D9}">
            <xm:f>NOT(ISERROR(SEARCH($J$22,B5)))</xm:f>
            <xm:f>$J$22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6" operator="containsText" id="{E366F8F4-EF4C-4A81-93C9-794F94FC92F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10" operator="containsText" id="{361516A4-D85B-4F53-A55B-693BF5E5E88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2D5EAF9A-D698-4448-A34C-D84100CF96D1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42D60536-0D3A-497E-9B3A-90230A0A20C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EDE179EF-FF97-4EEA-9671-979F405CA0C1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09A4B11A-8469-44AB-9974-81FC1450C74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7AD00305-ABF1-4CD5-96E2-6EEDBCF46C98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ontainsText" priority="21" operator="containsText" id="{69A95EE5-BA4D-4AC6-AA93-814B8752EF7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B5:H113</xm:sqref>
        </x14:conditionalFormatting>
        <x14:conditionalFormatting xmlns:xm="http://schemas.microsoft.com/office/excel/2006/main">
          <x14:cfRule type="containsText" priority="9" operator="containsText" id="{D87E2C26-2E62-4D56-9FBB-88BA3F844BDE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B5:H114</xm:sqref>
        </x14:conditionalFormatting>
      </x14:conditionalFormatting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FCF3-DB23-453E-9FE5-96C6719DA5DB}">
  <sheetPr>
    <tabColor rgb="FF92D050"/>
    <pageSetUpPr fitToPage="1"/>
  </sheetPr>
  <dimension ref="A1:P11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35" sqref="K35"/>
    </sheetView>
  </sheetViews>
  <sheetFormatPr defaultRowHeight="15" x14ac:dyDescent="0.25"/>
  <cols>
    <col min="2" max="8" width="17.42578125" customWidth="1"/>
    <col min="10" max="10" width="20.42578125" bestFit="1" customWidth="1"/>
    <col min="11" max="11" width="9" customWidth="1"/>
    <col min="13" max="13" width="11.85546875" bestFit="1" customWidth="1"/>
  </cols>
  <sheetData>
    <row r="1" spans="1:16" x14ac:dyDescent="0.25">
      <c r="A1" s="68" t="s">
        <v>208</v>
      </c>
      <c r="B1" s="68"/>
      <c r="C1" s="68"/>
      <c r="D1" s="68"/>
      <c r="E1" s="68"/>
      <c r="F1" s="68"/>
      <c r="G1" s="68"/>
      <c r="H1" s="68"/>
    </row>
    <row r="2" spans="1:16" x14ac:dyDescent="0.25">
      <c r="A2" s="68"/>
      <c r="B2" s="68"/>
      <c r="C2" s="68"/>
      <c r="D2" s="68"/>
      <c r="E2" s="68"/>
      <c r="F2" s="68"/>
      <c r="G2" s="68"/>
      <c r="H2" s="68"/>
    </row>
    <row r="3" spans="1:16" ht="15.75" x14ac:dyDescent="0.25">
      <c r="A3" s="10" t="s">
        <v>18</v>
      </c>
      <c r="B3" s="11">
        <v>45138</v>
      </c>
      <c r="C3" s="11">
        <f t="shared" ref="C3:H3" si="0">B3+1</f>
        <v>45139</v>
      </c>
      <c r="D3" s="11">
        <f t="shared" si="0"/>
        <v>45140</v>
      </c>
      <c r="E3" s="11">
        <f t="shared" si="0"/>
        <v>45141</v>
      </c>
      <c r="F3" s="11">
        <f t="shared" si="0"/>
        <v>45142</v>
      </c>
      <c r="G3" s="11">
        <f t="shared" si="0"/>
        <v>45143</v>
      </c>
      <c r="H3" s="12">
        <f t="shared" si="0"/>
        <v>45144</v>
      </c>
      <c r="K3" s="2"/>
    </row>
    <row r="4" spans="1:16" ht="15.75" x14ac:dyDescent="0.25">
      <c r="A4" s="13" t="s">
        <v>19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1</v>
      </c>
      <c r="K4" s="2" t="s">
        <v>20</v>
      </c>
      <c r="L4" t="s">
        <v>21</v>
      </c>
      <c r="M4" t="s">
        <v>22</v>
      </c>
    </row>
    <row r="5" spans="1:16" x14ac:dyDescent="0.25">
      <c r="A5" s="4" t="s">
        <v>23</v>
      </c>
      <c r="B5" s="8"/>
      <c r="C5" s="8"/>
      <c r="D5" s="8"/>
      <c r="E5" s="8"/>
      <c r="F5" s="8"/>
      <c r="G5" s="8"/>
      <c r="H5" s="8"/>
      <c r="J5" s="20" t="s">
        <v>4</v>
      </c>
      <c r="K5" s="1">
        <f t="shared" ref="K5:K19" si="2">COUNTIF($B$5:$H$111,J5)</f>
        <v>0</v>
      </c>
      <c r="L5" s="54">
        <f t="shared" ref="L5:L23" si="3">K5/$K$23</f>
        <v>0</v>
      </c>
      <c r="M5" s="58">
        <f>B3</f>
        <v>45138</v>
      </c>
    </row>
    <row r="6" spans="1:16" x14ac:dyDescent="0.25">
      <c r="A6" s="6" t="s">
        <v>25</v>
      </c>
      <c r="B6" s="9"/>
      <c r="C6" s="9"/>
      <c r="D6" s="9"/>
      <c r="E6" s="9"/>
      <c r="F6" s="9"/>
      <c r="G6" s="9"/>
      <c r="H6" s="9"/>
      <c r="J6" s="21" t="s">
        <v>5</v>
      </c>
      <c r="K6" s="1">
        <f t="shared" si="2"/>
        <v>2</v>
      </c>
      <c r="L6" s="54">
        <f t="shared" si="3"/>
        <v>0.4</v>
      </c>
    </row>
    <row r="7" spans="1:16" x14ac:dyDescent="0.25">
      <c r="A7" s="6" t="s">
        <v>26</v>
      </c>
      <c r="B7" s="9"/>
      <c r="C7" s="9"/>
      <c r="D7" s="9"/>
      <c r="E7" s="9"/>
      <c r="F7" s="9"/>
      <c r="G7" s="9"/>
      <c r="H7" s="9"/>
      <c r="J7" s="22" t="s">
        <v>127</v>
      </c>
      <c r="K7" s="1">
        <f t="shared" si="2"/>
        <v>0</v>
      </c>
      <c r="L7" s="54">
        <f t="shared" si="3"/>
        <v>0</v>
      </c>
    </row>
    <row r="8" spans="1:16" x14ac:dyDescent="0.25">
      <c r="A8" s="6" t="s">
        <v>28</v>
      </c>
      <c r="B8" s="9"/>
      <c r="C8" s="9"/>
      <c r="D8" s="9"/>
      <c r="E8" s="9"/>
      <c r="F8" s="9"/>
      <c r="G8" s="9"/>
      <c r="H8" s="9"/>
      <c r="J8" s="23" t="s">
        <v>7</v>
      </c>
      <c r="K8" s="1">
        <f t="shared" si="2"/>
        <v>0</v>
      </c>
      <c r="L8" s="54">
        <f t="shared" si="3"/>
        <v>0</v>
      </c>
    </row>
    <row r="9" spans="1:16" x14ac:dyDescent="0.25">
      <c r="A9" s="6" t="s">
        <v>29</v>
      </c>
      <c r="B9" s="9"/>
      <c r="C9" s="9"/>
      <c r="D9" s="9"/>
      <c r="E9" s="9"/>
      <c r="F9" s="9"/>
      <c r="G9" s="9"/>
      <c r="H9" s="9"/>
      <c r="J9" s="24" t="s">
        <v>30</v>
      </c>
      <c r="K9" s="1">
        <f t="shared" si="2"/>
        <v>1</v>
      </c>
      <c r="L9" s="54">
        <f t="shared" si="3"/>
        <v>0.2</v>
      </c>
      <c r="P9" s="3"/>
    </row>
    <row r="10" spans="1:16" x14ac:dyDescent="0.25">
      <c r="A10" s="6" t="s">
        <v>31</v>
      </c>
      <c r="B10" s="9"/>
      <c r="C10" s="9"/>
      <c r="D10" s="9"/>
      <c r="E10" s="9"/>
      <c r="F10" s="9"/>
      <c r="G10" s="9"/>
      <c r="H10" s="9"/>
      <c r="J10" s="25" t="s">
        <v>118</v>
      </c>
      <c r="K10" s="1">
        <f t="shared" si="2"/>
        <v>2</v>
      </c>
      <c r="L10" s="54">
        <f t="shared" si="3"/>
        <v>0.4</v>
      </c>
    </row>
    <row r="11" spans="1:16" x14ac:dyDescent="0.25">
      <c r="A11" s="6" t="s">
        <v>32</v>
      </c>
      <c r="B11" s="9"/>
      <c r="C11" s="9"/>
      <c r="D11" s="9"/>
      <c r="E11" s="9"/>
      <c r="F11" s="9"/>
      <c r="G11" s="9"/>
      <c r="H11" s="9"/>
      <c r="J11" s="26" t="s">
        <v>10</v>
      </c>
      <c r="K11" s="1">
        <f t="shared" si="2"/>
        <v>0</v>
      </c>
      <c r="L11" s="54">
        <f t="shared" si="3"/>
        <v>0</v>
      </c>
    </row>
    <row r="12" spans="1:16" x14ac:dyDescent="0.25">
      <c r="A12" s="6" t="s">
        <v>33</v>
      </c>
      <c r="B12" s="9"/>
      <c r="C12" s="9"/>
      <c r="D12" s="9"/>
      <c r="E12" s="9"/>
      <c r="F12" s="9"/>
      <c r="G12" s="9"/>
      <c r="H12" s="9"/>
      <c r="J12" s="27" t="s">
        <v>34</v>
      </c>
      <c r="K12" s="1">
        <f t="shared" si="2"/>
        <v>0</v>
      </c>
      <c r="L12" s="54">
        <f t="shared" si="3"/>
        <v>0</v>
      </c>
    </row>
    <row r="13" spans="1:16" x14ac:dyDescent="0.25">
      <c r="A13" s="6" t="s">
        <v>35</v>
      </c>
      <c r="B13" s="9"/>
      <c r="C13" s="9"/>
      <c r="D13" s="9"/>
      <c r="E13" s="9"/>
      <c r="F13" s="9"/>
      <c r="G13" s="9"/>
      <c r="H13" s="9"/>
      <c r="J13" s="28" t="s">
        <v>12</v>
      </c>
      <c r="K13" s="1">
        <f t="shared" si="2"/>
        <v>0</v>
      </c>
      <c r="L13" s="54">
        <f t="shared" si="3"/>
        <v>0</v>
      </c>
    </row>
    <row r="14" spans="1:16" x14ac:dyDescent="0.25">
      <c r="A14" s="6" t="s">
        <v>36</v>
      </c>
      <c r="B14" s="9"/>
      <c r="C14" s="9"/>
      <c r="D14" s="9"/>
      <c r="E14" s="9"/>
      <c r="F14" s="9"/>
      <c r="G14" s="9"/>
      <c r="H14" s="9"/>
      <c r="J14" s="39" t="s">
        <v>13</v>
      </c>
      <c r="K14" s="1">
        <f t="shared" si="2"/>
        <v>0</v>
      </c>
      <c r="L14" s="54">
        <f t="shared" si="3"/>
        <v>0</v>
      </c>
    </row>
    <row r="15" spans="1:16" x14ac:dyDescent="0.25">
      <c r="A15" s="6" t="s">
        <v>37</v>
      </c>
      <c r="B15" s="9"/>
      <c r="C15" s="9"/>
      <c r="D15" s="9"/>
      <c r="E15" s="9"/>
      <c r="F15" s="9"/>
      <c r="G15" s="9"/>
      <c r="H15" s="9"/>
      <c r="J15" s="47" t="s">
        <v>121</v>
      </c>
      <c r="K15" s="1">
        <f t="shared" si="2"/>
        <v>0</v>
      </c>
      <c r="L15" s="54">
        <f t="shared" si="3"/>
        <v>0</v>
      </c>
    </row>
    <row r="16" spans="1:16" x14ac:dyDescent="0.25">
      <c r="A16" s="6" t="s">
        <v>38</v>
      </c>
      <c r="B16" s="9"/>
      <c r="C16" s="9"/>
      <c r="D16" s="9"/>
      <c r="E16" s="9"/>
      <c r="F16" s="9"/>
      <c r="G16" s="9"/>
      <c r="H16" s="9"/>
      <c r="J16" s="53" t="s">
        <v>15</v>
      </c>
      <c r="K16" s="1">
        <f t="shared" si="2"/>
        <v>0</v>
      </c>
      <c r="L16" s="54">
        <f t="shared" si="3"/>
        <v>0</v>
      </c>
    </row>
    <row r="17" spans="1:12" x14ac:dyDescent="0.25">
      <c r="A17" s="6" t="s">
        <v>39</v>
      </c>
      <c r="B17" s="9"/>
      <c r="C17" s="9"/>
      <c r="D17" s="9"/>
      <c r="E17" s="9"/>
      <c r="F17" s="9"/>
      <c r="G17" s="9"/>
      <c r="H17" s="9"/>
      <c r="J17" s="56" t="s">
        <v>16</v>
      </c>
      <c r="K17" s="1">
        <f t="shared" si="2"/>
        <v>0</v>
      </c>
      <c r="L17" s="54">
        <f t="shared" si="3"/>
        <v>0</v>
      </c>
    </row>
    <row r="18" spans="1:12" x14ac:dyDescent="0.25">
      <c r="A18" s="6" t="s">
        <v>40</v>
      </c>
      <c r="B18" s="9"/>
      <c r="C18" s="9"/>
      <c r="D18" s="9"/>
      <c r="E18" s="9"/>
      <c r="F18" s="9"/>
      <c r="G18" s="9"/>
      <c r="H18" s="9"/>
      <c r="J18" s="36" t="s">
        <v>166</v>
      </c>
      <c r="K18" s="1">
        <f t="shared" si="2"/>
        <v>0</v>
      </c>
      <c r="L18" s="54">
        <f t="shared" si="3"/>
        <v>0</v>
      </c>
    </row>
    <row r="19" spans="1:12" x14ac:dyDescent="0.25">
      <c r="A19" s="6" t="s">
        <v>41</v>
      </c>
      <c r="B19" s="9"/>
      <c r="C19" s="9"/>
      <c r="D19" s="9"/>
      <c r="E19" s="9"/>
      <c r="F19" s="9"/>
      <c r="G19" s="9"/>
      <c r="H19" s="9"/>
      <c r="J19" s="63" t="s">
        <v>168</v>
      </c>
      <c r="K19" s="1">
        <f t="shared" si="2"/>
        <v>0</v>
      </c>
      <c r="L19" s="54">
        <f t="shared" si="3"/>
        <v>0</v>
      </c>
    </row>
    <row r="20" spans="1:12" x14ac:dyDescent="0.25">
      <c r="A20" s="6" t="s">
        <v>42</v>
      </c>
      <c r="B20" s="9"/>
      <c r="C20" s="9"/>
      <c r="D20" s="9"/>
      <c r="E20" s="9"/>
      <c r="F20" s="9"/>
      <c r="G20" s="9"/>
      <c r="H20" s="9"/>
      <c r="J20" s="65" t="s">
        <v>176</v>
      </c>
      <c r="K20" s="1">
        <f>COUNTIF($B$5:$H$111,J20)</f>
        <v>0</v>
      </c>
      <c r="L20" s="54">
        <f t="shared" si="3"/>
        <v>0</v>
      </c>
    </row>
    <row r="21" spans="1:12" x14ac:dyDescent="0.25">
      <c r="A21" s="6" t="s">
        <v>43</v>
      </c>
      <c r="B21" s="9"/>
      <c r="C21" s="9"/>
      <c r="D21" s="9"/>
      <c r="E21" s="9"/>
      <c r="F21" s="9"/>
      <c r="G21" s="9"/>
      <c r="H21" s="9"/>
      <c r="J21" t="s">
        <v>216</v>
      </c>
      <c r="K21" s="1">
        <f>COUNTIF($B$5:$H$111,J21)</f>
        <v>0</v>
      </c>
      <c r="L21" s="54">
        <f t="shared" si="3"/>
        <v>0</v>
      </c>
    </row>
    <row r="22" spans="1:12" x14ac:dyDescent="0.25">
      <c r="A22" s="6" t="s">
        <v>44</v>
      </c>
      <c r="B22" s="9"/>
      <c r="C22" s="9"/>
      <c r="D22" s="9"/>
      <c r="E22" s="9"/>
      <c r="F22" s="9"/>
      <c r="G22" s="9"/>
      <c r="H22" s="9"/>
      <c r="J22" s="64" t="s">
        <v>173</v>
      </c>
      <c r="K22" s="1">
        <f>COUNTIF($B$5:$H$111,J22)</f>
        <v>0</v>
      </c>
      <c r="L22" s="54">
        <f t="shared" si="3"/>
        <v>0</v>
      </c>
    </row>
    <row r="23" spans="1:12" x14ac:dyDescent="0.25">
      <c r="A23" s="6" t="s">
        <v>45</v>
      </c>
      <c r="B23" s="9"/>
      <c r="C23" s="9"/>
      <c r="D23" s="9"/>
      <c r="E23" s="9"/>
      <c r="F23" s="9"/>
      <c r="G23" s="9"/>
      <c r="H23" s="9"/>
      <c r="J23" s="7" t="s">
        <v>2</v>
      </c>
      <c r="K23" s="1">
        <f>SUM(K5:K22)</f>
        <v>5</v>
      </c>
      <c r="L23" s="54">
        <f t="shared" si="3"/>
        <v>1</v>
      </c>
    </row>
    <row r="24" spans="1:12" x14ac:dyDescent="0.25">
      <c r="A24" s="6" t="s">
        <v>46</v>
      </c>
      <c r="B24" s="9"/>
      <c r="C24" s="9"/>
      <c r="D24" s="9"/>
      <c r="E24" s="9"/>
      <c r="F24" s="9"/>
      <c r="G24" s="9"/>
      <c r="H24" s="9"/>
      <c r="J24" s="7"/>
    </row>
    <row r="25" spans="1:12" x14ac:dyDescent="0.25">
      <c r="A25" s="6" t="s">
        <v>47</v>
      </c>
      <c r="B25" s="9"/>
      <c r="C25" s="9"/>
      <c r="D25" s="9"/>
      <c r="E25" s="9"/>
      <c r="F25" s="9"/>
      <c r="G25" s="9"/>
      <c r="H25" s="9"/>
      <c r="J25" s="7"/>
    </row>
    <row r="26" spans="1:12" x14ac:dyDescent="0.25">
      <c r="A26" s="6" t="s">
        <v>48</v>
      </c>
      <c r="B26" s="9"/>
      <c r="C26" s="9"/>
      <c r="D26" s="9"/>
      <c r="E26" s="9"/>
      <c r="F26" s="9"/>
      <c r="G26" s="9"/>
      <c r="H26" s="9"/>
      <c r="J26" s="7"/>
    </row>
    <row r="27" spans="1:12" x14ac:dyDescent="0.25">
      <c r="A27" s="6" t="s">
        <v>49</v>
      </c>
      <c r="B27" s="9"/>
      <c r="C27" s="9"/>
      <c r="D27" s="9"/>
      <c r="E27" s="9"/>
      <c r="F27" s="9"/>
      <c r="G27" s="9"/>
      <c r="H27" s="9"/>
      <c r="J27" s="7"/>
    </row>
    <row r="28" spans="1:12" x14ac:dyDescent="0.25">
      <c r="A28" s="6" t="s">
        <v>50</v>
      </c>
      <c r="B28" s="9"/>
      <c r="C28" s="9"/>
      <c r="D28" s="9"/>
      <c r="E28" s="9"/>
      <c r="F28" s="9"/>
      <c r="G28" s="9"/>
      <c r="H28" s="9"/>
      <c r="J28" s="7"/>
    </row>
    <row r="29" spans="1:12" x14ac:dyDescent="0.25">
      <c r="A29" s="6" t="s">
        <v>51</v>
      </c>
      <c r="B29" s="9"/>
      <c r="C29" s="9"/>
      <c r="D29" s="9"/>
      <c r="E29" s="9"/>
      <c r="F29" s="9"/>
      <c r="G29" s="9"/>
      <c r="H29" s="9"/>
      <c r="J29" s="7"/>
    </row>
    <row r="30" spans="1:12" x14ac:dyDescent="0.25">
      <c r="A30" s="6" t="s">
        <v>52</v>
      </c>
      <c r="B30" s="9"/>
      <c r="C30" s="9"/>
      <c r="D30" s="9"/>
      <c r="E30" s="9"/>
      <c r="F30" s="9"/>
      <c r="G30" s="9"/>
      <c r="H30" s="9"/>
    </row>
    <row r="31" spans="1:12" x14ac:dyDescent="0.25">
      <c r="A31" s="6" t="s">
        <v>53</v>
      </c>
      <c r="B31" s="9"/>
      <c r="C31" s="9"/>
      <c r="D31" s="9"/>
      <c r="E31" s="9"/>
      <c r="F31" s="9"/>
      <c r="G31" s="9"/>
      <c r="H31" s="9"/>
    </row>
    <row r="32" spans="1:12" x14ac:dyDescent="0.25">
      <c r="A32" s="6" t="s">
        <v>54</v>
      </c>
      <c r="B32" s="9"/>
      <c r="C32" s="9"/>
      <c r="D32" s="9"/>
      <c r="E32" s="9"/>
      <c r="F32" s="9"/>
      <c r="G32" s="9"/>
      <c r="H32" s="9"/>
    </row>
    <row r="33" spans="1:8" x14ac:dyDescent="0.25">
      <c r="A33" s="6" t="s">
        <v>55</v>
      </c>
      <c r="B33" s="9"/>
      <c r="C33" s="9"/>
      <c r="D33" s="9"/>
      <c r="E33" s="9"/>
      <c r="F33" s="9"/>
      <c r="G33" s="9"/>
      <c r="H33" s="9"/>
    </row>
    <row r="34" spans="1:8" x14ac:dyDescent="0.25">
      <c r="A34" s="6" t="s">
        <v>56</v>
      </c>
      <c r="B34" s="9"/>
      <c r="C34" s="9"/>
      <c r="D34" s="9"/>
      <c r="E34" s="9"/>
      <c r="F34" s="9"/>
      <c r="G34" s="9"/>
      <c r="H34" s="9"/>
    </row>
    <row r="35" spans="1:8" x14ac:dyDescent="0.25">
      <c r="A35" s="6" t="s">
        <v>57</v>
      </c>
      <c r="B35" s="9" t="s">
        <v>30</v>
      </c>
      <c r="C35" s="9" t="s">
        <v>5</v>
      </c>
      <c r="D35" s="9"/>
      <c r="E35" s="9"/>
      <c r="F35" s="9"/>
      <c r="G35" s="9"/>
      <c r="H35" s="9"/>
    </row>
    <row r="36" spans="1:8" x14ac:dyDescent="0.25">
      <c r="A36" s="6" t="s">
        <v>58</v>
      </c>
      <c r="B36" s="9"/>
      <c r="C36" s="9"/>
      <c r="D36" s="9"/>
      <c r="E36" s="9"/>
      <c r="F36" s="9"/>
      <c r="G36" s="9"/>
      <c r="H36" s="9"/>
    </row>
    <row r="37" spans="1:8" x14ac:dyDescent="0.25">
      <c r="A37" s="6" t="s">
        <v>59</v>
      </c>
      <c r="B37" s="9"/>
      <c r="C37" s="9"/>
      <c r="D37" s="9"/>
      <c r="E37" s="9"/>
      <c r="F37" s="9"/>
      <c r="G37" s="9"/>
      <c r="H37" s="9"/>
    </row>
    <row r="38" spans="1:8" x14ac:dyDescent="0.25">
      <c r="A38" s="6" t="s">
        <v>60</v>
      </c>
      <c r="B38" s="9"/>
      <c r="C38" s="9"/>
      <c r="D38" s="9"/>
      <c r="E38" s="9"/>
      <c r="F38" s="9"/>
      <c r="G38" s="9"/>
      <c r="H38" s="9"/>
    </row>
    <row r="39" spans="1:8" x14ac:dyDescent="0.25">
      <c r="A39" s="6" t="s">
        <v>61</v>
      </c>
      <c r="B39" s="9"/>
      <c r="C39" s="9"/>
      <c r="D39" s="9"/>
      <c r="E39" s="9"/>
      <c r="F39" s="9"/>
      <c r="G39" s="9"/>
      <c r="H39" s="9"/>
    </row>
    <row r="40" spans="1:8" x14ac:dyDescent="0.25">
      <c r="A40" s="6" t="s">
        <v>62</v>
      </c>
      <c r="B40" s="9"/>
      <c r="C40" s="9"/>
      <c r="D40" s="9"/>
      <c r="E40" s="9"/>
      <c r="F40" s="9"/>
      <c r="G40" s="9"/>
      <c r="H40" s="9"/>
    </row>
    <row r="41" spans="1:8" x14ac:dyDescent="0.25">
      <c r="A41" s="6" t="s">
        <v>63</v>
      </c>
      <c r="B41" s="9"/>
      <c r="C41" s="9"/>
      <c r="D41" s="9"/>
      <c r="E41" s="9"/>
      <c r="F41" s="9"/>
      <c r="G41" s="9"/>
      <c r="H41" s="9"/>
    </row>
    <row r="42" spans="1:8" x14ac:dyDescent="0.25">
      <c r="A42" s="6" t="s">
        <v>64</v>
      </c>
      <c r="B42" s="9"/>
      <c r="C42" s="9"/>
      <c r="D42" s="9"/>
      <c r="E42" s="9"/>
      <c r="F42" s="9"/>
      <c r="G42" s="9"/>
      <c r="H42" s="9"/>
    </row>
    <row r="43" spans="1:8" x14ac:dyDescent="0.25">
      <c r="A43" s="6" t="s">
        <v>65</v>
      </c>
      <c r="B43" s="9"/>
      <c r="C43" s="9"/>
      <c r="D43" s="9"/>
      <c r="E43" s="9"/>
      <c r="F43" s="9"/>
      <c r="G43" s="9"/>
      <c r="H43" s="9"/>
    </row>
    <row r="44" spans="1:8" x14ac:dyDescent="0.25">
      <c r="A44" s="6" t="s">
        <v>66</v>
      </c>
      <c r="B44" s="9"/>
      <c r="C44" s="9"/>
      <c r="D44" s="9"/>
      <c r="E44" s="9"/>
      <c r="F44" s="9"/>
      <c r="G44" s="9"/>
      <c r="H44" s="9"/>
    </row>
    <row r="45" spans="1:8" x14ac:dyDescent="0.25">
      <c r="A45" s="6" t="s">
        <v>67</v>
      </c>
      <c r="B45" s="9"/>
      <c r="C45" s="9"/>
      <c r="D45" s="9"/>
      <c r="E45" s="9"/>
      <c r="F45" s="9"/>
      <c r="G45" s="9"/>
      <c r="H45" s="9"/>
    </row>
    <row r="46" spans="1:8" x14ac:dyDescent="0.25">
      <c r="A46" s="6" t="s">
        <v>68</v>
      </c>
      <c r="B46" s="9"/>
      <c r="C46" s="9"/>
      <c r="D46" s="9"/>
      <c r="E46" s="9"/>
      <c r="F46" s="9"/>
      <c r="G46" s="9"/>
      <c r="H46" s="9"/>
    </row>
    <row r="47" spans="1:8" x14ac:dyDescent="0.25">
      <c r="A47" s="6" t="s">
        <v>69</v>
      </c>
      <c r="B47" s="9"/>
      <c r="C47" s="9"/>
      <c r="D47" s="9"/>
      <c r="E47" s="9"/>
      <c r="F47" s="9"/>
      <c r="G47" s="9"/>
      <c r="H47" s="9"/>
    </row>
    <row r="48" spans="1:8" x14ac:dyDescent="0.25">
      <c r="A48" s="6" t="s">
        <v>70</v>
      </c>
      <c r="B48" s="9"/>
      <c r="C48" s="9"/>
      <c r="D48" s="9"/>
      <c r="E48" s="9"/>
      <c r="F48" s="9"/>
      <c r="G48" s="9"/>
      <c r="H48" s="9"/>
    </row>
    <row r="49" spans="1:8" x14ac:dyDescent="0.25">
      <c r="A49" s="6" t="s">
        <v>71</v>
      </c>
      <c r="B49" s="9"/>
      <c r="C49" s="9"/>
      <c r="D49" s="9"/>
      <c r="E49" s="9"/>
      <c r="F49" s="9"/>
      <c r="G49" s="9"/>
      <c r="H49" s="9"/>
    </row>
    <row r="50" spans="1:8" x14ac:dyDescent="0.25">
      <c r="A50" s="6" t="s">
        <v>72</v>
      </c>
      <c r="B50" s="9"/>
      <c r="C50" s="9"/>
      <c r="D50" s="9"/>
      <c r="E50" s="9"/>
      <c r="F50" s="9"/>
      <c r="G50" s="9"/>
      <c r="H50" s="9"/>
    </row>
    <row r="51" spans="1:8" x14ac:dyDescent="0.25">
      <c r="A51" s="6" t="s">
        <v>73</v>
      </c>
      <c r="B51" s="9"/>
      <c r="C51" s="9"/>
      <c r="D51" s="9"/>
      <c r="E51" s="9"/>
      <c r="F51" s="9"/>
      <c r="G51" s="9"/>
      <c r="H51" s="9"/>
    </row>
    <row r="52" spans="1:8" x14ac:dyDescent="0.25">
      <c r="A52" s="6" t="s">
        <v>74</v>
      </c>
      <c r="B52" s="9"/>
      <c r="C52" s="9"/>
      <c r="D52" s="9"/>
      <c r="E52" s="9"/>
      <c r="F52" s="9"/>
      <c r="G52" s="9"/>
      <c r="H52" s="9"/>
    </row>
    <row r="53" spans="1:8" x14ac:dyDescent="0.25">
      <c r="A53" s="6" t="s">
        <v>75</v>
      </c>
      <c r="B53" s="9"/>
      <c r="C53" s="9"/>
      <c r="D53" s="9"/>
      <c r="E53" s="9"/>
      <c r="F53" s="9"/>
      <c r="G53" s="9"/>
      <c r="H53" s="9"/>
    </row>
    <row r="54" spans="1:8" x14ac:dyDescent="0.25">
      <c r="A54" s="6" t="s">
        <v>76</v>
      </c>
      <c r="B54" s="9"/>
      <c r="C54" s="9"/>
      <c r="D54" s="9"/>
      <c r="E54" s="9"/>
      <c r="F54" s="9"/>
      <c r="G54" s="9"/>
      <c r="H54" s="9"/>
    </row>
    <row r="55" spans="1:8" x14ac:dyDescent="0.25">
      <c r="A55" s="6" t="s">
        <v>77</v>
      </c>
      <c r="B55" s="9"/>
      <c r="C55" s="9"/>
      <c r="D55" s="9"/>
      <c r="E55" s="9"/>
      <c r="F55" s="9"/>
      <c r="G55" s="9"/>
      <c r="H55" s="9"/>
    </row>
    <row r="56" spans="1:8" x14ac:dyDescent="0.25">
      <c r="A56" s="6" t="s">
        <v>78</v>
      </c>
      <c r="B56" s="9"/>
      <c r="C56" s="9"/>
      <c r="D56" s="9"/>
      <c r="E56" s="9"/>
      <c r="F56" s="9"/>
      <c r="G56" s="9"/>
      <c r="H56" s="9"/>
    </row>
    <row r="57" spans="1:8" x14ac:dyDescent="0.25">
      <c r="A57" s="6" t="s">
        <v>79</v>
      </c>
      <c r="B57" s="9"/>
      <c r="C57" s="9"/>
      <c r="D57" s="9"/>
      <c r="E57" s="9"/>
      <c r="F57" s="9"/>
      <c r="G57" s="9"/>
      <c r="H57" s="9"/>
    </row>
    <row r="58" spans="1:8" x14ac:dyDescent="0.25">
      <c r="A58" s="6" t="s">
        <v>80</v>
      </c>
      <c r="B58" s="9"/>
      <c r="C58" s="9"/>
      <c r="D58" s="9"/>
      <c r="E58" s="9"/>
      <c r="F58" s="9"/>
      <c r="G58" s="9"/>
      <c r="H58" s="9"/>
    </row>
    <row r="59" spans="1:8" x14ac:dyDescent="0.25">
      <c r="A59" s="6" t="s">
        <v>81</v>
      </c>
      <c r="B59" s="9"/>
      <c r="C59" s="9"/>
      <c r="D59" s="9"/>
      <c r="E59" s="9"/>
      <c r="F59" s="9"/>
      <c r="G59" s="9"/>
      <c r="H59" s="9"/>
    </row>
    <row r="60" spans="1:8" x14ac:dyDescent="0.25">
      <c r="A60" s="6" t="s">
        <v>82</v>
      </c>
      <c r="B60" s="9"/>
      <c r="C60" s="9"/>
      <c r="D60" s="9"/>
      <c r="E60" s="9"/>
      <c r="F60" s="9"/>
      <c r="G60" s="9"/>
      <c r="H60" s="9"/>
    </row>
    <row r="61" spans="1:8" x14ac:dyDescent="0.25">
      <c r="A61" s="6" t="s">
        <v>191</v>
      </c>
      <c r="B61" s="9"/>
      <c r="C61" s="9"/>
      <c r="D61" s="9"/>
      <c r="E61" s="9"/>
      <c r="F61" s="9"/>
      <c r="G61" s="9"/>
      <c r="H61" s="9"/>
    </row>
    <row r="62" spans="1:8" x14ac:dyDescent="0.25">
      <c r="A62" s="6" t="s">
        <v>192</v>
      </c>
      <c r="B62" s="9"/>
      <c r="C62" s="9"/>
      <c r="D62" s="9"/>
      <c r="E62" s="9"/>
      <c r="F62" s="9"/>
      <c r="G62" s="9"/>
      <c r="H62" s="9"/>
    </row>
    <row r="63" spans="1:8" x14ac:dyDescent="0.25">
      <c r="A63" s="6" t="s">
        <v>193</v>
      </c>
      <c r="B63" s="9"/>
      <c r="C63" s="9"/>
      <c r="D63" s="9"/>
      <c r="E63" s="9"/>
      <c r="F63" s="9"/>
      <c r="G63" s="9"/>
      <c r="H63" s="9"/>
    </row>
    <row r="64" spans="1:8" x14ac:dyDescent="0.25">
      <c r="A64" s="6" t="s">
        <v>194</v>
      </c>
      <c r="B64" s="9" t="s">
        <v>118</v>
      </c>
      <c r="C64" s="9" t="s">
        <v>118</v>
      </c>
      <c r="D64" s="9"/>
      <c r="E64" s="9"/>
      <c r="F64" s="9"/>
      <c r="G64" s="9"/>
      <c r="H64" s="9"/>
    </row>
    <row r="65" spans="1:8" x14ac:dyDescent="0.25">
      <c r="A65" s="6" t="s">
        <v>195</v>
      </c>
      <c r="B65" s="9"/>
      <c r="C65" s="9"/>
      <c r="D65" s="9"/>
      <c r="E65" s="9"/>
      <c r="F65" s="9"/>
      <c r="G65" s="9"/>
      <c r="H65" s="9"/>
    </row>
    <row r="66" spans="1:8" x14ac:dyDescent="0.25">
      <c r="A66" s="6" t="s">
        <v>196</v>
      </c>
      <c r="B66" s="9"/>
      <c r="C66" s="9"/>
      <c r="D66" s="9"/>
      <c r="E66" s="9"/>
      <c r="F66" s="9"/>
      <c r="G66" s="9"/>
      <c r="H66" s="9"/>
    </row>
    <row r="67" spans="1:8" x14ac:dyDescent="0.25">
      <c r="A67" s="6" t="s">
        <v>197</v>
      </c>
      <c r="B67" s="9"/>
      <c r="C67" s="9"/>
      <c r="D67" s="9"/>
      <c r="E67" s="9"/>
      <c r="F67" s="9"/>
      <c r="G67" s="9"/>
      <c r="H67" s="9"/>
    </row>
    <row r="68" spans="1:8" x14ac:dyDescent="0.25">
      <c r="A68" s="6" t="s">
        <v>198</v>
      </c>
      <c r="B68" s="9"/>
      <c r="C68" s="9"/>
      <c r="D68" s="9"/>
      <c r="E68" s="9"/>
      <c r="F68" s="9"/>
      <c r="G68" s="9"/>
      <c r="H68" s="9"/>
    </row>
    <row r="69" spans="1:8" x14ac:dyDescent="0.25">
      <c r="A69" s="6" t="s">
        <v>199</v>
      </c>
      <c r="B69" s="9"/>
      <c r="C69" s="9"/>
      <c r="D69" s="9"/>
      <c r="E69" s="9"/>
      <c r="F69" s="9"/>
      <c r="G69" s="9"/>
      <c r="H69" s="9"/>
    </row>
    <row r="70" spans="1:8" x14ac:dyDescent="0.25">
      <c r="A70" s="6" t="s">
        <v>200</v>
      </c>
      <c r="B70" s="9"/>
      <c r="C70" s="9"/>
      <c r="D70" s="9"/>
      <c r="E70" s="9"/>
      <c r="F70" s="9"/>
      <c r="G70" s="9"/>
      <c r="H70" s="9"/>
    </row>
    <row r="71" spans="1:8" x14ac:dyDescent="0.25">
      <c r="A71" s="6" t="s">
        <v>201</v>
      </c>
      <c r="B71" s="9"/>
      <c r="C71" s="9"/>
      <c r="D71" s="9"/>
      <c r="E71" s="9"/>
      <c r="F71" s="9"/>
      <c r="G71" s="9"/>
      <c r="H71" s="9"/>
    </row>
    <row r="72" spans="1:8" x14ac:dyDescent="0.25">
      <c r="A72" s="6" t="s">
        <v>202</v>
      </c>
      <c r="B72" s="9"/>
      <c r="C72" s="9"/>
      <c r="D72" s="9"/>
      <c r="E72" s="9"/>
      <c r="F72" s="9"/>
      <c r="G72" s="9"/>
      <c r="H72" s="9"/>
    </row>
    <row r="73" spans="1:8" x14ac:dyDescent="0.25">
      <c r="A73" s="6" t="s">
        <v>203</v>
      </c>
      <c r="B73" s="9"/>
      <c r="C73" s="9"/>
      <c r="D73" s="9"/>
      <c r="E73" s="9"/>
      <c r="F73" s="9"/>
      <c r="G73" s="9"/>
      <c r="H73" s="9"/>
    </row>
    <row r="74" spans="1:8" x14ac:dyDescent="0.25">
      <c r="A74" s="6" t="s">
        <v>204</v>
      </c>
      <c r="B74" s="9"/>
      <c r="C74" s="9"/>
      <c r="D74" s="9"/>
      <c r="E74" s="9"/>
      <c r="F74" s="9"/>
      <c r="G74" s="9"/>
      <c r="H74" s="9"/>
    </row>
    <row r="75" spans="1:8" x14ac:dyDescent="0.25">
      <c r="A75" s="6" t="s">
        <v>205</v>
      </c>
      <c r="B75" s="9"/>
      <c r="C75" s="9"/>
      <c r="D75" s="9"/>
      <c r="E75" s="9"/>
      <c r="F75" s="9"/>
      <c r="G75" s="9"/>
      <c r="H75" s="9"/>
    </row>
    <row r="76" spans="1:8" x14ac:dyDescent="0.25">
      <c r="A76" s="6" t="s">
        <v>206</v>
      </c>
      <c r="B76" s="9"/>
      <c r="C76" s="9"/>
      <c r="D76" s="9"/>
      <c r="E76" s="9"/>
      <c r="F76" s="9"/>
      <c r="G76" s="9"/>
      <c r="H76" s="9"/>
    </row>
    <row r="77" spans="1:8" x14ac:dyDescent="0.25">
      <c r="A77" s="6" t="s">
        <v>83</v>
      </c>
      <c r="B77" s="9"/>
      <c r="C77" s="9"/>
      <c r="D77" s="9"/>
      <c r="E77" s="9"/>
      <c r="F77" s="9"/>
      <c r="G77" s="9"/>
      <c r="H77" s="9"/>
    </row>
    <row r="78" spans="1:8" x14ac:dyDescent="0.25">
      <c r="A78" s="6" t="s">
        <v>84</v>
      </c>
      <c r="B78" s="9"/>
      <c r="C78" s="9"/>
      <c r="D78" s="9"/>
      <c r="E78" s="9"/>
      <c r="F78" s="9"/>
      <c r="G78" s="9"/>
      <c r="H78" s="9"/>
    </row>
    <row r="79" spans="1:8" ht="15.75" customHeight="1" x14ac:dyDescent="0.25">
      <c r="A79" s="6" t="s">
        <v>85</v>
      </c>
      <c r="B79" s="9"/>
      <c r="C79" s="9"/>
      <c r="D79" s="9"/>
      <c r="E79" s="9"/>
      <c r="F79" s="9"/>
      <c r="G79" s="9"/>
      <c r="H79" s="9"/>
    </row>
    <row r="80" spans="1:8" x14ac:dyDescent="0.25">
      <c r="A80" s="6" t="s">
        <v>86</v>
      </c>
      <c r="B80" s="9"/>
      <c r="C80" s="9"/>
      <c r="D80" s="9"/>
      <c r="E80" s="9"/>
      <c r="F80" s="9"/>
      <c r="G80" s="9"/>
      <c r="H80" s="9"/>
    </row>
    <row r="81" spans="1:8" x14ac:dyDescent="0.25">
      <c r="A81" s="6" t="s">
        <v>87</v>
      </c>
      <c r="B81" s="9"/>
      <c r="C81" s="9"/>
      <c r="D81" s="9"/>
      <c r="E81" s="9"/>
      <c r="F81" s="9"/>
      <c r="G81" s="9"/>
      <c r="H81" s="9"/>
    </row>
    <row r="82" spans="1:8" x14ac:dyDescent="0.25">
      <c r="A82" s="6" t="s">
        <v>88</v>
      </c>
      <c r="B82" s="9"/>
      <c r="C82" s="9"/>
      <c r="D82" s="9"/>
      <c r="E82" s="9"/>
      <c r="F82" s="9"/>
      <c r="G82" s="9"/>
      <c r="H82" s="9"/>
    </row>
    <row r="83" spans="1:8" x14ac:dyDescent="0.25">
      <c r="A83" s="6" t="s">
        <v>89</v>
      </c>
      <c r="B83" s="9"/>
      <c r="C83" s="9"/>
      <c r="D83" s="9"/>
      <c r="E83" s="9"/>
      <c r="F83" s="9"/>
      <c r="G83" s="9"/>
      <c r="H83" s="9"/>
    </row>
    <row r="84" spans="1:8" x14ac:dyDescent="0.25">
      <c r="A84" s="6" t="s">
        <v>90</v>
      </c>
      <c r="B84" s="9"/>
      <c r="C84" s="9"/>
      <c r="D84" s="9"/>
      <c r="E84" s="9"/>
      <c r="F84" s="9"/>
      <c r="G84" s="9"/>
      <c r="H84" s="9"/>
    </row>
    <row r="85" spans="1:8" x14ac:dyDescent="0.25">
      <c r="A85" s="6" t="s">
        <v>91</v>
      </c>
      <c r="B85" s="9"/>
      <c r="C85" s="9"/>
      <c r="D85" s="9"/>
      <c r="E85" s="9"/>
      <c r="F85" s="9"/>
      <c r="G85" s="9"/>
      <c r="H85" s="9"/>
    </row>
    <row r="86" spans="1:8" x14ac:dyDescent="0.25">
      <c r="A86" s="6" t="s">
        <v>92</v>
      </c>
      <c r="B86" s="9"/>
      <c r="C86" s="9"/>
      <c r="D86" s="9"/>
      <c r="E86" s="9"/>
      <c r="F86" s="9"/>
      <c r="G86" s="9"/>
      <c r="H86" s="9"/>
    </row>
    <row r="87" spans="1:8" x14ac:dyDescent="0.25">
      <c r="A87" s="6" t="s">
        <v>93</v>
      </c>
      <c r="B87" s="9"/>
      <c r="C87" s="9"/>
      <c r="D87" s="9"/>
      <c r="E87" s="9"/>
      <c r="F87" s="9"/>
      <c r="G87" s="9"/>
      <c r="H87" s="9"/>
    </row>
    <row r="88" spans="1:8" x14ac:dyDescent="0.25">
      <c r="A88" s="6" t="s">
        <v>94</v>
      </c>
      <c r="B88" s="9"/>
      <c r="C88" s="9"/>
      <c r="D88" s="9"/>
      <c r="E88" s="9"/>
      <c r="F88" s="9"/>
      <c r="G88" s="9"/>
      <c r="H88" s="9"/>
    </row>
    <row r="89" spans="1:8" x14ac:dyDescent="0.25">
      <c r="A89" s="6" t="s">
        <v>95</v>
      </c>
      <c r="B89" s="9"/>
      <c r="C89" s="9"/>
      <c r="D89" s="9"/>
      <c r="E89" s="9"/>
      <c r="F89" s="9"/>
      <c r="G89" s="9"/>
      <c r="H89" s="9"/>
    </row>
    <row r="90" spans="1:8" x14ac:dyDescent="0.25">
      <c r="A90" s="6" t="s">
        <v>96</v>
      </c>
      <c r="B90" s="9"/>
      <c r="C90" s="9"/>
      <c r="D90" s="9"/>
      <c r="E90" s="9"/>
      <c r="F90" s="9"/>
      <c r="G90" s="9"/>
      <c r="H90" s="9"/>
    </row>
    <row r="91" spans="1:8" x14ac:dyDescent="0.25">
      <c r="A91" s="6" t="s">
        <v>97</v>
      </c>
      <c r="B91" s="9"/>
      <c r="C91" s="9"/>
      <c r="D91" s="9"/>
      <c r="E91" s="9"/>
      <c r="F91" s="9"/>
      <c r="G91" s="9"/>
      <c r="H91" s="9"/>
    </row>
    <row r="92" spans="1:8" x14ac:dyDescent="0.25">
      <c r="A92" s="6" t="s">
        <v>98</v>
      </c>
      <c r="B92" s="9"/>
      <c r="C92" s="9"/>
      <c r="D92" s="9"/>
      <c r="E92" s="9"/>
      <c r="F92" s="9"/>
      <c r="G92" s="9"/>
      <c r="H92" s="9"/>
    </row>
    <row r="93" spans="1:8" x14ac:dyDescent="0.25">
      <c r="A93" s="6" t="s">
        <v>99</v>
      </c>
      <c r="B93" s="9"/>
      <c r="C93" s="9" t="s">
        <v>5</v>
      </c>
      <c r="D93" s="9"/>
      <c r="E93" s="9"/>
      <c r="F93" s="9"/>
      <c r="G93" s="9"/>
      <c r="H93" s="9"/>
    </row>
    <row r="94" spans="1:8" x14ac:dyDescent="0.25">
      <c r="A94" s="6" t="s">
        <v>100</v>
      </c>
      <c r="B94" s="9"/>
      <c r="C94" s="9"/>
      <c r="D94" s="9"/>
      <c r="E94" s="9"/>
      <c r="F94" s="9"/>
      <c r="G94" s="9"/>
      <c r="H94" s="9"/>
    </row>
    <row r="95" spans="1:8" x14ac:dyDescent="0.25">
      <c r="A95" s="6" t="s">
        <v>101</v>
      </c>
      <c r="B95" s="9"/>
      <c r="C95" s="9"/>
      <c r="D95" s="9"/>
      <c r="E95" s="9"/>
      <c r="F95" s="9"/>
      <c r="G95" s="9"/>
      <c r="H95" s="9"/>
    </row>
    <row r="96" spans="1:8" x14ac:dyDescent="0.25">
      <c r="A96" s="6" t="s">
        <v>102</v>
      </c>
      <c r="B96" s="9"/>
      <c r="C96" s="9"/>
      <c r="D96" s="9"/>
      <c r="E96" s="9"/>
      <c r="F96" s="9"/>
      <c r="G96" s="9"/>
      <c r="H96" s="9"/>
    </row>
    <row r="97" spans="1:8" x14ac:dyDescent="0.25">
      <c r="A97" s="6" t="s">
        <v>103</v>
      </c>
      <c r="B97" s="9"/>
      <c r="C97" s="9"/>
      <c r="D97" s="9"/>
      <c r="E97" s="9"/>
      <c r="F97" s="9"/>
      <c r="G97" s="9"/>
      <c r="H97" s="9"/>
    </row>
    <row r="98" spans="1:8" x14ac:dyDescent="0.25">
      <c r="A98" s="6" t="s">
        <v>104</v>
      </c>
      <c r="B98" s="9"/>
      <c r="C98" s="9"/>
      <c r="D98" s="9"/>
      <c r="E98" s="9"/>
      <c r="F98" s="9"/>
      <c r="G98" s="9"/>
      <c r="H98" s="9"/>
    </row>
    <row r="99" spans="1:8" x14ac:dyDescent="0.25">
      <c r="A99" s="6" t="s">
        <v>105</v>
      </c>
      <c r="B99" s="9"/>
      <c r="C99" s="9"/>
      <c r="D99" s="9"/>
      <c r="E99" s="9"/>
      <c r="F99" s="9"/>
      <c r="G99" s="9"/>
      <c r="H99" s="9"/>
    </row>
    <row r="100" spans="1:8" x14ac:dyDescent="0.25">
      <c r="A100" s="6" t="s">
        <v>106</v>
      </c>
      <c r="B100" s="9"/>
      <c r="C100" s="9"/>
      <c r="D100" s="9"/>
      <c r="E100" s="9"/>
      <c r="F100" s="9"/>
      <c r="G100" s="9"/>
      <c r="H100" s="9"/>
    </row>
    <row r="101" spans="1:8" x14ac:dyDescent="0.25">
      <c r="A101" s="6" t="s">
        <v>107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6" t="s">
        <v>108</v>
      </c>
      <c r="B102" s="9"/>
      <c r="C102" s="9"/>
      <c r="D102" s="9"/>
      <c r="E102" s="9"/>
      <c r="F102" s="9"/>
      <c r="G102" s="9"/>
      <c r="H102" s="9"/>
    </row>
    <row r="103" spans="1:8" x14ac:dyDescent="0.25">
      <c r="A103" s="6" t="s">
        <v>109</v>
      </c>
      <c r="B103" s="9"/>
      <c r="C103" s="9"/>
      <c r="D103" s="9"/>
      <c r="E103" s="9"/>
      <c r="F103" s="9"/>
      <c r="G103" s="9"/>
      <c r="H103" s="9"/>
    </row>
    <row r="104" spans="1:8" x14ac:dyDescent="0.25">
      <c r="A104" s="6" t="s">
        <v>110</v>
      </c>
      <c r="B104" s="9"/>
      <c r="C104" s="9"/>
      <c r="D104" s="9"/>
      <c r="E104" s="9"/>
      <c r="F104" s="9"/>
      <c r="G104" s="9"/>
      <c r="H104" s="9"/>
    </row>
    <row r="105" spans="1:8" x14ac:dyDescent="0.25">
      <c r="A105" s="6" t="s">
        <v>111</v>
      </c>
      <c r="B105" s="9"/>
      <c r="C105" s="9"/>
      <c r="D105" s="9"/>
      <c r="E105" s="9"/>
      <c r="F105" s="9"/>
      <c r="G105" s="9"/>
      <c r="H105" s="9"/>
    </row>
    <row r="106" spans="1:8" x14ac:dyDescent="0.25">
      <c r="A106" s="6" t="s">
        <v>112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6" t="s">
        <v>113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6" t="s">
        <v>114</v>
      </c>
      <c r="B108" s="9"/>
      <c r="C108" s="9"/>
      <c r="D108" s="9"/>
      <c r="E108" s="9"/>
      <c r="F108" s="9"/>
      <c r="G108" s="9"/>
      <c r="H108" s="9"/>
    </row>
    <row r="109" spans="1:8" x14ac:dyDescent="0.25">
      <c r="A109" s="6" t="s">
        <v>217</v>
      </c>
      <c r="B109" s="9"/>
      <c r="C109" s="9"/>
      <c r="D109" s="9"/>
      <c r="E109" s="9"/>
      <c r="F109" s="9"/>
      <c r="G109" s="9"/>
      <c r="H109" s="9"/>
    </row>
    <row r="110" spans="1:8" x14ac:dyDescent="0.25">
      <c r="A110" s="6" t="s">
        <v>218</v>
      </c>
      <c r="B110" s="9"/>
      <c r="C110" s="9"/>
      <c r="D110" s="9"/>
      <c r="E110" s="9"/>
      <c r="F110" s="9"/>
      <c r="G110" s="9"/>
      <c r="H110" s="9"/>
    </row>
    <row r="111" spans="1:8" x14ac:dyDescent="0.25">
      <c r="A111" s="6" t="s">
        <v>115</v>
      </c>
      <c r="B111" s="9"/>
      <c r="C111" s="9"/>
      <c r="D111" s="9"/>
      <c r="E111" s="9"/>
      <c r="F111" s="9"/>
      <c r="G111" s="9"/>
      <c r="H111" s="9"/>
    </row>
  </sheetData>
  <mergeCells count="1">
    <mergeCell ref="A1:H2"/>
  </mergeCells>
  <conditionalFormatting sqref="A1:A1048576">
    <cfRule type="containsText" dxfId="51" priority="7" operator="containsText" text="Pivô">
      <formula>NOT(ISERROR(SEARCH("Pivô",A1)))</formula>
    </cfRule>
    <cfRule type="containsText" dxfId="50" priority="8" operator="containsText" text="Pivô">
      <formula>NOT(ISERROR(SEARCH("Pivô",A1)))</formula>
    </cfRule>
  </conditionalFormatting>
  <conditionalFormatting sqref="B5:H111">
    <cfRule type="containsText" dxfId="48" priority="3" operator="containsText" text="Desponte">
      <formula>NOT(ISERROR(SEARCH("Desponte",B5)))</formula>
    </cfRule>
    <cfRule type="cellIs" dxfId="26" priority="26" operator="equal">
      <formula>$J$20</formula>
    </cfRule>
    <cfRule type="containsText" dxfId="31" priority="27" operator="containsText" text="Pulverização">
      <formula>NOT(ISERROR(SEARCH("Pulverização",B5)))</formula>
    </cfRule>
    <cfRule type="cellIs" dxfId="24" priority="28" operator="greaterThan">
      <formula>$J$5</formula>
    </cfRule>
    <cfRule type="containsText" dxfId="23" priority="29" operator="containsText" text="Cardã">
      <formula>NOT(ISERROR(SEARCH("Cardã",B5)))</formula>
    </cfRule>
    <cfRule type="containsText" dxfId="22" priority="30" operator="containsText" text="Pneu">
      <formula>NOT(ISERROR(SEARCH("Pneu",B5)))</formula>
    </cfRule>
    <cfRule type="containsText" dxfId="21" priority="31" operator="containsText" text="Vedação">
      <formula>NOT(ISERROR(SEARCH("Vedação",B5)))</formula>
    </cfRule>
    <cfRule type="containsText" dxfId="20" priority="32" operator="containsText" text="Retentor">
      <formula>NOT(ISERROR(SEARCH("Retentor",B5)))</formula>
    </cfRule>
    <cfRule type="containsText" dxfId="25" priority="33" operator="containsText" text="Motorredutor">
      <formula>NOT(ISERROR(SEARCH("Motorredutor",B5)))</formula>
    </cfRule>
    <cfRule type="containsText" dxfId="19" priority="34" operator="containsText" text="Redutor">
      <formula>NOT(ISERROR(SEARCH("Redutor",B5)))</formula>
    </cfRule>
    <cfRule type="containsText" dxfId="18" priority="35" operator="containsText" text="Bomba">
      <formula>NOT(ISERROR(SEARCH("Bomba",B5)))</formula>
    </cfRule>
  </conditionalFormatting>
  <conditionalFormatting sqref="B112:H113">
    <cfRule type="containsText" dxfId="8" priority="11" operator="containsText" text="Pulverização">
      <formula>NOT(ISERROR(SEARCH("Pulverização",B112)))</formula>
    </cfRule>
    <cfRule type="cellIs" dxfId="7" priority="12" operator="greaterThan">
      <formula>$J$5</formula>
    </cfRule>
    <cfRule type="containsText" dxfId="6" priority="13" operator="containsText" text="Cardã">
      <formula>NOT(ISERROR(SEARCH("Cardã",B112)))</formula>
    </cfRule>
    <cfRule type="containsText" dxfId="5" priority="14" operator="containsText" text="Pneu">
      <formula>NOT(ISERROR(SEARCH("Pneu",B112)))</formula>
    </cfRule>
    <cfRule type="containsText" dxfId="4" priority="15" operator="containsText" text="Vedação">
      <formula>NOT(ISERROR(SEARCH("Vedação",B112)))</formula>
    </cfRule>
    <cfRule type="containsText" dxfId="3" priority="16" operator="containsText" text="Retentor">
      <formula>NOT(ISERROR(SEARCH("Retentor",B112)))</formula>
    </cfRule>
    <cfRule type="containsText" dxfId="2" priority="17" operator="containsText" text="Motorredutor">
      <formula>NOT(ISERROR(SEARCH("Motorredutor",B112)))</formula>
    </cfRule>
    <cfRule type="containsText" dxfId="1" priority="18" operator="containsText" text="Redutor">
      <formula>NOT(ISERROR(SEARCH("Redutor",B112)))</formula>
    </cfRule>
    <cfRule type="containsText" dxfId="0" priority="19" operator="containsText" text="Bomba">
      <formula>NOT(ISERROR(SEARCH("Bomba",B112)))</formula>
    </cfRule>
  </conditionalFormatting>
  <dataValidations count="2">
    <dataValidation type="list" allowBlank="1" showInputMessage="1" showErrorMessage="1" sqref="B112:H113" xr:uid="{333C3919-EA7C-40E7-A8FF-4CD1A3A2E151}">
      <formula1>$J$5:$J$11</formula1>
    </dataValidation>
    <dataValidation type="list" allowBlank="1" showInputMessage="1" showErrorMessage="1" sqref="B5:H111" xr:uid="{99784343-642E-4941-ABB8-93E27825B9DE}">
      <formula1>$J$5:$J$22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D320E97-B2DE-4C17-A758-AC4675536BDF}">
            <xm:f>NOT(ISERROR(SEARCH($J$19,B5)))</xm:f>
            <xm:f>$J$19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02DDC6FC-DE3A-4935-AB62-34C9B689AEFB}">
            <xm:f>NOT(ISERROR(SEARCH($J$18,B5)))</xm:f>
            <xm:f>$J$18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BB19D45E-E39B-4969-A379-828498C5109A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25F71F88-E059-4653-8B31-D62B4479D3F8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A34A7C88-EA22-4CB8-B937-95D3FBFB217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14:cfRule type="containsText" priority="36" operator="containsText" id="{CE46F506-4CB1-4984-8F58-790EBAF5B18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7" operator="containsText" id="{9F3E18CF-4A86-4F6D-B619-DE636353DCC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38" operator="containsText" id="{850DB77E-B766-41C2-9EAD-9502D90207C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39" operator="containsText" id="{0F5E4AE5-B37D-4D8F-B950-A53BCAEE293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40" operator="containsText" id="{E502DCAC-7893-4CDC-B57C-B3711CB15F8C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41" operator="containsText" id="{2482FED4-F531-4FE3-B683-99AC054ABF6B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42" operator="containsText" id="{8BA4CA04-E7A4-4430-8EA0-BE6555670216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43" operator="containsText" id="{3CE1CE9F-B0A1-4AE5-BE67-E107D0A08A1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44" operator="containsText" id="{D92DC7A6-57E4-4D0D-B11E-CAF113F5405A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45" operator="containsText" id="{AEF1FC46-EC4F-4D61-8944-631187488D5B}">
            <xm:f>NOT(ISERROR(SEARCH($E$111,B5)))</xm:f>
            <xm:f>$E$111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6" operator="containsText" id="{22EC98D0-7559-4895-BFBF-4FA94DCF4E4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47" operator="containsText" id="{8DB103A8-ED2A-4BE6-AF5E-BB36837A8EFB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48" operator="containsText" id="{7B74055C-D206-4B47-AB7E-BB9DA34252FA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49" operator="containsText" id="{A142D301-D838-41FE-9627-3E6A4D2115A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0" operator="containsText" id="{844EB03F-B4FA-4F86-8BD8-0323E8EF726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1" operator="containsText" id="{0BFEB8C1-E686-4581-ADFC-A95D170EB22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52" operator="containsText" id="{6C5D349A-50D3-40A0-9D48-D9E038822989}">
            <xm:f>NOT(ISERROR(SEARCH($J$22,B5)))</xm:f>
            <xm:f>$J$22</xm:f>
            <x14:dxf>
              <font>
                <b/>
                <i val="0"/>
              </font>
              <fill>
                <patternFill>
                  <bgColor theme="9" tint="-0.24994659260841701"/>
                </patternFill>
              </fill>
            </x14:dxf>
          </x14:cfRule>
          <xm:sqref>B5:H111</xm:sqref>
        </x14:conditionalFormatting>
        <x14:conditionalFormatting xmlns:xm="http://schemas.microsoft.com/office/excel/2006/main">
          <x14:cfRule type="containsText" priority="10" operator="containsText" id="{91D81411-7C75-401C-82D7-69FD1F78FBB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A4C2AE58-A005-4C03-86F4-1CCAF8734433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1" operator="containsText" id="{024E9C06-C5B0-4E2E-B35F-60789B14810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22" operator="containsText" id="{706A4471-A417-4FDC-9813-02DDB600B1E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id="{E2DAEEA9-7082-4790-AB80-F86528944FE1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4" operator="containsText" id="{D79BE0AC-E643-4A40-8025-2E1C82FD29D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5" operator="containsText" id="{4C828BFE-B30F-4D7E-BBF2-74B8C2033A26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B5:H113</xm:sqref>
        </x14:conditionalFormatting>
        <x14:conditionalFormatting xmlns:xm="http://schemas.microsoft.com/office/excel/2006/main">
          <x14:cfRule type="containsText" priority="9" operator="containsText" id="{444994C8-2804-4AE3-A3EB-660F3947EF3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B5:H114</xm:sqref>
        </x14:conditionalFormatting>
      </x14:conditionalFormatting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54BF-03AB-4AE6-B14C-1EF76A1CD345}">
  <dimension ref="A1:G1064"/>
  <sheetViews>
    <sheetView showGridLines="0" tabSelected="1" workbookViewId="0">
      <pane ySplit="1" topLeftCell="A1027" activePane="bottomLeft" state="frozen"/>
      <selection pane="bottomLeft" activeCell="M1042" sqref="M1042"/>
    </sheetView>
  </sheetViews>
  <sheetFormatPr defaultRowHeight="15" x14ac:dyDescent="0.25"/>
  <cols>
    <col min="1" max="1" width="18.7109375" bestFit="1" customWidth="1"/>
    <col min="2" max="2" width="12.28515625" bestFit="1" customWidth="1"/>
    <col min="3" max="3" width="15" style="3" bestFit="1" customWidth="1"/>
    <col min="4" max="4" width="11.85546875" bestFit="1" customWidth="1"/>
    <col min="5" max="5" width="11.85546875" customWidth="1"/>
    <col min="6" max="6" width="6.85546875" bestFit="1" customWidth="1"/>
    <col min="7" max="7" width="11.7109375" bestFit="1" customWidth="1"/>
  </cols>
  <sheetData>
    <row r="1" spans="1:7" x14ac:dyDescent="0.25">
      <c r="A1" t="s">
        <v>1</v>
      </c>
      <c r="B1" t="s">
        <v>20</v>
      </c>
      <c r="C1" s="3" t="s">
        <v>21</v>
      </c>
      <c r="D1" t="s">
        <v>22</v>
      </c>
      <c r="E1" t="s">
        <v>209</v>
      </c>
      <c r="F1" t="s">
        <v>147</v>
      </c>
      <c r="G1" t="s">
        <v>146</v>
      </c>
    </row>
    <row r="2" spans="1:7" x14ac:dyDescent="0.25">
      <c r="A2" t="s">
        <v>4</v>
      </c>
      <c r="B2">
        <v>0</v>
      </c>
      <c r="C2" s="3">
        <v>0</v>
      </c>
      <c r="D2" s="58">
        <v>44613</v>
      </c>
      <c r="E2" s="58" t="str">
        <f>TEXT(Base_de_Dados[[#This Row],[Semana]],"Mmmm")</f>
        <v>fevereiro</v>
      </c>
      <c r="F2">
        <f>YEAR(D2)</f>
        <v>2022</v>
      </c>
      <c r="G2" t="str">
        <f>IF(MONTH(Base_de_Dados[[#This Row],[Semana]])&lt;=6,"1ª Semestre","2ª Semestre")</f>
        <v>1ª Semestre</v>
      </c>
    </row>
    <row r="3" spans="1:7" x14ac:dyDescent="0.25">
      <c r="A3" t="s">
        <v>5</v>
      </c>
      <c r="B3">
        <v>0</v>
      </c>
      <c r="C3" s="3">
        <v>0</v>
      </c>
      <c r="D3" s="58">
        <v>44613</v>
      </c>
      <c r="E3" s="58" t="str">
        <f>TEXT(Base_de_Dados[[#This Row],[Semana]],"Mmmm")</f>
        <v>fevereiro</v>
      </c>
      <c r="F3">
        <f t="shared" ref="F3:F66" si="0">YEAR(D3)</f>
        <v>2022</v>
      </c>
      <c r="G3" t="str">
        <f>IF(MONTH(Base_de_Dados[[#This Row],[Semana]])&lt;=6,"1ª Semestre","2ª Semestre")</f>
        <v>1ª Semestre</v>
      </c>
    </row>
    <row r="4" spans="1:7" x14ac:dyDescent="0.25">
      <c r="A4" t="s">
        <v>127</v>
      </c>
      <c r="B4">
        <v>0</v>
      </c>
      <c r="C4" s="3">
        <v>0</v>
      </c>
      <c r="D4" s="58">
        <v>44613</v>
      </c>
      <c r="E4" s="58" t="str">
        <f>TEXT(Base_de_Dados[[#This Row],[Semana]],"Mmmm")</f>
        <v>fevereiro</v>
      </c>
      <c r="F4">
        <f t="shared" si="0"/>
        <v>2022</v>
      </c>
      <c r="G4" t="str">
        <f>IF(MONTH(Base_de_Dados[[#This Row],[Semana]])&lt;=6,"1ª Semestre","2ª Semestre")</f>
        <v>1ª Semestre</v>
      </c>
    </row>
    <row r="5" spans="1:7" x14ac:dyDescent="0.25">
      <c r="A5" t="s">
        <v>7</v>
      </c>
      <c r="B5">
        <v>0</v>
      </c>
      <c r="C5" s="3">
        <v>0</v>
      </c>
      <c r="D5" s="58">
        <v>44613</v>
      </c>
      <c r="E5" s="58" t="str">
        <f>TEXT(Base_de_Dados[[#This Row],[Semana]],"Mmmm")</f>
        <v>fevereiro</v>
      </c>
      <c r="F5">
        <f t="shared" si="0"/>
        <v>2022</v>
      </c>
      <c r="G5" t="str">
        <f>IF(MONTH(Base_de_Dados[[#This Row],[Semana]])&lt;=6,"1ª Semestre","2ª Semestre")</f>
        <v>1ª Semestre</v>
      </c>
    </row>
    <row r="6" spans="1:7" x14ac:dyDescent="0.25">
      <c r="A6" t="s">
        <v>30</v>
      </c>
      <c r="B6">
        <v>0</v>
      </c>
      <c r="C6" s="3">
        <v>0</v>
      </c>
      <c r="D6" s="58">
        <v>44613</v>
      </c>
      <c r="E6" s="58" t="str">
        <f>TEXT(Base_de_Dados[[#This Row],[Semana]],"Mmmm")</f>
        <v>fevereiro</v>
      </c>
      <c r="F6">
        <f t="shared" si="0"/>
        <v>2022</v>
      </c>
      <c r="G6" t="str">
        <f>IF(MONTH(Base_de_Dados[[#This Row],[Semana]])&lt;=6,"1ª Semestre","2ª Semestre")</f>
        <v>1ª Semestre</v>
      </c>
    </row>
    <row r="7" spans="1:7" x14ac:dyDescent="0.25">
      <c r="A7" t="s">
        <v>9</v>
      </c>
      <c r="B7">
        <v>0</v>
      </c>
      <c r="C7" s="3">
        <v>0</v>
      </c>
      <c r="D7" s="58">
        <v>44613</v>
      </c>
      <c r="E7" s="58" t="str">
        <f>TEXT(Base_de_Dados[[#This Row],[Semana]],"Mmmm")</f>
        <v>fevereiro</v>
      </c>
      <c r="F7">
        <f t="shared" si="0"/>
        <v>2022</v>
      </c>
      <c r="G7" t="str">
        <f>IF(MONTH(Base_de_Dados[[#This Row],[Semana]])&lt;=6,"1ª Semestre","2ª Semestre")</f>
        <v>1ª Semestre</v>
      </c>
    </row>
    <row r="8" spans="1:7" x14ac:dyDescent="0.25">
      <c r="A8" t="s">
        <v>10</v>
      </c>
      <c r="B8">
        <v>4</v>
      </c>
      <c r="C8" s="3">
        <v>0.5714285714285714</v>
      </c>
      <c r="D8" s="58">
        <v>44613</v>
      </c>
      <c r="E8" s="58" t="str">
        <f>TEXT(Base_de_Dados[[#This Row],[Semana]],"Mmmm")</f>
        <v>fevereiro</v>
      </c>
      <c r="F8">
        <f t="shared" si="0"/>
        <v>2022</v>
      </c>
      <c r="G8" t="str">
        <f>IF(MONTH(Base_de_Dados[[#This Row],[Semana]])&lt;=6,"1ª Semestre","2ª Semestre")</f>
        <v>1ª Semestre</v>
      </c>
    </row>
    <row r="9" spans="1:7" x14ac:dyDescent="0.25">
      <c r="A9" t="s">
        <v>34</v>
      </c>
      <c r="B9">
        <v>0</v>
      </c>
      <c r="C9" s="3">
        <v>0</v>
      </c>
      <c r="D9" s="58">
        <v>44613</v>
      </c>
      <c r="E9" s="58" t="str">
        <f>TEXT(Base_de_Dados[[#This Row],[Semana]],"Mmmm")</f>
        <v>fevereiro</v>
      </c>
      <c r="F9">
        <f t="shared" si="0"/>
        <v>2022</v>
      </c>
      <c r="G9" t="str">
        <f>IF(MONTH(Base_de_Dados[[#This Row],[Semana]])&lt;=6,"1ª Semestre","2ª Semestre")</f>
        <v>1ª Semestre</v>
      </c>
    </row>
    <row r="10" spans="1:7" x14ac:dyDescent="0.25">
      <c r="A10" t="s">
        <v>12</v>
      </c>
      <c r="B10">
        <v>3</v>
      </c>
      <c r="C10" s="3">
        <v>0.42857142857142855</v>
      </c>
      <c r="D10" s="58">
        <v>44613</v>
      </c>
      <c r="E10" s="58" t="str">
        <f>TEXT(Base_de_Dados[[#This Row],[Semana]],"Mmmm")</f>
        <v>fevereiro</v>
      </c>
      <c r="F10">
        <f t="shared" si="0"/>
        <v>2022</v>
      </c>
      <c r="G10" t="str">
        <f>IF(MONTH(Base_de_Dados[[#This Row],[Semana]])&lt;=6,"1ª Semestre","2ª Semestre")</f>
        <v>1ª Semestre</v>
      </c>
    </row>
    <row r="11" spans="1:7" x14ac:dyDescent="0.25">
      <c r="A11" t="s">
        <v>13</v>
      </c>
      <c r="B11">
        <v>0</v>
      </c>
      <c r="C11" s="3">
        <v>0</v>
      </c>
      <c r="D11" s="58">
        <v>44613</v>
      </c>
      <c r="E11" s="58" t="str">
        <f>TEXT(Base_de_Dados[[#This Row],[Semana]],"Mmmm")</f>
        <v>fevereiro</v>
      </c>
      <c r="F11">
        <f t="shared" si="0"/>
        <v>2022</v>
      </c>
      <c r="G11" t="str">
        <f>IF(MONTH(Base_de_Dados[[#This Row],[Semana]])&lt;=6,"1ª Semestre","2ª Semestre")</f>
        <v>1ª Semestre</v>
      </c>
    </row>
    <row r="12" spans="1:7" x14ac:dyDescent="0.25">
      <c r="A12" t="s">
        <v>4</v>
      </c>
      <c r="B12">
        <v>0</v>
      </c>
      <c r="C12" s="3">
        <v>0</v>
      </c>
      <c r="D12" s="58">
        <v>44620</v>
      </c>
      <c r="E12" s="58" t="str">
        <f>TEXT(Base_de_Dados[[#This Row],[Semana]],"Mmmm")</f>
        <v>fevereiro</v>
      </c>
      <c r="F12">
        <f t="shared" si="0"/>
        <v>2022</v>
      </c>
      <c r="G12" t="str">
        <f>IF(MONTH(Base_de_Dados[[#This Row],[Semana]])&lt;=6,"1ª Semestre","2ª Semestre")</f>
        <v>1ª Semestre</v>
      </c>
    </row>
    <row r="13" spans="1:7" x14ac:dyDescent="0.25">
      <c r="A13" t="s">
        <v>5</v>
      </c>
      <c r="B13">
        <v>4</v>
      </c>
      <c r="C13" s="3">
        <v>0.25</v>
      </c>
      <c r="D13" s="58">
        <v>44620</v>
      </c>
      <c r="E13" s="58" t="str">
        <f>TEXT(Base_de_Dados[[#This Row],[Semana]],"Mmmm")</f>
        <v>fevereiro</v>
      </c>
      <c r="F13">
        <f t="shared" si="0"/>
        <v>2022</v>
      </c>
      <c r="G13" t="str">
        <f>IF(MONTH(Base_de_Dados[[#This Row],[Semana]])&lt;=6,"1ª Semestre","2ª Semestre")</f>
        <v>1ª Semestre</v>
      </c>
    </row>
    <row r="14" spans="1:7" x14ac:dyDescent="0.25">
      <c r="A14" t="s">
        <v>127</v>
      </c>
      <c r="B14">
        <v>0</v>
      </c>
      <c r="C14" s="3">
        <v>0</v>
      </c>
      <c r="D14" s="58">
        <v>44620</v>
      </c>
      <c r="E14" s="58" t="str">
        <f>TEXT(Base_de_Dados[[#This Row],[Semana]],"Mmmm")</f>
        <v>fevereiro</v>
      </c>
      <c r="F14">
        <f t="shared" si="0"/>
        <v>2022</v>
      </c>
      <c r="G14" t="str">
        <f>IF(MONTH(Base_de_Dados[[#This Row],[Semana]])&lt;=6,"1ª Semestre","2ª Semestre")</f>
        <v>1ª Semestre</v>
      </c>
    </row>
    <row r="15" spans="1:7" x14ac:dyDescent="0.25">
      <c r="A15" t="s">
        <v>7</v>
      </c>
      <c r="B15">
        <v>0</v>
      </c>
      <c r="C15" s="3">
        <v>0</v>
      </c>
      <c r="D15" s="58">
        <v>44620</v>
      </c>
      <c r="E15" s="58" t="str">
        <f>TEXT(Base_de_Dados[[#This Row],[Semana]],"Mmmm")</f>
        <v>fevereiro</v>
      </c>
      <c r="F15">
        <f t="shared" si="0"/>
        <v>2022</v>
      </c>
      <c r="G15" t="str">
        <f>IF(MONTH(Base_de_Dados[[#This Row],[Semana]])&lt;=6,"1ª Semestre","2ª Semestre")</f>
        <v>1ª Semestre</v>
      </c>
    </row>
    <row r="16" spans="1:7" x14ac:dyDescent="0.25">
      <c r="A16" t="s">
        <v>30</v>
      </c>
      <c r="B16">
        <v>0</v>
      </c>
      <c r="C16" s="3">
        <v>0</v>
      </c>
      <c r="D16" s="58">
        <v>44620</v>
      </c>
      <c r="E16" s="58" t="str">
        <f>TEXT(Base_de_Dados[[#This Row],[Semana]],"Mmmm")</f>
        <v>fevereiro</v>
      </c>
      <c r="F16">
        <f t="shared" si="0"/>
        <v>2022</v>
      </c>
      <c r="G16" t="str">
        <f>IF(MONTH(Base_de_Dados[[#This Row],[Semana]])&lt;=6,"1ª Semestre","2ª Semestre")</f>
        <v>1ª Semestre</v>
      </c>
    </row>
    <row r="17" spans="1:7" x14ac:dyDescent="0.25">
      <c r="A17" t="s">
        <v>118</v>
      </c>
      <c r="B17">
        <v>5</v>
      </c>
      <c r="C17" s="3">
        <v>0.3125</v>
      </c>
      <c r="D17" s="58">
        <v>44620</v>
      </c>
      <c r="E17" s="58" t="str">
        <f>TEXT(Base_de_Dados[[#This Row],[Semana]],"Mmmm")</f>
        <v>fevereiro</v>
      </c>
      <c r="F17">
        <f t="shared" si="0"/>
        <v>2022</v>
      </c>
      <c r="G17" t="str">
        <f>IF(MONTH(Base_de_Dados[[#This Row],[Semana]])&lt;=6,"1ª Semestre","2ª Semestre")</f>
        <v>1ª Semestre</v>
      </c>
    </row>
    <row r="18" spans="1:7" x14ac:dyDescent="0.25">
      <c r="A18" t="s">
        <v>10</v>
      </c>
      <c r="B18">
        <v>1</v>
      </c>
      <c r="C18" s="3">
        <v>6.25E-2</v>
      </c>
      <c r="D18" s="58">
        <v>44620</v>
      </c>
      <c r="E18" s="58" t="str">
        <f>TEXT(Base_de_Dados[[#This Row],[Semana]],"Mmmm")</f>
        <v>fevereiro</v>
      </c>
      <c r="F18">
        <f t="shared" si="0"/>
        <v>2022</v>
      </c>
      <c r="G18" t="str">
        <f>IF(MONTH(Base_de_Dados[[#This Row],[Semana]])&lt;=6,"1ª Semestre","2ª Semestre")</f>
        <v>1ª Semestre</v>
      </c>
    </row>
    <row r="19" spans="1:7" x14ac:dyDescent="0.25">
      <c r="A19" t="s">
        <v>34</v>
      </c>
      <c r="B19">
        <v>1</v>
      </c>
      <c r="C19" s="3">
        <v>6.25E-2</v>
      </c>
      <c r="D19" s="58">
        <v>44620</v>
      </c>
      <c r="E19" s="58" t="str">
        <f>TEXT(Base_de_Dados[[#This Row],[Semana]],"Mmmm")</f>
        <v>fevereiro</v>
      </c>
      <c r="F19">
        <f t="shared" si="0"/>
        <v>2022</v>
      </c>
      <c r="G19" t="str">
        <f>IF(MONTH(Base_de_Dados[[#This Row],[Semana]])&lt;=6,"1ª Semestre","2ª Semestre")</f>
        <v>1ª Semestre</v>
      </c>
    </row>
    <row r="20" spans="1:7" x14ac:dyDescent="0.25">
      <c r="A20" t="s">
        <v>12</v>
      </c>
      <c r="B20">
        <v>4</v>
      </c>
      <c r="C20" s="3">
        <v>0.25</v>
      </c>
      <c r="D20" s="58">
        <v>44620</v>
      </c>
      <c r="E20" s="58" t="str">
        <f>TEXT(Base_de_Dados[[#This Row],[Semana]],"Mmmm")</f>
        <v>fevereiro</v>
      </c>
      <c r="F20">
        <f t="shared" si="0"/>
        <v>2022</v>
      </c>
      <c r="G20" t="str">
        <f>IF(MONTH(Base_de_Dados[[#This Row],[Semana]])&lt;=6,"1ª Semestre","2ª Semestre")</f>
        <v>1ª Semestre</v>
      </c>
    </row>
    <row r="21" spans="1:7" x14ac:dyDescent="0.25">
      <c r="A21" t="s">
        <v>13</v>
      </c>
      <c r="B21">
        <v>1</v>
      </c>
      <c r="C21" s="3">
        <v>6.25E-2</v>
      </c>
      <c r="D21" s="58">
        <v>44620</v>
      </c>
      <c r="E21" s="58" t="str">
        <f>TEXT(Base_de_Dados[[#This Row],[Semana]],"Mmmm")</f>
        <v>fevereiro</v>
      </c>
      <c r="F21">
        <f t="shared" si="0"/>
        <v>2022</v>
      </c>
      <c r="G21" t="str">
        <f>IF(MONTH(Base_de_Dados[[#This Row],[Semana]])&lt;=6,"1ª Semestre","2ª Semestre")</f>
        <v>1ª Semestre</v>
      </c>
    </row>
    <row r="22" spans="1:7" x14ac:dyDescent="0.25">
      <c r="A22" t="s">
        <v>4</v>
      </c>
      <c r="B22">
        <v>5</v>
      </c>
      <c r="C22" s="3">
        <v>0.26315789473684209</v>
      </c>
      <c r="D22" s="58">
        <v>44627</v>
      </c>
      <c r="E22" s="58" t="str">
        <f>TEXT(Base_de_Dados[[#This Row],[Semana]],"Mmmm")</f>
        <v>março</v>
      </c>
      <c r="F22">
        <f t="shared" si="0"/>
        <v>2022</v>
      </c>
      <c r="G22" t="str">
        <f>IF(MONTH(Base_de_Dados[[#This Row],[Semana]])&lt;=6,"1ª Semestre","2ª Semestre")</f>
        <v>1ª Semestre</v>
      </c>
    </row>
    <row r="23" spans="1:7" x14ac:dyDescent="0.25">
      <c r="A23" t="s">
        <v>5</v>
      </c>
      <c r="B23">
        <v>2</v>
      </c>
      <c r="C23" s="3">
        <v>0.10526315789473684</v>
      </c>
      <c r="D23" s="58">
        <v>44627</v>
      </c>
      <c r="E23" s="58" t="str">
        <f>TEXT(Base_de_Dados[[#This Row],[Semana]],"Mmmm")</f>
        <v>março</v>
      </c>
      <c r="F23">
        <f t="shared" si="0"/>
        <v>2022</v>
      </c>
      <c r="G23" t="str">
        <f>IF(MONTH(Base_de_Dados[[#This Row],[Semana]])&lt;=6,"1ª Semestre","2ª Semestre")</f>
        <v>1ª Semestre</v>
      </c>
    </row>
    <row r="24" spans="1:7" x14ac:dyDescent="0.25">
      <c r="A24" t="s">
        <v>127</v>
      </c>
      <c r="B24">
        <v>1</v>
      </c>
      <c r="C24" s="3">
        <v>5.2631578947368418E-2</v>
      </c>
      <c r="D24" s="58">
        <v>44627</v>
      </c>
      <c r="E24" s="58" t="str">
        <f>TEXT(Base_de_Dados[[#This Row],[Semana]],"Mmmm")</f>
        <v>março</v>
      </c>
      <c r="F24">
        <f t="shared" si="0"/>
        <v>2022</v>
      </c>
      <c r="G24" t="str">
        <f>IF(MONTH(Base_de_Dados[[#This Row],[Semana]])&lt;=6,"1ª Semestre","2ª Semestre")</f>
        <v>1ª Semestre</v>
      </c>
    </row>
    <row r="25" spans="1:7" x14ac:dyDescent="0.25">
      <c r="A25" t="s">
        <v>7</v>
      </c>
      <c r="B25">
        <v>0</v>
      </c>
      <c r="C25" s="3">
        <v>0</v>
      </c>
      <c r="D25" s="58">
        <v>44627</v>
      </c>
      <c r="E25" s="58" t="str">
        <f>TEXT(Base_de_Dados[[#This Row],[Semana]],"Mmmm")</f>
        <v>março</v>
      </c>
      <c r="F25">
        <f t="shared" si="0"/>
        <v>2022</v>
      </c>
      <c r="G25" t="str">
        <f>IF(MONTH(Base_de_Dados[[#This Row],[Semana]])&lt;=6,"1ª Semestre","2ª Semestre")</f>
        <v>1ª Semestre</v>
      </c>
    </row>
    <row r="26" spans="1:7" x14ac:dyDescent="0.25">
      <c r="A26" t="s">
        <v>30</v>
      </c>
      <c r="B26">
        <v>0</v>
      </c>
      <c r="C26" s="3">
        <v>0</v>
      </c>
      <c r="D26" s="58">
        <v>44627</v>
      </c>
      <c r="E26" s="58" t="str">
        <f>TEXT(Base_de_Dados[[#This Row],[Semana]],"Mmmm")</f>
        <v>março</v>
      </c>
      <c r="F26">
        <f t="shared" si="0"/>
        <v>2022</v>
      </c>
      <c r="G26" t="str">
        <f>IF(MONTH(Base_de_Dados[[#This Row],[Semana]])&lt;=6,"1ª Semestre","2ª Semestre")</f>
        <v>1ª Semestre</v>
      </c>
    </row>
    <row r="27" spans="1:7" x14ac:dyDescent="0.25">
      <c r="A27" t="s">
        <v>118</v>
      </c>
      <c r="B27">
        <v>2</v>
      </c>
      <c r="C27" s="3">
        <v>0.10526315789473684</v>
      </c>
      <c r="D27" s="58">
        <v>44627</v>
      </c>
      <c r="E27" s="58" t="str">
        <f>TEXT(Base_de_Dados[[#This Row],[Semana]],"Mmmm")</f>
        <v>março</v>
      </c>
      <c r="F27">
        <f t="shared" si="0"/>
        <v>2022</v>
      </c>
      <c r="G27" t="str">
        <f>IF(MONTH(Base_de_Dados[[#This Row],[Semana]])&lt;=6,"1ª Semestre","2ª Semestre")</f>
        <v>1ª Semestre</v>
      </c>
    </row>
    <row r="28" spans="1:7" x14ac:dyDescent="0.25">
      <c r="A28" t="s">
        <v>10</v>
      </c>
      <c r="B28">
        <v>1</v>
      </c>
      <c r="C28" s="3">
        <v>5.2631578947368418E-2</v>
      </c>
      <c r="D28" s="58">
        <v>44627</v>
      </c>
      <c r="E28" s="58" t="str">
        <f>TEXT(Base_de_Dados[[#This Row],[Semana]],"Mmmm")</f>
        <v>março</v>
      </c>
      <c r="F28">
        <f t="shared" si="0"/>
        <v>2022</v>
      </c>
      <c r="G28" t="str">
        <f>IF(MONTH(Base_de_Dados[[#This Row],[Semana]])&lt;=6,"1ª Semestre","2ª Semestre")</f>
        <v>1ª Semestre</v>
      </c>
    </row>
    <row r="29" spans="1:7" x14ac:dyDescent="0.25">
      <c r="A29" t="s">
        <v>11</v>
      </c>
      <c r="B29">
        <v>0</v>
      </c>
      <c r="C29" s="3">
        <v>0</v>
      </c>
      <c r="D29" s="58">
        <v>44627</v>
      </c>
      <c r="E29" s="58" t="str">
        <f>TEXT(Base_de_Dados[[#This Row],[Semana]],"Mmmm")</f>
        <v>março</v>
      </c>
      <c r="F29">
        <f t="shared" si="0"/>
        <v>2022</v>
      </c>
      <c r="G29" t="str">
        <f>IF(MONTH(Base_de_Dados[[#This Row],[Semana]])&lt;=6,"1ª Semestre","2ª Semestre")</f>
        <v>1ª Semestre</v>
      </c>
    </row>
    <row r="30" spans="1:7" x14ac:dyDescent="0.25">
      <c r="A30" t="s">
        <v>12</v>
      </c>
      <c r="B30">
        <v>2</v>
      </c>
      <c r="C30" s="3">
        <v>0.10526315789473684</v>
      </c>
      <c r="D30" s="58">
        <v>44627</v>
      </c>
      <c r="E30" s="58" t="str">
        <f>TEXT(Base_de_Dados[[#This Row],[Semana]],"Mmmm")</f>
        <v>março</v>
      </c>
      <c r="F30">
        <f t="shared" si="0"/>
        <v>2022</v>
      </c>
      <c r="G30" t="str">
        <f>IF(MONTH(Base_de_Dados[[#This Row],[Semana]])&lt;=6,"1ª Semestre","2ª Semestre")</f>
        <v>1ª Semestre</v>
      </c>
    </row>
    <row r="31" spans="1:7" x14ac:dyDescent="0.25">
      <c r="A31" t="s">
        <v>13</v>
      </c>
      <c r="B31">
        <v>5</v>
      </c>
      <c r="C31" s="3">
        <v>0.26315789473684209</v>
      </c>
      <c r="D31" s="58">
        <v>44627</v>
      </c>
      <c r="E31" s="58" t="str">
        <f>TEXT(Base_de_Dados[[#This Row],[Semana]],"Mmmm")</f>
        <v>março</v>
      </c>
      <c r="F31">
        <f t="shared" si="0"/>
        <v>2022</v>
      </c>
      <c r="G31" t="str">
        <f>IF(MONTH(Base_de_Dados[[#This Row],[Semana]])&lt;=6,"1ª Semestre","2ª Semestre")</f>
        <v>1ª Semestre</v>
      </c>
    </row>
    <row r="32" spans="1:7" x14ac:dyDescent="0.25">
      <c r="A32" t="s">
        <v>121</v>
      </c>
      <c r="B32">
        <v>1</v>
      </c>
      <c r="C32" s="3">
        <v>5.2631578947368418E-2</v>
      </c>
      <c r="D32" s="58">
        <v>44627</v>
      </c>
      <c r="E32" s="58" t="str">
        <f>TEXT(Base_de_Dados[[#This Row],[Semana]],"Mmmm")</f>
        <v>março</v>
      </c>
      <c r="F32">
        <f t="shared" si="0"/>
        <v>2022</v>
      </c>
      <c r="G32" t="str">
        <f>IF(MONTH(Base_de_Dados[[#This Row],[Semana]])&lt;=6,"1ª Semestre","2ª Semestre")</f>
        <v>1ª Semestre</v>
      </c>
    </row>
    <row r="33" spans="1:7" x14ac:dyDescent="0.25">
      <c r="A33" t="s">
        <v>4</v>
      </c>
      <c r="B33">
        <v>3</v>
      </c>
      <c r="C33" s="3">
        <v>0.375</v>
      </c>
      <c r="D33" s="58">
        <v>44634</v>
      </c>
      <c r="E33" s="58" t="str">
        <f>TEXT(Base_de_Dados[[#This Row],[Semana]],"Mmmm")</f>
        <v>março</v>
      </c>
      <c r="F33">
        <f t="shared" si="0"/>
        <v>2022</v>
      </c>
      <c r="G33" t="str">
        <f>IF(MONTH(Base_de_Dados[[#This Row],[Semana]])&lt;=6,"1ª Semestre","2ª Semestre")</f>
        <v>1ª Semestre</v>
      </c>
    </row>
    <row r="34" spans="1:7" x14ac:dyDescent="0.25">
      <c r="A34" t="s">
        <v>5</v>
      </c>
      <c r="B34">
        <v>1</v>
      </c>
      <c r="C34" s="3">
        <v>0.125</v>
      </c>
      <c r="D34" s="58">
        <v>44634</v>
      </c>
      <c r="E34" s="58" t="str">
        <f>TEXT(Base_de_Dados[[#This Row],[Semana]],"Mmmm")</f>
        <v>março</v>
      </c>
      <c r="F34">
        <f t="shared" si="0"/>
        <v>2022</v>
      </c>
      <c r="G34" t="str">
        <f>IF(MONTH(Base_de_Dados[[#This Row],[Semana]])&lt;=6,"1ª Semestre","2ª Semestre")</f>
        <v>1ª Semestre</v>
      </c>
    </row>
    <row r="35" spans="1:7" x14ac:dyDescent="0.25">
      <c r="A35" t="s">
        <v>127</v>
      </c>
      <c r="B35">
        <v>0</v>
      </c>
      <c r="C35" s="3">
        <v>0</v>
      </c>
      <c r="D35" s="58">
        <v>44634</v>
      </c>
      <c r="E35" s="58" t="str">
        <f>TEXT(Base_de_Dados[[#This Row],[Semana]],"Mmmm")</f>
        <v>março</v>
      </c>
      <c r="F35">
        <f t="shared" si="0"/>
        <v>2022</v>
      </c>
      <c r="G35" t="str">
        <f>IF(MONTH(Base_de_Dados[[#This Row],[Semana]])&lt;=6,"1ª Semestre","2ª Semestre")</f>
        <v>1ª Semestre</v>
      </c>
    </row>
    <row r="36" spans="1:7" x14ac:dyDescent="0.25">
      <c r="A36" t="s">
        <v>7</v>
      </c>
      <c r="B36">
        <v>0</v>
      </c>
      <c r="C36" s="3">
        <v>0</v>
      </c>
      <c r="D36" s="58">
        <v>44634</v>
      </c>
      <c r="E36" s="58" t="str">
        <f>TEXT(Base_de_Dados[[#This Row],[Semana]],"Mmmm")</f>
        <v>março</v>
      </c>
      <c r="F36">
        <f t="shared" si="0"/>
        <v>2022</v>
      </c>
      <c r="G36" t="str">
        <f>IF(MONTH(Base_de_Dados[[#This Row],[Semana]])&lt;=6,"1ª Semestre","2ª Semestre")</f>
        <v>1ª Semestre</v>
      </c>
    </row>
    <row r="37" spans="1:7" x14ac:dyDescent="0.25">
      <c r="A37" t="s">
        <v>30</v>
      </c>
      <c r="B37">
        <v>0</v>
      </c>
      <c r="C37" s="3">
        <v>0</v>
      </c>
      <c r="D37" s="58">
        <v>44634</v>
      </c>
      <c r="E37" s="58" t="str">
        <f>TEXT(Base_de_Dados[[#This Row],[Semana]],"Mmmm")</f>
        <v>março</v>
      </c>
      <c r="F37">
        <f t="shared" si="0"/>
        <v>2022</v>
      </c>
      <c r="G37" t="str">
        <f>IF(MONTH(Base_de_Dados[[#This Row],[Semana]])&lt;=6,"1ª Semestre","2ª Semestre")</f>
        <v>1ª Semestre</v>
      </c>
    </row>
    <row r="38" spans="1:7" x14ac:dyDescent="0.25">
      <c r="A38" t="s">
        <v>118</v>
      </c>
      <c r="B38">
        <v>1</v>
      </c>
      <c r="C38" s="3">
        <v>0.125</v>
      </c>
      <c r="D38" s="58">
        <v>44634</v>
      </c>
      <c r="E38" s="58" t="str">
        <f>TEXT(Base_de_Dados[[#This Row],[Semana]],"Mmmm")</f>
        <v>março</v>
      </c>
      <c r="F38">
        <f t="shared" si="0"/>
        <v>2022</v>
      </c>
      <c r="G38" t="str">
        <f>IF(MONTH(Base_de_Dados[[#This Row],[Semana]])&lt;=6,"1ª Semestre","2ª Semestre")</f>
        <v>1ª Semestre</v>
      </c>
    </row>
    <row r="39" spans="1:7" x14ac:dyDescent="0.25">
      <c r="A39" t="s">
        <v>10</v>
      </c>
      <c r="B39">
        <v>0</v>
      </c>
      <c r="C39" s="3">
        <v>0</v>
      </c>
      <c r="D39" s="58">
        <v>44634</v>
      </c>
      <c r="E39" s="58" t="str">
        <f>TEXT(Base_de_Dados[[#This Row],[Semana]],"Mmmm")</f>
        <v>março</v>
      </c>
      <c r="F39">
        <f t="shared" si="0"/>
        <v>2022</v>
      </c>
      <c r="G39" t="str">
        <f>IF(MONTH(Base_de_Dados[[#This Row],[Semana]])&lt;=6,"1ª Semestre","2ª Semestre")</f>
        <v>1ª Semestre</v>
      </c>
    </row>
    <row r="40" spans="1:7" x14ac:dyDescent="0.25">
      <c r="A40" t="s">
        <v>11</v>
      </c>
      <c r="B40">
        <v>0</v>
      </c>
      <c r="C40" s="3">
        <v>0</v>
      </c>
      <c r="D40" s="58">
        <v>44634</v>
      </c>
      <c r="E40" s="58" t="str">
        <f>TEXT(Base_de_Dados[[#This Row],[Semana]],"Mmmm")</f>
        <v>março</v>
      </c>
      <c r="F40">
        <f t="shared" si="0"/>
        <v>2022</v>
      </c>
      <c r="G40" t="str">
        <f>IF(MONTH(Base_de_Dados[[#This Row],[Semana]])&lt;=6,"1ª Semestre","2ª Semestre")</f>
        <v>1ª Semestre</v>
      </c>
    </row>
    <row r="41" spans="1:7" x14ac:dyDescent="0.25">
      <c r="A41" t="s">
        <v>12</v>
      </c>
      <c r="B41">
        <v>2</v>
      </c>
      <c r="C41" s="3">
        <v>0.25</v>
      </c>
      <c r="D41" s="58">
        <v>44634</v>
      </c>
      <c r="E41" s="58" t="str">
        <f>TEXT(Base_de_Dados[[#This Row],[Semana]],"Mmmm")</f>
        <v>março</v>
      </c>
      <c r="F41">
        <f t="shared" si="0"/>
        <v>2022</v>
      </c>
      <c r="G41" t="str">
        <f>IF(MONTH(Base_de_Dados[[#This Row],[Semana]])&lt;=6,"1ª Semestre","2ª Semestre")</f>
        <v>1ª Semestre</v>
      </c>
    </row>
    <row r="42" spans="1:7" x14ac:dyDescent="0.25">
      <c r="A42" t="s">
        <v>13</v>
      </c>
      <c r="B42">
        <v>1</v>
      </c>
      <c r="C42" s="3">
        <v>0.125</v>
      </c>
      <c r="D42" s="58">
        <v>44634</v>
      </c>
      <c r="E42" s="58" t="str">
        <f>TEXT(Base_de_Dados[[#This Row],[Semana]],"Mmmm")</f>
        <v>março</v>
      </c>
      <c r="F42">
        <f t="shared" si="0"/>
        <v>2022</v>
      </c>
      <c r="G42" t="str">
        <f>IF(MONTH(Base_de_Dados[[#This Row],[Semana]])&lt;=6,"1ª Semestre","2ª Semestre")</f>
        <v>1ª Semestre</v>
      </c>
    </row>
    <row r="43" spans="1:7" x14ac:dyDescent="0.25">
      <c r="A43" t="s">
        <v>121</v>
      </c>
      <c r="B43">
        <v>0</v>
      </c>
      <c r="C43" s="3">
        <v>0</v>
      </c>
      <c r="D43" s="58">
        <v>44634</v>
      </c>
      <c r="E43" s="58" t="str">
        <f>TEXT(Base_de_Dados[[#This Row],[Semana]],"Mmmm")</f>
        <v>março</v>
      </c>
      <c r="F43">
        <f t="shared" si="0"/>
        <v>2022</v>
      </c>
      <c r="G43" t="str">
        <f>IF(MONTH(Base_de_Dados[[#This Row],[Semana]])&lt;=6,"1ª Semestre","2ª Semestre")</f>
        <v>1ª Semestre</v>
      </c>
    </row>
    <row r="44" spans="1:7" x14ac:dyDescent="0.25">
      <c r="A44" t="s">
        <v>4</v>
      </c>
      <c r="B44">
        <v>3</v>
      </c>
      <c r="C44" s="3">
        <v>0.27272727272727271</v>
      </c>
      <c r="D44" s="58">
        <v>44641</v>
      </c>
      <c r="E44" s="58" t="str">
        <f>TEXT(Base_de_Dados[[#This Row],[Semana]],"Mmmm")</f>
        <v>março</v>
      </c>
      <c r="F44">
        <f t="shared" si="0"/>
        <v>2022</v>
      </c>
      <c r="G44" t="str">
        <f>IF(MONTH(Base_de_Dados[[#This Row],[Semana]])&lt;=6,"1ª Semestre","2ª Semestre")</f>
        <v>1ª Semestre</v>
      </c>
    </row>
    <row r="45" spans="1:7" x14ac:dyDescent="0.25">
      <c r="A45" t="s">
        <v>5</v>
      </c>
      <c r="B45">
        <v>0</v>
      </c>
      <c r="C45" s="3">
        <v>0</v>
      </c>
      <c r="D45" s="58">
        <v>44641</v>
      </c>
      <c r="E45" s="58" t="str">
        <f>TEXT(Base_de_Dados[[#This Row],[Semana]],"Mmmm")</f>
        <v>março</v>
      </c>
      <c r="F45">
        <f t="shared" si="0"/>
        <v>2022</v>
      </c>
      <c r="G45" t="str">
        <f>IF(MONTH(Base_de_Dados[[#This Row],[Semana]])&lt;=6,"1ª Semestre","2ª Semestre")</f>
        <v>1ª Semestre</v>
      </c>
    </row>
    <row r="46" spans="1:7" x14ac:dyDescent="0.25">
      <c r="A46" t="s">
        <v>127</v>
      </c>
      <c r="B46">
        <v>1</v>
      </c>
      <c r="C46" s="3">
        <v>9.0909090909090912E-2</v>
      </c>
      <c r="D46" s="58">
        <v>44641</v>
      </c>
      <c r="E46" s="58" t="str">
        <f>TEXT(Base_de_Dados[[#This Row],[Semana]],"Mmmm")</f>
        <v>março</v>
      </c>
      <c r="F46">
        <f t="shared" si="0"/>
        <v>2022</v>
      </c>
      <c r="G46" t="str">
        <f>IF(MONTH(Base_de_Dados[[#This Row],[Semana]])&lt;=6,"1ª Semestre","2ª Semestre")</f>
        <v>1ª Semestre</v>
      </c>
    </row>
    <row r="47" spans="1:7" x14ac:dyDescent="0.25">
      <c r="A47" t="s">
        <v>7</v>
      </c>
      <c r="B47">
        <v>0</v>
      </c>
      <c r="C47" s="3">
        <v>0</v>
      </c>
      <c r="D47" s="58">
        <v>44641</v>
      </c>
      <c r="E47" s="58" t="str">
        <f>TEXT(Base_de_Dados[[#This Row],[Semana]],"Mmmm")</f>
        <v>março</v>
      </c>
      <c r="F47">
        <f t="shared" si="0"/>
        <v>2022</v>
      </c>
      <c r="G47" t="str">
        <f>IF(MONTH(Base_de_Dados[[#This Row],[Semana]])&lt;=6,"1ª Semestre","2ª Semestre")</f>
        <v>1ª Semestre</v>
      </c>
    </row>
    <row r="48" spans="1:7" x14ac:dyDescent="0.25">
      <c r="A48" t="s">
        <v>30</v>
      </c>
      <c r="B48">
        <v>0</v>
      </c>
      <c r="C48" s="3">
        <v>0</v>
      </c>
      <c r="D48" s="58">
        <v>44641</v>
      </c>
      <c r="E48" s="58" t="str">
        <f>TEXT(Base_de_Dados[[#This Row],[Semana]],"Mmmm")</f>
        <v>março</v>
      </c>
      <c r="F48">
        <f t="shared" si="0"/>
        <v>2022</v>
      </c>
      <c r="G48" t="str">
        <f>IF(MONTH(Base_de_Dados[[#This Row],[Semana]])&lt;=6,"1ª Semestre","2ª Semestre")</f>
        <v>1ª Semestre</v>
      </c>
    </row>
    <row r="49" spans="1:7" x14ac:dyDescent="0.25">
      <c r="A49" t="s">
        <v>118</v>
      </c>
      <c r="B49">
        <v>1</v>
      </c>
      <c r="C49" s="3">
        <v>9.0909090909090912E-2</v>
      </c>
      <c r="D49" s="58">
        <v>44641</v>
      </c>
      <c r="E49" s="58" t="str">
        <f>TEXT(Base_de_Dados[[#This Row],[Semana]],"Mmmm")</f>
        <v>março</v>
      </c>
      <c r="F49">
        <f t="shared" si="0"/>
        <v>2022</v>
      </c>
      <c r="G49" t="str">
        <f>IF(MONTH(Base_de_Dados[[#This Row],[Semana]])&lt;=6,"1ª Semestre","2ª Semestre")</f>
        <v>1ª Semestre</v>
      </c>
    </row>
    <row r="50" spans="1:7" x14ac:dyDescent="0.25">
      <c r="A50" t="s">
        <v>10</v>
      </c>
      <c r="B50">
        <v>0</v>
      </c>
      <c r="C50" s="3">
        <v>0</v>
      </c>
      <c r="D50" s="58">
        <v>44641</v>
      </c>
      <c r="E50" s="58" t="str">
        <f>TEXT(Base_de_Dados[[#This Row],[Semana]],"Mmmm")</f>
        <v>março</v>
      </c>
      <c r="F50">
        <f t="shared" si="0"/>
        <v>2022</v>
      </c>
      <c r="G50" t="str">
        <f>IF(MONTH(Base_de_Dados[[#This Row],[Semana]])&lt;=6,"1ª Semestre","2ª Semestre")</f>
        <v>1ª Semestre</v>
      </c>
    </row>
    <row r="51" spans="1:7" x14ac:dyDescent="0.25">
      <c r="A51" t="s">
        <v>11</v>
      </c>
      <c r="B51">
        <v>3</v>
      </c>
      <c r="C51" s="3">
        <v>0.27272727272727271</v>
      </c>
      <c r="D51" s="58">
        <v>44641</v>
      </c>
      <c r="E51" s="58" t="str">
        <f>TEXT(Base_de_Dados[[#This Row],[Semana]],"Mmmm")</f>
        <v>março</v>
      </c>
      <c r="F51">
        <f t="shared" si="0"/>
        <v>2022</v>
      </c>
      <c r="G51" t="str">
        <f>IF(MONTH(Base_de_Dados[[#This Row],[Semana]])&lt;=6,"1ª Semestre","2ª Semestre")</f>
        <v>1ª Semestre</v>
      </c>
    </row>
    <row r="52" spans="1:7" x14ac:dyDescent="0.25">
      <c r="A52" t="s">
        <v>12</v>
      </c>
      <c r="B52">
        <v>1</v>
      </c>
      <c r="C52" s="3">
        <v>9.0909090909090912E-2</v>
      </c>
      <c r="D52" s="58">
        <v>44641</v>
      </c>
      <c r="E52" s="58" t="str">
        <f>TEXT(Base_de_Dados[[#This Row],[Semana]],"Mmmm")</f>
        <v>março</v>
      </c>
      <c r="F52">
        <f t="shared" si="0"/>
        <v>2022</v>
      </c>
      <c r="G52" t="str">
        <f>IF(MONTH(Base_de_Dados[[#This Row],[Semana]])&lt;=6,"1ª Semestre","2ª Semestre")</f>
        <v>1ª Semestre</v>
      </c>
    </row>
    <row r="53" spans="1:7" x14ac:dyDescent="0.25">
      <c r="A53" t="s">
        <v>13</v>
      </c>
      <c r="B53">
        <v>2</v>
      </c>
      <c r="C53" s="3">
        <v>0.18181818181818182</v>
      </c>
      <c r="D53" s="58">
        <v>44641</v>
      </c>
      <c r="E53" s="58" t="str">
        <f>TEXT(Base_de_Dados[[#This Row],[Semana]],"Mmmm")</f>
        <v>março</v>
      </c>
      <c r="F53">
        <f t="shared" si="0"/>
        <v>2022</v>
      </c>
      <c r="G53" t="str">
        <f>IF(MONTH(Base_de_Dados[[#This Row],[Semana]])&lt;=6,"1ª Semestre","2ª Semestre")</f>
        <v>1ª Semestre</v>
      </c>
    </row>
    <row r="54" spans="1:7" x14ac:dyDescent="0.25">
      <c r="A54" t="s">
        <v>121</v>
      </c>
      <c r="B54">
        <v>0</v>
      </c>
      <c r="C54" s="3">
        <v>0</v>
      </c>
      <c r="D54" s="58">
        <v>44641</v>
      </c>
      <c r="E54" s="58" t="str">
        <f>TEXT(Base_de_Dados[[#This Row],[Semana]],"Mmmm")</f>
        <v>março</v>
      </c>
      <c r="F54">
        <f t="shared" si="0"/>
        <v>2022</v>
      </c>
      <c r="G54" t="str">
        <f>IF(MONTH(Base_de_Dados[[#This Row],[Semana]])&lt;=6,"1ª Semestre","2ª Semestre")</f>
        <v>1ª Semestre</v>
      </c>
    </row>
    <row r="55" spans="1:7" x14ac:dyDescent="0.25">
      <c r="A55" t="s">
        <v>4</v>
      </c>
      <c r="B55">
        <v>3</v>
      </c>
      <c r="C55" s="3">
        <v>0.5</v>
      </c>
      <c r="D55" s="58">
        <v>44648</v>
      </c>
      <c r="E55" s="58" t="str">
        <f>TEXT(Base_de_Dados[[#This Row],[Semana]],"Mmmm")</f>
        <v>março</v>
      </c>
      <c r="F55">
        <f t="shared" si="0"/>
        <v>2022</v>
      </c>
      <c r="G55" t="str">
        <f>IF(MONTH(Base_de_Dados[[#This Row],[Semana]])&lt;=6,"1ª Semestre","2ª Semestre")</f>
        <v>1ª Semestre</v>
      </c>
    </row>
    <row r="56" spans="1:7" x14ac:dyDescent="0.25">
      <c r="A56" t="s">
        <v>5</v>
      </c>
      <c r="B56">
        <v>0</v>
      </c>
      <c r="C56" s="3">
        <v>0</v>
      </c>
      <c r="D56" s="58">
        <v>44648</v>
      </c>
      <c r="E56" s="58" t="str">
        <f>TEXT(Base_de_Dados[[#This Row],[Semana]],"Mmmm")</f>
        <v>março</v>
      </c>
      <c r="F56">
        <f t="shared" si="0"/>
        <v>2022</v>
      </c>
      <c r="G56" t="str">
        <f>IF(MONTH(Base_de_Dados[[#This Row],[Semana]])&lt;=6,"1ª Semestre","2ª Semestre")</f>
        <v>1ª Semestre</v>
      </c>
    </row>
    <row r="57" spans="1:7" x14ac:dyDescent="0.25">
      <c r="A57" t="s">
        <v>127</v>
      </c>
      <c r="B57">
        <v>0</v>
      </c>
      <c r="C57" s="3">
        <v>0</v>
      </c>
      <c r="D57" s="58">
        <v>44648</v>
      </c>
      <c r="E57" s="58" t="str">
        <f>TEXT(Base_de_Dados[[#This Row],[Semana]],"Mmmm")</f>
        <v>março</v>
      </c>
      <c r="F57">
        <f t="shared" si="0"/>
        <v>2022</v>
      </c>
      <c r="G57" t="str">
        <f>IF(MONTH(Base_de_Dados[[#This Row],[Semana]])&lt;=6,"1ª Semestre","2ª Semestre")</f>
        <v>1ª Semestre</v>
      </c>
    </row>
    <row r="58" spans="1:7" x14ac:dyDescent="0.25">
      <c r="A58" t="s">
        <v>7</v>
      </c>
      <c r="B58">
        <v>0</v>
      </c>
      <c r="C58" s="3">
        <v>0</v>
      </c>
      <c r="D58" s="58">
        <v>44648</v>
      </c>
      <c r="E58" s="58" t="str">
        <f>TEXT(Base_de_Dados[[#This Row],[Semana]],"Mmmm")</f>
        <v>março</v>
      </c>
      <c r="F58">
        <f t="shared" si="0"/>
        <v>2022</v>
      </c>
      <c r="G58" t="str">
        <f>IF(MONTH(Base_de_Dados[[#This Row],[Semana]])&lt;=6,"1ª Semestre","2ª Semestre")</f>
        <v>1ª Semestre</v>
      </c>
    </row>
    <row r="59" spans="1:7" x14ac:dyDescent="0.25">
      <c r="A59" t="s">
        <v>30</v>
      </c>
      <c r="B59">
        <v>0</v>
      </c>
      <c r="C59" s="3">
        <v>0</v>
      </c>
      <c r="D59" s="58">
        <v>44648</v>
      </c>
      <c r="E59" s="58" t="str">
        <f>TEXT(Base_de_Dados[[#This Row],[Semana]],"Mmmm")</f>
        <v>março</v>
      </c>
      <c r="F59">
        <f t="shared" si="0"/>
        <v>2022</v>
      </c>
      <c r="G59" t="str">
        <f>IF(MONTH(Base_de_Dados[[#This Row],[Semana]])&lt;=6,"1ª Semestre","2ª Semestre")</f>
        <v>1ª Semestre</v>
      </c>
    </row>
    <row r="60" spans="1:7" x14ac:dyDescent="0.25">
      <c r="A60" t="s">
        <v>118</v>
      </c>
      <c r="B60">
        <v>0</v>
      </c>
      <c r="C60" s="3">
        <v>0</v>
      </c>
      <c r="D60" s="58">
        <v>44648</v>
      </c>
      <c r="E60" s="58" t="str">
        <f>TEXT(Base_de_Dados[[#This Row],[Semana]],"Mmmm")</f>
        <v>março</v>
      </c>
      <c r="F60">
        <f t="shared" si="0"/>
        <v>2022</v>
      </c>
      <c r="G60" t="str">
        <f>IF(MONTH(Base_de_Dados[[#This Row],[Semana]])&lt;=6,"1ª Semestre","2ª Semestre")</f>
        <v>1ª Semestre</v>
      </c>
    </row>
    <row r="61" spans="1:7" x14ac:dyDescent="0.25">
      <c r="A61" t="s">
        <v>10</v>
      </c>
      <c r="B61">
        <v>0</v>
      </c>
      <c r="C61" s="3">
        <v>0</v>
      </c>
      <c r="D61" s="58">
        <v>44648</v>
      </c>
      <c r="E61" s="58" t="str">
        <f>TEXT(Base_de_Dados[[#This Row],[Semana]],"Mmmm")</f>
        <v>março</v>
      </c>
      <c r="F61">
        <f t="shared" si="0"/>
        <v>2022</v>
      </c>
      <c r="G61" t="str">
        <f>IF(MONTH(Base_de_Dados[[#This Row],[Semana]])&lt;=6,"1ª Semestre","2ª Semestre")</f>
        <v>1ª Semestre</v>
      </c>
    </row>
    <row r="62" spans="1:7" x14ac:dyDescent="0.25">
      <c r="A62" t="s">
        <v>11</v>
      </c>
      <c r="B62">
        <v>0</v>
      </c>
      <c r="C62" s="3">
        <v>0</v>
      </c>
      <c r="D62" s="58">
        <v>44648</v>
      </c>
      <c r="E62" s="58" t="str">
        <f>TEXT(Base_de_Dados[[#This Row],[Semana]],"Mmmm")</f>
        <v>março</v>
      </c>
      <c r="F62">
        <f t="shared" si="0"/>
        <v>2022</v>
      </c>
      <c r="G62" t="str">
        <f>IF(MONTH(Base_de_Dados[[#This Row],[Semana]])&lt;=6,"1ª Semestre","2ª Semestre")</f>
        <v>1ª Semestre</v>
      </c>
    </row>
    <row r="63" spans="1:7" x14ac:dyDescent="0.25">
      <c r="A63" t="s">
        <v>12</v>
      </c>
      <c r="B63">
        <v>0</v>
      </c>
      <c r="C63" s="3">
        <v>0</v>
      </c>
      <c r="D63" s="58">
        <v>44648</v>
      </c>
      <c r="E63" s="58" t="str">
        <f>TEXT(Base_de_Dados[[#This Row],[Semana]],"Mmmm")</f>
        <v>março</v>
      </c>
      <c r="F63">
        <f t="shared" si="0"/>
        <v>2022</v>
      </c>
      <c r="G63" t="str">
        <f>IF(MONTH(Base_de_Dados[[#This Row],[Semana]])&lt;=6,"1ª Semestre","2ª Semestre")</f>
        <v>1ª Semestre</v>
      </c>
    </row>
    <row r="64" spans="1:7" x14ac:dyDescent="0.25">
      <c r="A64" t="s">
        <v>13</v>
      </c>
      <c r="B64">
        <v>3</v>
      </c>
      <c r="C64" s="3">
        <v>0.5</v>
      </c>
      <c r="D64" s="58">
        <v>44648</v>
      </c>
      <c r="E64" s="58" t="str">
        <f>TEXT(Base_de_Dados[[#This Row],[Semana]],"Mmmm")</f>
        <v>março</v>
      </c>
      <c r="F64">
        <f t="shared" si="0"/>
        <v>2022</v>
      </c>
      <c r="G64" t="str">
        <f>IF(MONTH(Base_de_Dados[[#This Row],[Semana]])&lt;=6,"1ª Semestre","2ª Semestre")</f>
        <v>1ª Semestre</v>
      </c>
    </row>
    <row r="65" spans="1:7" x14ac:dyDescent="0.25">
      <c r="A65" t="s">
        <v>121</v>
      </c>
      <c r="B65">
        <v>0</v>
      </c>
      <c r="C65" s="3">
        <v>0</v>
      </c>
      <c r="D65" s="58">
        <v>44648</v>
      </c>
      <c r="E65" s="58" t="str">
        <f>TEXT(Base_de_Dados[[#This Row],[Semana]],"Mmmm")</f>
        <v>março</v>
      </c>
      <c r="F65">
        <f t="shared" si="0"/>
        <v>2022</v>
      </c>
      <c r="G65" t="str">
        <f>IF(MONTH(Base_de_Dados[[#This Row],[Semana]])&lt;=6,"1ª Semestre","2ª Semestre")</f>
        <v>1ª Semestre</v>
      </c>
    </row>
    <row r="66" spans="1:7" x14ac:dyDescent="0.25">
      <c r="A66" t="s">
        <v>4</v>
      </c>
      <c r="B66">
        <v>1</v>
      </c>
      <c r="C66" s="3">
        <v>0.16666666666666666</v>
      </c>
      <c r="D66" s="58">
        <v>44655</v>
      </c>
      <c r="E66" s="58" t="str">
        <f>TEXT(Base_de_Dados[[#This Row],[Semana]],"Mmmm")</f>
        <v>abril</v>
      </c>
      <c r="F66">
        <f t="shared" si="0"/>
        <v>2022</v>
      </c>
      <c r="G66" t="str">
        <f>IF(MONTH(Base_de_Dados[[#This Row],[Semana]])&lt;=6,"1ª Semestre","2ª Semestre")</f>
        <v>1ª Semestre</v>
      </c>
    </row>
    <row r="67" spans="1:7" x14ac:dyDescent="0.25">
      <c r="A67" t="s">
        <v>5</v>
      </c>
      <c r="B67">
        <v>3</v>
      </c>
      <c r="C67" s="3">
        <v>0.5</v>
      </c>
      <c r="D67" s="58">
        <v>44655</v>
      </c>
      <c r="E67" s="58" t="str">
        <f>TEXT(Base_de_Dados[[#This Row],[Semana]],"Mmmm")</f>
        <v>abril</v>
      </c>
      <c r="F67">
        <f t="shared" ref="F67:F130" si="1">YEAR(D67)</f>
        <v>2022</v>
      </c>
      <c r="G67" t="str">
        <f>IF(MONTH(Base_de_Dados[[#This Row],[Semana]])&lt;=6,"1ª Semestre","2ª Semestre")</f>
        <v>1ª Semestre</v>
      </c>
    </row>
    <row r="68" spans="1:7" x14ac:dyDescent="0.25">
      <c r="A68" t="s">
        <v>127</v>
      </c>
      <c r="B68">
        <v>0</v>
      </c>
      <c r="C68" s="3">
        <v>0</v>
      </c>
      <c r="D68" s="58">
        <v>44655</v>
      </c>
      <c r="E68" s="58" t="str">
        <f>TEXT(Base_de_Dados[[#This Row],[Semana]],"Mmmm")</f>
        <v>abril</v>
      </c>
      <c r="F68">
        <f t="shared" si="1"/>
        <v>2022</v>
      </c>
      <c r="G68" t="str">
        <f>IF(MONTH(Base_de_Dados[[#This Row],[Semana]])&lt;=6,"1ª Semestre","2ª Semestre")</f>
        <v>1ª Semestre</v>
      </c>
    </row>
    <row r="69" spans="1:7" x14ac:dyDescent="0.25">
      <c r="A69" t="s">
        <v>7</v>
      </c>
      <c r="B69">
        <v>0</v>
      </c>
      <c r="C69" s="3">
        <v>0</v>
      </c>
      <c r="D69" s="58">
        <v>44655</v>
      </c>
      <c r="E69" s="58" t="str">
        <f>TEXT(Base_de_Dados[[#This Row],[Semana]],"Mmmm")</f>
        <v>abril</v>
      </c>
      <c r="F69">
        <f t="shared" si="1"/>
        <v>2022</v>
      </c>
      <c r="G69" t="str">
        <f>IF(MONTH(Base_de_Dados[[#This Row],[Semana]])&lt;=6,"1ª Semestre","2ª Semestre")</f>
        <v>1ª Semestre</v>
      </c>
    </row>
    <row r="70" spans="1:7" x14ac:dyDescent="0.25">
      <c r="A70" t="s">
        <v>30</v>
      </c>
      <c r="B70">
        <v>1</v>
      </c>
      <c r="C70" s="3">
        <v>0.16666666666666666</v>
      </c>
      <c r="D70" s="58">
        <v>44655</v>
      </c>
      <c r="E70" s="58" t="str">
        <f>TEXT(Base_de_Dados[[#This Row],[Semana]],"Mmmm")</f>
        <v>abril</v>
      </c>
      <c r="F70">
        <f t="shared" si="1"/>
        <v>2022</v>
      </c>
      <c r="G70" t="str">
        <f>IF(MONTH(Base_de_Dados[[#This Row],[Semana]])&lt;=6,"1ª Semestre","2ª Semestre")</f>
        <v>1ª Semestre</v>
      </c>
    </row>
    <row r="71" spans="1:7" x14ac:dyDescent="0.25">
      <c r="A71" t="s">
        <v>118</v>
      </c>
      <c r="B71">
        <v>0</v>
      </c>
      <c r="C71" s="3">
        <v>0</v>
      </c>
      <c r="D71" s="58">
        <v>44655</v>
      </c>
      <c r="E71" s="58" t="str">
        <f>TEXT(Base_de_Dados[[#This Row],[Semana]],"Mmmm")</f>
        <v>abril</v>
      </c>
      <c r="F71">
        <f t="shared" si="1"/>
        <v>2022</v>
      </c>
      <c r="G71" t="str">
        <f>IF(MONTH(Base_de_Dados[[#This Row],[Semana]])&lt;=6,"1ª Semestre","2ª Semestre")</f>
        <v>1ª Semestre</v>
      </c>
    </row>
    <row r="72" spans="1:7" x14ac:dyDescent="0.25">
      <c r="A72" t="s">
        <v>10</v>
      </c>
      <c r="B72">
        <v>0</v>
      </c>
      <c r="C72" s="3">
        <v>0</v>
      </c>
      <c r="D72" s="58">
        <v>44655</v>
      </c>
      <c r="E72" s="58" t="str">
        <f>TEXT(Base_de_Dados[[#This Row],[Semana]],"Mmmm")</f>
        <v>abril</v>
      </c>
      <c r="F72">
        <f t="shared" si="1"/>
        <v>2022</v>
      </c>
      <c r="G72" t="str">
        <f>IF(MONTH(Base_de_Dados[[#This Row],[Semana]])&lt;=6,"1ª Semestre","2ª Semestre")</f>
        <v>1ª Semestre</v>
      </c>
    </row>
    <row r="73" spans="1:7" x14ac:dyDescent="0.25">
      <c r="A73" t="s">
        <v>11</v>
      </c>
      <c r="B73">
        <v>0</v>
      </c>
      <c r="C73" s="3">
        <v>0</v>
      </c>
      <c r="D73" s="58">
        <v>44655</v>
      </c>
      <c r="E73" s="58" t="str">
        <f>TEXT(Base_de_Dados[[#This Row],[Semana]],"Mmmm")</f>
        <v>abril</v>
      </c>
      <c r="F73">
        <f t="shared" si="1"/>
        <v>2022</v>
      </c>
      <c r="G73" t="str">
        <f>IF(MONTH(Base_de_Dados[[#This Row],[Semana]])&lt;=6,"1ª Semestre","2ª Semestre")</f>
        <v>1ª Semestre</v>
      </c>
    </row>
    <row r="74" spans="1:7" x14ac:dyDescent="0.25">
      <c r="A74" t="s">
        <v>12</v>
      </c>
      <c r="B74">
        <v>1</v>
      </c>
      <c r="C74" s="3">
        <v>0.16666666666666666</v>
      </c>
      <c r="D74" s="58">
        <v>44655</v>
      </c>
      <c r="E74" s="58" t="str">
        <f>TEXT(Base_de_Dados[[#This Row],[Semana]],"Mmmm")</f>
        <v>abril</v>
      </c>
      <c r="F74">
        <f t="shared" si="1"/>
        <v>2022</v>
      </c>
      <c r="G74" t="str">
        <f>IF(MONTH(Base_de_Dados[[#This Row],[Semana]])&lt;=6,"1ª Semestre","2ª Semestre")</f>
        <v>1ª Semestre</v>
      </c>
    </row>
    <row r="75" spans="1:7" x14ac:dyDescent="0.25">
      <c r="A75" t="s">
        <v>13</v>
      </c>
      <c r="B75">
        <v>0</v>
      </c>
      <c r="C75" s="3">
        <v>0</v>
      </c>
      <c r="D75" s="58">
        <v>44655</v>
      </c>
      <c r="E75" s="58" t="str">
        <f>TEXT(Base_de_Dados[[#This Row],[Semana]],"Mmmm")</f>
        <v>abril</v>
      </c>
      <c r="F75">
        <f t="shared" si="1"/>
        <v>2022</v>
      </c>
      <c r="G75" t="str">
        <f>IF(MONTH(Base_de_Dados[[#This Row],[Semana]])&lt;=6,"1ª Semestre","2ª Semestre")</f>
        <v>1ª Semestre</v>
      </c>
    </row>
    <row r="76" spans="1:7" x14ac:dyDescent="0.25">
      <c r="A76" t="s">
        <v>121</v>
      </c>
      <c r="B76">
        <v>0</v>
      </c>
      <c r="C76" s="3">
        <v>0</v>
      </c>
      <c r="D76" s="58">
        <v>44655</v>
      </c>
      <c r="E76" s="58" t="str">
        <f>TEXT(Base_de_Dados[[#This Row],[Semana]],"Mmmm")</f>
        <v>abril</v>
      </c>
      <c r="F76">
        <f t="shared" si="1"/>
        <v>2022</v>
      </c>
      <c r="G76" t="str">
        <f>IF(MONTH(Base_de_Dados[[#This Row],[Semana]])&lt;=6,"1ª Semestre","2ª Semestre")</f>
        <v>1ª Semestre</v>
      </c>
    </row>
    <row r="77" spans="1:7" x14ac:dyDescent="0.25">
      <c r="A77" t="s">
        <v>4</v>
      </c>
      <c r="B77">
        <v>2</v>
      </c>
      <c r="C77" s="3">
        <v>0.66666666666666663</v>
      </c>
      <c r="D77" s="58">
        <v>44662</v>
      </c>
      <c r="E77" s="58" t="str">
        <f>TEXT(Base_de_Dados[[#This Row],[Semana]],"Mmmm")</f>
        <v>abril</v>
      </c>
      <c r="F77">
        <f t="shared" si="1"/>
        <v>2022</v>
      </c>
      <c r="G77" t="str">
        <f>IF(MONTH(Base_de_Dados[[#This Row],[Semana]])&lt;=6,"1ª Semestre","2ª Semestre")</f>
        <v>1ª Semestre</v>
      </c>
    </row>
    <row r="78" spans="1:7" x14ac:dyDescent="0.25">
      <c r="A78" t="s">
        <v>5</v>
      </c>
      <c r="B78">
        <v>1</v>
      </c>
      <c r="C78" s="3">
        <v>0.33333333333333331</v>
      </c>
      <c r="D78" s="58">
        <v>44662</v>
      </c>
      <c r="E78" s="58" t="str">
        <f>TEXT(Base_de_Dados[[#This Row],[Semana]],"Mmmm")</f>
        <v>abril</v>
      </c>
      <c r="F78">
        <f t="shared" si="1"/>
        <v>2022</v>
      </c>
      <c r="G78" t="str">
        <f>IF(MONTH(Base_de_Dados[[#This Row],[Semana]])&lt;=6,"1ª Semestre","2ª Semestre")</f>
        <v>1ª Semestre</v>
      </c>
    </row>
    <row r="79" spans="1:7" x14ac:dyDescent="0.25">
      <c r="A79" t="s">
        <v>127</v>
      </c>
      <c r="B79">
        <v>0</v>
      </c>
      <c r="C79" s="3">
        <v>0</v>
      </c>
      <c r="D79" s="58">
        <v>44662</v>
      </c>
      <c r="E79" s="58" t="str">
        <f>TEXT(Base_de_Dados[[#This Row],[Semana]],"Mmmm")</f>
        <v>abril</v>
      </c>
      <c r="F79">
        <f t="shared" si="1"/>
        <v>2022</v>
      </c>
      <c r="G79" t="str">
        <f>IF(MONTH(Base_de_Dados[[#This Row],[Semana]])&lt;=6,"1ª Semestre","2ª Semestre")</f>
        <v>1ª Semestre</v>
      </c>
    </row>
    <row r="80" spans="1:7" x14ac:dyDescent="0.25">
      <c r="A80" t="s">
        <v>7</v>
      </c>
      <c r="B80">
        <v>0</v>
      </c>
      <c r="C80" s="3">
        <v>0</v>
      </c>
      <c r="D80" s="58">
        <v>44662</v>
      </c>
      <c r="E80" s="58" t="str">
        <f>TEXT(Base_de_Dados[[#This Row],[Semana]],"Mmmm")</f>
        <v>abril</v>
      </c>
      <c r="F80">
        <f t="shared" si="1"/>
        <v>2022</v>
      </c>
      <c r="G80" t="str">
        <f>IF(MONTH(Base_de_Dados[[#This Row],[Semana]])&lt;=6,"1ª Semestre","2ª Semestre")</f>
        <v>1ª Semestre</v>
      </c>
    </row>
    <row r="81" spans="1:7" x14ac:dyDescent="0.25">
      <c r="A81" t="s">
        <v>30</v>
      </c>
      <c r="B81">
        <v>0</v>
      </c>
      <c r="C81" s="3">
        <v>0</v>
      </c>
      <c r="D81" s="58">
        <v>44662</v>
      </c>
      <c r="E81" s="58" t="str">
        <f>TEXT(Base_de_Dados[[#This Row],[Semana]],"Mmmm")</f>
        <v>abril</v>
      </c>
      <c r="F81">
        <f t="shared" si="1"/>
        <v>2022</v>
      </c>
      <c r="G81" t="str">
        <f>IF(MONTH(Base_de_Dados[[#This Row],[Semana]])&lt;=6,"1ª Semestre","2ª Semestre")</f>
        <v>1ª Semestre</v>
      </c>
    </row>
    <row r="82" spans="1:7" x14ac:dyDescent="0.25">
      <c r="A82" t="s">
        <v>118</v>
      </c>
      <c r="B82">
        <v>0</v>
      </c>
      <c r="C82" s="3">
        <v>0</v>
      </c>
      <c r="D82" s="58">
        <v>44662</v>
      </c>
      <c r="E82" s="58" t="str">
        <f>TEXT(Base_de_Dados[[#This Row],[Semana]],"Mmmm")</f>
        <v>abril</v>
      </c>
      <c r="F82">
        <f t="shared" si="1"/>
        <v>2022</v>
      </c>
      <c r="G82" t="str">
        <f>IF(MONTH(Base_de_Dados[[#This Row],[Semana]])&lt;=6,"1ª Semestre","2ª Semestre")</f>
        <v>1ª Semestre</v>
      </c>
    </row>
    <row r="83" spans="1:7" x14ac:dyDescent="0.25">
      <c r="A83" t="s">
        <v>10</v>
      </c>
      <c r="B83">
        <v>0</v>
      </c>
      <c r="C83" s="3">
        <v>0</v>
      </c>
      <c r="D83" s="58">
        <v>44662</v>
      </c>
      <c r="E83" s="58" t="str">
        <f>TEXT(Base_de_Dados[[#This Row],[Semana]],"Mmmm")</f>
        <v>abril</v>
      </c>
      <c r="F83">
        <f t="shared" si="1"/>
        <v>2022</v>
      </c>
      <c r="G83" t="str">
        <f>IF(MONTH(Base_de_Dados[[#This Row],[Semana]])&lt;=6,"1ª Semestre","2ª Semestre")</f>
        <v>1ª Semestre</v>
      </c>
    </row>
    <row r="84" spans="1:7" x14ac:dyDescent="0.25">
      <c r="A84" t="s">
        <v>11</v>
      </c>
      <c r="B84">
        <v>0</v>
      </c>
      <c r="C84" s="3">
        <v>0</v>
      </c>
      <c r="D84" s="58">
        <v>44662</v>
      </c>
      <c r="E84" s="58" t="str">
        <f>TEXT(Base_de_Dados[[#This Row],[Semana]],"Mmmm")</f>
        <v>abril</v>
      </c>
      <c r="F84">
        <f t="shared" si="1"/>
        <v>2022</v>
      </c>
      <c r="G84" t="str">
        <f>IF(MONTH(Base_de_Dados[[#This Row],[Semana]])&lt;=6,"1ª Semestre","2ª Semestre")</f>
        <v>1ª Semestre</v>
      </c>
    </row>
    <row r="85" spans="1:7" x14ac:dyDescent="0.25">
      <c r="A85" t="s">
        <v>12</v>
      </c>
      <c r="B85">
        <v>0</v>
      </c>
      <c r="C85" s="3">
        <v>0</v>
      </c>
      <c r="D85" s="58">
        <v>44662</v>
      </c>
      <c r="E85" s="58" t="str">
        <f>TEXT(Base_de_Dados[[#This Row],[Semana]],"Mmmm")</f>
        <v>abril</v>
      </c>
      <c r="F85">
        <f t="shared" si="1"/>
        <v>2022</v>
      </c>
      <c r="G85" t="str">
        <f>IF(MONTH(Base_de_Dados[[#This Row],[Semana]])&lt;=6,"1ª Semestre","2ª Semestre")</f>
        <v>1ª Semestre</v>
      </c>
    </row>
    <row r="86" spans="1:7" x14ac:dyDescent="0.25">
      <c r="A86" t="s">
        <v>13</v>
      </c>
      <c r="B86">
        <v>0</v>
      </c>
      <c r="C86" s="3">
        <v>0</v>
      </c>
      <c r="D86" s="58">
        <v>44662</v>
      </c>
      <c r="E86" s="58" t="str">
        <f>TEXT(Base_de_Dados[[#This Row],[Semana]],"Mmmm")</f>
        <v>abril</v>
      </c>
      <c r="F86">
        <f t="shared" si="1"/>
        <v>2022</v>
      </c>
      <c r="G86" t="str">
        <f>IF(MONTH(Base_de_Dados[[#This Row],[Semana]])&lt;=6,"1ª Semestre","2ª Semestre")</f>
        <v>1ª Semestre</v>
      </c>
    </row>
    <row r="87" spans="1:7" x14ac:dyDescent="0.25">
      <c r="A87" t="s">
        <v>121</v>
      </c>
      <c r="B87">
        <v>0</v>
      </c>
      <c r="C87" s="3">
        <v>0</v>
      </c>
      <c r="D87" s="58">
        <v>44662</v>
      </c>
      <c r="E87" s="58" t="str">
        <f>TEXT(Base_de_Dados[[#This Row],[Semana]],"Mmmm")</f>
        <v>abril</v>
      </c>
      <c r="F87">
        <f t="shared" si="1"/>
        <v>2022</v>
      </c>
      <c r="G87" t="str">
        <f>IF(MONTH(Base_de_Dados[[#This Row],[Semana]])&lt;=6,"1ª Semestre","2ª Semestre")</f>
        <v>1ª Semestre</v>
      </c>
    </row>
    <row r="88" spans="1:7" x14ac:dyDescent="0.25">
      <c r="A88" t="s">
        <v>4</v>
      </c>
      <c r="B88">
        <v>1</v>
      </c>
      <c r="C88" s="3">
        <v>1</v>
      </c>
      <c r="D88" s="58">
        <v>44669</v>
      </c>
      <c r="E88" s="58" t="str">
        <f>TEXT(Base_de_Dados[[#This Row],[Semana]],"Mmmm")</f>
        <v>abril</v>
      </c>
      <c r="F88">
        <f t="shared" si="1"/>
        <v>2022</v>
      </c>
      <c r="G88" t="str">
        <f>IF(MONTH(Base_de_Dados[[#This Row],[Semana]])&lt;=6,"1ª Semestre","2ª Semestre")</f>
        <v>1ª Semestre</v>
      </c>
    </row>
    <row r="89" spans="1:7" x14ac:dyDescent="0.25">
      <c r="A89" t="s">
        <v>5</v>
      </c>
      <c r="B89">
        <v>0</v>
      </c>
      <c r="C89" s="3">
        <v>0</v>
      </c>
      <c r="D89" s="58">
        <v>44669</v>
      </c>
      <c r="E89" s="58" t="str">
        <f>TEXT(Base_de_Dados[[#This Row],[Semana]],"Mmmm")</f>
        <v>abril</v>
      </c>
      <c r="F89">
        <f t="shared" si="1"/>
        <v>2022</v>
      </c>
      <c r="G89" t="str">
        <f>IF(MONTH(Base_de_Dados[[#This Row],[Semana]])&lt;=6,"1ª Semestre","2ª Semestre")</f>
        <v>1ª Semestre</v>
      </c>
    </row>
    <row r="90" spans="1:7" x14ac:dyDescent="0.25">
      <c r="A90" t="s">
        <v>127</v>
      </c>
      <c r="B90">
        <v>0</v>
      </c>
      <c r="C90" s="3">
        <v>0</v>
      </c>
      <c r="D90" s="58">
        <v>44669</v>
      </c>
      <c r="E90" s="58" t="str">
        <f>TEXT(Base_de_Dados[[#This Row],[Semana]],"Mmmm")</f>
        <v>abril</v>
      </c>
      <c r="F90">
        <f t="shared" si="1"/>
        <v>2022</v>
      </c>
      <c r="G90" t="str">
        <f>IF(MONTH(Base_de_Dados[[#This Row],[Semana]])&lt;=6,"1ª Semestre","2ª Semestre")</f>
        <v>1ª Semestre</v>
      </c>
    </row>
    <row r="91" spans="1:7" x14ac:dyDescent="0.25">
      <c r="A91" t="s">
        <v>7</v>
      </c>
      <c r="B91">
        <v>0</v>
      </c>
      <c r="C91" s="3">
        <v>0</v>
      </c>
      <c r="D91" s="58">
        <v>44669</v>
      </c>
      <c r="E91" s="58" t="str">
        <f>TEXT(Base_de_Dados[[#This Row],[Semana]],"Mmmm")</f>
        <v>abril</v>
      </c>
      <c r="F91">
        <f t="shared" si="1"/>
        <v>2022</v>
      </c>
      <c r="G91" t="str">
        <f>IF(MONTH(Base_de_Dados[[#This Row],[Semana]])&lt;=6,"1ª Semestre","2ª Semestre")</f>
        <v>1ª Semestre</v>
      </c>
    </row>
    <row r="92" spans="1:7" x14ac:dyDescent="0.25">
      <c r="A92" t="s">
        <v>30</v>
      </c>
      <c r="B92">
        <v>0</v>
      </c>
      <c r="C92" s="3">
        <v>0</v>
      </c>
      <c r="D92" s="58">
        <v>44669</v>
      </c>
      <c r="E92" s="58" t="str">
        <f>TEXT(Base_de_Dados[[#This Row],[Semana]],"Mmmm")</f>
        <v>abril</v>
      </c>
      <c r="F92">
        <f t="shared" si="1"/>
        <v>2022</v>
      </c>
      <c r="G92" t="str">
        <f>IF(MONTH(Base_de_Dados[[#This Row],[Semana]])&lt;=6,"1ª Semestre","2ª Semestre")</f>
        <v>1ª Semestre</v>
      </c>
    </row>
    <row r="93" spans="1:7" x14ac:dyDescent="0.25">
      <c r="A93" t="s">
        <v>118</v>
      </c>
      <c r="B93">
        <v>0</v>
      </c>
      <c r="C93" s="3">
        <v>0</v>
      </c>
      <c r="D93" s="58">
        <v>44669</v>
      </c>
      <c r="E93" s="58" t="str">
        <f>TEXT(Base_de_Dados[[#This Row],[Semana]],"Mmmm")</f>
        <v>abril</v>
      </c>
      <c r="F93">
        <f t="shared" si="1"/>
        <v>2022</v>
      </c>
      <c r="G93" t="str">
        <f>IF(MONTH(Base_de_Dados[[#This Row],[Semana]])&lt;=6,"1ª Semestre","2ª Semestre")</f>
        <v>1ª Semestre</v>
      </c>
    </row>
    <row r="94" spans="1:7" x14ac:dyDescent="0.25">
      <c r="A94" t="s">
        <v>10</v>
      </c>
      <c r="B94">
        <v>0</v>
      </c>
      <c r="C94" s="3">
        <v>0</v>
      </c>
      <c r="D94" s="58">
        <v>44669</v>
      </c>
      <c r="E94" s="58" t="str">
        <f>TEXT(Base_de_Dados[[#This Row],[Semana]],"Mmmm")</f>
        <v>abril</v>
      </c>
      <c r="F94">
        <f t="shared" si="1"/>
        <v>2022</v>
      </c>
      <c r="G94" t="str">
        <f>IF(MONTH(Base_de_Dados[[#This Row],[Semana]])&lt;=6,"1ª Semestre","2ª Semestre")</f>
        <v>1ª Semestre</v>
      </c>
    </row>
    <row r="95" spans="1:7" x14ac:dyDescent="0.25">
      <c r="A95" t="s">
        <v>11</v>
      </c>
      <c r="B95">
        <v>0</v>
      </c>
      <c r="C95" s="3">
        <v>0</v>
      </c>
      <c r="D95" s="58">
        <v>44669</v>
      </c>
      <c r="E95" s="58" t="str">
        <f>TEXT(Base_de_Dados[[#This Row],[Semana]],"Mmmm")</f>
        <v>abril</v>
      </c>
      <c r="F95">
        <f t="shared" si="1"/>
        <v>2022</v>
      </c>
      <c r="G95" t="str">
        <f>IF(MONTH(Base_de_Dados[[#This Row],[Semana]])&lt;=6,"1ª Semestre","2ª Semestre")</f>
        <v>1ª Semestre</v>
      </c>
    </row>
    <row r="96" spans="1:7" x14ac:dyDescent="0.25">
      <c r="A96" t="s">
        <v>12</v>
      </c>
      <c r="B96">
        <v>0</v>
      </c>
      <c r="C96" s="3">
        <v>0</v>
      </c>
      <c r="D96" s="58">
        <v>44669</v>
      </c>
      <c r="E96" s="58" t="str">
        <f>TEXT(Base_de_Dados[[#This Row],[Semana]],"Mmmm")</f>
        <v>abril</v>
      </c>
      <c r="F96">
        <f t="shared" si="1"/>
        <v>2022</v>
      </c>
      <c r="G96" t="str">
        <f>IF(MONTH(Base_de_Dados[[#This Row],[Semana]])&lt;=6,"1ª Semestre","2ª Semestre")</f>
        <v>1ª Semestre</v>
      </c>
    </row>
    <row r="97" spans="1:7" x14ac:dyDescent="0.25">
      <c r="A97" t="s">
        <v>13</v>
      </c>
      <c r="B97">
        <v>0</v>
      </c>
      <c r="C97" s="3">
        <v>0</v>
      </c>
      <c r="D97" s="58">
        <v>44669</v>
      </c>
      <c r="E97" s="58" t="str">
        <f>TEXT(Base_de_Dados[[#This Row],[Semana]],"Mmmm")</f>
        <v>abril</v>
      </c>
      <c r="F97">
        <f t="shared" si="1"/>
        <v>2022</v>
      </c>
      <c r="G97" t="str">
        <f>IF(MONTH(Base_de_Dados[[#This Row],[Semana]])&lt;=6,"1ª Semestre","2ª Semestre")</f>
        <v>1ª Semestre</v>
      </c>
    </row>
    <row r="98" spans="1:7" x14ac:dyDescent="0.25">
      <c r="A98" t="s">
        <v>121</v>
      </c>
      <c r="B98">
        <v>0</v>
      </c>
      <c r="C98" s="3">
        <v>0</v>
      </c>
      <c r="D98" s="58">
        <v>44669</v>
      </c>
      <c r="E98" s="58" t="str">
        <f>TEXT(Base_de_Dados[[#This Row],[Semana]],"Mmmm")</f>
        <v>abril</v>
      </c>
      <c r="F98">
        <f t="shared" si="1"/>
        <v>2022</v>
      </c>
      <c r="G98" t="str">
        <f>IF(MONTH(Base_de_Dados[[#This Row],[Semana]])&lt;=6,"1ª Semestre","2ª Semestre")</f>
        <v>1ª Semestre</v>
      </c>
    </row>
    <row r="99" spans="1:7" x14ac:dyDescent="0.25">
      <c r="A99" t="s">
        <v>4</v>
      </c>
      <c r="B99">
        <v>3</v>
      </c>
      <c r="C99" s="3">
        <v>0.6</v>
      </c>
      <c r="D99" s="58">
        <v>44676</v>
      </c>
      <c r="E99" s="58" t="str">
        <f>TEXT(Base_de_Dados[[#This Row],[Semana]],"Mmmm")</f>
        <v>abril</v>
      </c>
      <c r="F99">
        <f t="shared" si="1"/>
        <v>2022</v>
      </c>
      <c r="G99" t="str">
        <f>IF(MONTH(Base_de_Dados[[#This Row],[Semana]])&lt;=6,"1ª Semestre","2ª Semestre")</f>
        <v>1ª Semestre</v>
      </c>
    </row>
    <row r="100" spans="1:7" x14ac:dyDescent="0.25">
      <c r="A100" t="s">
        <v>5</v>
      </c>
      <c r="B100">
        <v>1</v>
      </c>
      <c r="C100" s="3">
        <v>0.2</v>
      </c>
      <c r="D100" s="58">
        <v>44676</v>
      </c>
      <c r="E100" s="58" t="str">
        <f>TEXT(Base_de_Dados[[#This Row],[Semana]],"Mmmm")</f>
        <v>abril</v>
      </c>
      <c r="F100">
        <f t="shared" si="1"/>
        <v>2022</v>
      </c>
      <c r="G100" t="str">
        <f>IF(MONTH(Base_de_Dados[[#This Row],[Semana]])&lt;=6,"1ª Semestre","2ª Semestre")</f>
        <v>1ª Semestre</v>
      </c>
    </row>
    <row r="101" spans="1:7" x14ac:dyDescent="0.25">
      <c r="A101" t="s">
        <v>127</v>
      </c>
      <c r="B101">
        <v>0</v>
      </c>
      <c r="C101" s="3">
        <v>0</v>
      </c>
      <c r="D101" s="58">
        <v>44676</v>
      </c>
      <c r="E101" s="58" t="str">
        <f>TEXT(Base_de_Dados[[#This Row],[Semana]],"Mmmm")</f>
        <v>abril</v>
      </c>
      <c r="F101">
        <f t="shared" si="1"/>
        <v>2022</v>
      </c>
      <c r="G101" t="str">
        <f>IF(MONTH(Base_de_Dados[[#This Row],[Semana]])&lt;=6,"1ª Semestre","2ª Semestre")</f>
        <v>1ª Semestre</v>
      </c>
    </row>
    <row r="102" spans="1:7" x14ac:dyDescent="0.25">
      <c r="A102" t="s">
        <v>7</v>
      </c>
      <c r="B102">
        <v>0</v>
      </c>
      <c r="C102" s="3">
        <v>0</v>
      </c>
      <c r="D102" s="58">
        <v>44676</v>
      </c>
      <c r="E102" s="58" t="str">
        <f>TEXT(Base_de_Dados[[#This Row],[Semana]],"Mmmm")</f>
        <v>abril</v>
      </c>
      <c r="F102">
        <f t="shared" si="1"/>
        <v>2022</v>
      </c>
      <c r="G102" t="str">
        <f>IF(MONTH(Base_de_Dados[[#This Row],[Semana]])&lt;=6,"1ª Semestre","2ª Semestre")</f>
        <v>1ª Semestre</v>
      </c>
    </row>
    <row r="103" spans="1:7" x14ac:dyDescent="0.25">
      <c r="A103" t="s">
        <v>30</v>
      </c>
      <c r="B103">
        <v>0</v>
      </c>
      <c r="C103" s="3">
        <v>0</v>
      </c>
      <c r="D103" s="58">
        <v>44676</v>
      </c>
      <c r="E103" s="58" t="str">
        <f>TEXT(Base_de_Dados[[#This Row],[Semana]],"Mmmm")</f>
        <v>abril</v>
      </c>
      <c r="F103">
        <f t="shared" si="1"/>
        <v>2022</v>
      </c>
      <c r="G103" t="str">
        <f>IF(MONTH(Base_de_Dados[[#This Row],[Semana]])&lt;=6,"1ª Semestre","2ª Semestre")</f>
        <v>1ª Semestre</v>
      </c>
    </row>
    <row r="104" spans="1:7" x14ac:dyDescent="0.25">
      <c r="A104" t="s">
        <v>118</v>
      </c>
      <c r="B104">
        <v>0</v>
      </c>
      <c r="C104" s="3">
        <v>0</v>
      </c>
      <c r="D104" s="58">
        <v>44676</v>
      </c>
      <c r="E104" s="58" t="str">
        <f>TEXT(Base_de_Dados[[#This Row],[Semana]],"Mmmm")</f>
        <v>abril</v>
      </c>
      <c r="F104">
        <f t="shared" si="1"/>
        <v>2022</v>
      </c>
      <c r="G104" t="str">
        <f>IF(MONTH(Base_de_Dados[[#This Row],[Semana]])&lt;=6,"1ª Semestre","2ª Semestre")</f>
        <v>1ª Semestre</v>
      </c>
    </row>
    <row r="105" spans="1:7" x14ac:dyDescent="0.25">
      <c r="A105" t="s">
        <v>10</v>
      </c>
      <c r="B105">
        <v>1</v>
      </c>
      <c r="C105" s="3">
        <v>0.2</v>
      </c>
      <c r="D105" s="58">
        <v>44676</v>
      </c>
      <c r="E105" s="58" t="str">
        <f>TEXT(Base_de_Dados[[#This Row],[Semana]],"Mmmm")</f>
        <v>abril</v>
      </c>
      <c r="F105">
        <f t="shared" si="1"/>
        <v>2022</v>
      </c>
      <c r="G105" t="str">
        <f>IF(MONTH(Base_de_Dados[[#This Row],[Semana]])&lt;=6,"1ª Semestre","2ª Semestre")</f>
        <v>1ª Semestre</v>
      </c>
    </row>
    <row r="106" spans="1:7" x14ac:dyDescent="0.25">
      <c r="A106" t="s">
        <v>11</v>
      </c>
      <c r="B106">
        <v>0</v>
      </c>
      <c r="C106" s="3">
        <v>0</v>
      </c>
      <c r="D106" s="58">
        <v>44676</v>
      </c>
      <c r="E106" s="58" t="str">
        <f>TEXT(Base_de_Dados[[#This Row],[Semana]],"Mmmm")</f>
        <v>abril</v>
      </c>
      <c r="F106">
        <f t="shared" si="1"/>
        <v>2022</v>
      </c>
      <c r="G106" t="str">
        <f>IF(MONTH(Base_de_Dados[[#This Row],[Semana]])&lt;=6,"1ª Semestre","2ª Semestre")</f>
        <v>1ª Semestre</v>
      </c>
    </row>
    <row r="107" spans="1:7" x14ac:dyDescent="0.25">
      <c r="A107" t="s">
        <v>12</v>
      </c>
      <c r="B107">
        <v>0</v>
      </c>
      <c r="C107" s="3">
        <v>0</v>
      </c>
      <c r="D107" s="58">
        <v>44676</v>
      </c>
      <c r="E107" s="58" t="str">
        <f>TEXT(Base_de_Dados[[#This Row],[Semana]],"Mmmm")</f>
        <v>abril</v>
      </c>
      <c r="F107">
        <f t="shared" si="1"/>
        <v>2022</v>
      </c>
      <c r="G107" t="str">
        <f>IF(MONTH(Base_de_Dados[[#This Row],[Semana]])&lt;=6,"1ª Semestre","2ª Semestre")</f>
        <v>1ª Semestre</v>
      </c>
    </row>
    <row r="108" spans="1:7" x14ac:dyDescent="0.25">
      <c r="A108" t="s">
        <v>13</v>
      </c>
      <c r="B108">
        <v>0</v>
      </c>
      <c r="C108" s="3">
        <v>0</v>
      </c>
      <c r="D108" s="58">
        <v>44676</v>
      </c>
      <c r="E108" s="58" t="str">
        <f>TEXT(Base_de_Dados[[#This Row],[Semana]],"Mmmm")</f>
        <v>abril</v>
      </c>
      <c r="F108">
        <f t="shared" si="1"/>
        <v>2022</v>
      </c>
      <c r="G108" t="str">
        <f>IF(MONTH(Base_de_Dados[[#This Row],[Semana]])&lt;=6,"1ª Semestre","2ª Semestre")</f>
        <v>1ª Semestre</v>
      </c>
    </row>
    <row r="109" spans="1:7" x14ac:dyDescent="0.25">
      <c r="A109" t="s">
        <v>121</v>
      </c>
      <c r="B109">
        <v>0</v>
      </c>
      <c r="C109" s="3">
        <v>0</v>
      </c>
      <c r="D109" s="58">
        <v>44676</v>
      </c>
      <c r="E109" s="58" t="str">
        <f>TEXT(Base_de_Dados[[#This Row],[Semana]],"Mmmm")</f>
        <v>abril</v>
      </c>
      <c r="F109">
        <f t="shared" si="1"/>
        <v>2022</v>
      </c>
      <c r="G109" t="str">
        <f>IF(MONTH(Base_de_Dados[[#This Row],[Semana]])&lt;=6,"1ª Semestre","2ª Semestre")</f>
        <v>1ª Semestre</v>
      </c>
    </row>
    <row r="110" spans="1:7" x14ac:dyDescent="0.25">
      <c r="A110" t="s">
        <v>15</v>
      </c>
      <c r="B110">
        <v>3</v>
      </c>
      <c r="C110" s="3">
        <v>0.6</v>
      </c>
      <c r="D110" s="58">
        <v>44676</v>
      </c>
      <c r="E110" s="58" t="str">
        <f>TEXT(Base_de_Dados[[#This Row],[Semana]],"Mmmm")</f>
        <v>abril</v>
      </c>
      <c r="F110">
        <f t="shared" si="1"/>
        <v>2022</v>
      </c>
      <c r="G110" t="str">
        <f>IF(MONTH(Base_de_Dados[[#This Row],[Semana]])&lt;=6,"1ª Semestre","2ª Semestre")</f>
        <v>1ª Semestre</v>
      </c>
    </row>
    <row r="111" spans="1:7" x14ac:dyDescent="0.25">
      <c r="A111" t="s">
        <v>4</v>
      </c>
      <c r="B111">
        <v>3</v>
      </c>
      <c r="C111" s="3">
        <v>0.17647058823529413</v>
      </c>
      <c r="D111" s="58">
        <v>44683</v>
      </c>
      <c r="E111" s="58" t="str">
        <f>TEXT(Base_de_Dados[[#This Row],[Semana]],"Mmmm")</f>
        <v>maio</v>
      </c>
      <c r="F111">
        <f t="shared" si="1"/>
        <v>2022</v>
      </c>
      <c r="G111" t="str">
        <f>IF(MONTH(Base_de_Dados[[#This Row],[Semana]])&lt;=6,"1ª Semestre","2ª Semestre")</f>
        <v>1ª Semestre</v>
      </c>
    </row>
    <row r="112" spans="1:7" x14ac:dyDescent="0.25">
      <c r="A112" t="s">
        <v>5</v>
      </c>
      <c r="B112">
        <v>0</v>
      </c>
      <c r="C112" s="3">
        <v>0</v>
      </c>
      <c r="D112" s="58">
        <v>44683</v>
      </c>
      <c r="E112" s="58" t="str">
        <f>TEXT(Base_de_Dados[[#This Row],[Semana]],"Mmmm")</f>
        <v>maio</v>
      </c>
      <c r="F112">
        <f t="shared" si="1"/>
        <v>2022</v>
      </c>
      <c r="G112" t="str">
        <f>IF(MONTH(Base_de_Dados[[#This Row],[Semana]])&lt;=6,"1ª Semestre","2ª Semestre")</f>
        <v>1ª Semestre</v>
      </c>
    </row>
    <row r="113" spans="1:7" x14ac:dyDescent="0.25">
      <c r="A113" t="s">
        <v>127</v>
      </c>
      <c r="B113">
        <v>1</v>
      </c>
      <c r="C113" s="3">
        <v>5.8823529411764705E-2</v>
      </c>
      <c r="D113" s="58">
        <v>44683</v>
      </c>
      <c r="E113" s="58" t="str">
        <f>TEXT(Base_de_Dados[[#This Row],[Semana]],"Mmmm")</f>
        <v>maio</v>
      </c>
      <c r="F113">
        <f t="shared" si="1"/>
        <v>2022</v>
      </c>
      <c r="G113" t="str">
        <f>IF(MONTH(Base_de_Dados[[#This Row],[Semana]])&lt;=6,"1ª Semestre","2ª Semestre")</f>
        <v>1ª Semestre</v>
      </c>
    </row>
    <row r="114" spans="1:7" x14ac:dyDescent="0.25">
      <c r="A114" t="s">
        <v>7</v>
      </c>
      <c r="B114">
        <v>0</v>
      </c>
      <c r="C114" s="3">
        <v>0</v>
      </c>
      <c r="D114" s="58">
        <v>44683</v>
      </c>
      <c r="E114" s="58" t="str">
        <f>TEXT(Base_de_Dados[[#This Row],[Semana]],"Mmmm")</f>
        <v>maio</v>
      </c>
      <c r="F114">
        <f t="shared" si="1"/>
        <v>2022</v>
      </c>
      <c r="G114" t="str">
        <f>IF(MONTH(Base_de_Dados[[#This Row],[Semana]])&lt;=6,"1ª Semestre","2ª Semestre")</f>
        <v>1ª Semestre</v>
      </c>
    </row>
    <row r="115" spans="1:7" x14ac:dyDescent="0.25">
      <c r="A115" t="s">
        <v>30</v>
      </c>
      <c r="B115">
        <v>0</v>
      </c>
      <c r="C115" s="3">
        <v>0</v>
      </c>
      <c r="D115" s="58">
        <v>44683</v>
      </c>
      <c r="E115" s="58" t="str">
        <f>TEXT(Base_de_Dados[[#This Row],[Semana]],"Mmmm")</f>
        <v>maio</v>
      </c>
      <c r="F115">
        <f t="shared" si="1"/>
        <v>2022</v>
      </c>
      <c r="G115" t="str">
        <f>IF(MONTH(Base_de_Dados[[#This Row],[Semana]])&lt;=6,"1ª Semestre","2ª Semestre")</f>
        <v>1ª Semestre</v>
      </c>
    </row>
    <row r="116" spans="1:7" x14ac:dyDescent="0.25">
      <c r="A116" t="s">
        <v>118</v>
      </c>
      <c r="B116">
        <v>0</v>
      </c>
      <c r="C116" s="3">
        <v>0</v>
      </c>
      <c r="D116" s="58">
        <v>44683</v>
      </c>
      <c r="E116" s="58" t="str">
        <f>TEXT(Base_de_Dados[[#This Row],[Semana]],"Mmmm")</f>
        <v>maio</v>
      </c>
      <c r="F116">
        <f t="shared" si="1"/>
        <v>2022</v>
      </c>
      <c r="G116" t="str">
        <f>IF(MONTH(Base_de_Dados[[#This Row],[Semana]])&lt;=6,"1ª Semestre","2ª Semestre")</f>
        <v>1ª Semestre</v>
      </c>
    </row>
    <row r="117" spans="1:7" x14ac:dyDescent="0.25">
      <c r="A117" t="s">
        <v>10</v>
      </c>
      <c r="B117">
        <v>3</v>
      </c>
      <c r="C117" s="3">
        <v>0.17647058823529413</v>
      </c>
      <c r="D117" s="58">
        <v>44683</v>
      </c>
      <c r="E117" s="58" t="str">
        <f>TEXT(Base_de_Dados[[#This Row],[Semana]],"Mmmm")</f>
        <v>maio</v>
      </c>
      <c r="F117">
        <f t="shared" si="1"/>
        <v>2022</v>
      </c>
      <c r="G117" t="str">
        <f>IF(MONTH(Base_de_Dados[[#This Row],[Semana]])&lt;=6,"1ª Semestre","2ª Semestre")</f>
        <v>1ª Semestre</v>
      </c>
    </row>
    <row r="118" spans="1:7" x14ac:dyDescent="0.25">
      <c r="A118" t="s">
        <v>11</v>
      </c>
      <c r="B118">
        <v>1</v>
      </c>
      <c r="C118" s="3">
        <v>5.8823529411764705E-2</v>
      </c>
      <c r="D118" s="58">
        <v>44683</v>
      </c>
      <c r="E118" s="58" t="str">
        <f>TEXT(Base_de_Dados[[#This Row],[Semana]],"Mmmm")</f>
        <v>maio</v>
      </c>
      <c r="F118">
        <f t="shared" si="1"/>
        <v>2022</v>
      </c>
      <c r="G118" t="str">
        <f>IF(MONTH(Base_de_Dados[[#This Row],[Semana]])&lt;=6,"1ª Semestre","2ª Semestre")</f>
        <v>1ª Semestre</v>
      </c>
    </row>
    <row r="119" spans="1:7" x14ac:dyDescent="0.25">
      <c r="A119" t="s">
        <v>12</v>
      </c>
      <c r="B119">
        <v>0</v>
      </c>
      <c r="C119" s="3">
        <v>0</v>
      </c>
      <c r="D119" s="58">
        <v>44683</v>
      </c>
      <c r="E119" s="58" t="str">
        <f>TEXT(Base_de_Dados[[#This Row],[Semana]],"Mmmm")</f>
        <v>maio</v>
      </c>
      <c r="F119">
        <f t="shared" si="1"/>
        <v>2022</v>
      </c>
      <c r="G119" t="str">
        <f>IF(MONTH(Base_de_Dados[[#This Row],[Semana]])&lt;=6,"1ª Semestre","2ª Semestre")</f>
        <v>1ª Semestre</v>
      </c>
    </row>
    <row r="120" spans="1:7" x14ac:dyDescent="0.25">
      <c r="A120" t="s">
        <v>13</v>
      </c>
      <c r="B120">
        <v>0</v>
      </c>
      <c r="C120" s="3">
        <v>0</v>
      </c>
      <c r="D120" s="58">
        <v>44683</v>
      </c>
      <c r="E120" s="58" t="str">
        <f>TEXT(Base_de_Dados[[#This Row],[Semana]],"Mmmm")</f>
        <v>maio</v>
      </c>
      <c r="F120">
        <f t="shared" si="1"/>
        <v>2022</v>
      </c>
      <c r="G120" t="str">
        <f>IF(MONTH(Base_de_Dados[[#This Row],[Semana]])&lt;=6,"1ª Semestre","2ª Semestre")</f>
        <v>1ª Semestre</v>
      </c>
    </row>
    <row r="121" spans="1:7" x14ac:dyDescent="0.25">
      <c r="A121" t="s">
        <v>121</v>
      </c>
      <c r="B121">
        <v>0</v>
      </c>
      <c r="C121" s="3">
        <v>0</v>
      </c>
      <c r="D121" s="58">
        <v>44683</v>
      </c>
      <c r="E121" s="58" t="str">
        <f>TEXT(Base_de_Dados[[#This Row],[Semana]],"Mmmm")</f>
        <v>maio</v>
      </c>
      <c r="F121">
        <f t="shared" si="1"/>
        <v>2022</v>
      </c>
      <c r="G121" t="str">
        <f>IF(MONTH(Base_de_Dados[[#This Row],[Semana]])&lt;=6,"1ª Semestre","2ª Semestre")</f>
        <v>1ª Semestre</v>
      </c>
    </row>
    <row r="122" spans="1:7" x14ac:dyDescent="0.25">
      <c r="A122" t="s">
        <v>15</v>
      </c>
      <c r="B122">
        <v>9</v>
      </c>
      <c r="C122" s="3">
        <v>0.52941176470588236</v>
      </c>
      <c r="D122" s="58">
        <v>44683</v>
      </c>
      <c r="E122" s="58" t="str">
        <f>TEXT(Base_de_Dados[[#This Row],[Semana]],"Mmmm")</f>
        <v>maio</v>
      </c>
      <c r="F122">
        <f t="shared" si="1"/>
        <v>2022</v>
      </c>
      <c r="G122" t="str">
        <f>IF(MONTH(Base_de_Dados[[#This Row],[Semana]])&lt;=6,"1ª Semestre","2ª Semestre")</f>
        <v>1ª Semestre</v>
      </c>
    </row>
    <row r="123" spans="1:7" x14ac:dyDescent="0.25">
      <c r="A123" t="s">
        <v>4</v>
      </c>
      <c r="B123">
        <v>3</v>
      </c>
      <c r="C123" s="3">
        <v>0.27272727272727271</v>
      </c>
      <c r="D123" s="58">
        <v>44690</v>
      </c>
      <c r="E123" s="58" t="str">
        <f>TEXT(Base_de_Dados[[#This Row],[Semana]],"Mmmm")</f>
        <v>maio</v>
      </c>
      <c r="F123">
        <f t="shared" si="1"/>
        <v>2022</v>
      </c>
      <c r="G123" t="str">
        <f>IF(MONTH(Base_de_Dados[[#This Row],[Semana]])&lt;=6,"1ª Semestre","2ª Semestre")</f>
        <v>1ª Semestre</v>
      </c>
    </row>
    <row r="124" spans="1:7" x14ac:dyDescent="0.25">
      <c r="A124" t="s">
        <v>5</v>
      </c>
      <c r="B124">
        <v>0</v>
      </c>
      <c r="C124" s="3">
        <v>0</v>
      </c>
      <c r="D124" s="58">
        <v>44690</v>
      </c>
      <c r="E124" s="58" t="str">
        <f>TEXT(Base_de_Dados[[#This Row],[Semana]],"Mmmm")</f>
        <v>maio</v>
      </c>
      <c r="F124">
        <f t="shared" si="1"/>
        <v>2022</v>
      </c>
      <c r="G124" t="str">
        <f>IF(MONTH(Base_de_Dados[[#This Row],[Semana]])&lt;=6,"1ª Semestre","2ª Semestre")</f>
        <v>1ª Semestre</v>
      </c>
    </row>
    <row r="125" spans="1:7" x14ac:dyDescent="0.25">
      <c r="A125" t="s">
        <v>127</v>
      </c>
      <c r="B125">
        <v>0</v>
      </c>
      <c r="C125" s="3">
        <v>0</v>
      </c>
      <c r="D125" s="58">
        <v>44690</v>
      </c>
      <c r="E125" s="58" t="str">
        <f>TEXT(Base_de_Dados[[#This Row],[Semana]],"Mmmm")</f>
        <v>maio</v>
      </c>
      <c r="F125">
        <f t="shared" si="1"/>
        <v>2022</v>
      </c>
      <c r="G125" t="str">
        <f>IF(MONTH(Base_de_Dados[[#This Row],[Semana]])&lt;=6,"1ª Semestre","2ª Semestre")</f>
        <v>1ª Semestre</v>
      </c>
    </row>
    <row r="126" spans="1:7" x14ac:dyDescent="0.25">
      <c r="A126" t="s">
        <v>7</v>
      </c>
      <c r="B126">
        <v>0</v>
      </c>
      <c r="C126" s="3">
        <v>0</v>
      </c>
      <c r="D126" s="58">
        <v>44690</v>
      </c>
      <c r="E126" s="58" t="str">
        <f>TEXT(Base_de_Dados[[#This Row],[Semana]],"Mmmm")</f>
        <v>maio</v>
      </c>
      <c r="F126">
        <f t="shared" si="1"/>
        <v>2022</v>
      </c>
      <c r="G126" t="str">
        <f>IF(MONTH(Base_de_Dados[[#This Row],[Semana]])&lt;=6,"1ª Semestre","2ª Semestre")</f>
        <v>1ª Semestre</v>
      </c>
    </row>
    <row r="127" spans="1:7" x14ac:dyDescent="0.25">
      <c r="A127" t="s">
        <v>30</v>
      </c>
      <c r="B127">
        <v>0</v>
      </c>
      <c r="C127" s="3">
        <v>0</v>
      </c>
      <c r="D127" s="58">
        <v>44690</v>
      </c>
      <c r="E127" s="58" t="str">
        <f>TEXT(Base_de_Dados[[#This Row],[Semana]],"Mmmm")</f>
        <v>maio</v>
      </c>
      <c r="F127">
        <f t="shared" si="1"/>
        <v>2022</v>
      </c>
      <c r="G127" t="str">
        <f>IF(MONTH(Base_de_Dados[[#This Row],[Semana]])&lt;=6,"1ª Semestre","2ª Semestre")</f>
        <v>1ª Semestre</v>
      </c>
    </row>
    <row r="128" spans="1:7" x14ac:dyDescent="0.25">
      <c r="A128" t="s">
        <v>118</v>
      </c>
      <c r="B128">
        <v>0</v>
      </c>
      <c r="C128" s="3">
        <v>0</v>
      </c>
      <c r="D128" s="58">
        <v>44690</v>
      </c>
      <c r="E128" s="58" t="str">
        <f>TEXT(Base_de_Dados[[#This Row],[Semana]],"Mmmm")</f>
        <v>maio</v>
      </c>
      <c r="F128">
        <f t="shared" si="1"/>
        <v>2022</v>
      </c>
      <c r="G128" t="str">
        <f>IF(MONTH(Base_de_Dados[[#This Row],[Semana]])&lt;=6,"1ª Semestre","2ª Semestre")</f>
        <v>1ª Semestre</v>
      </c>
    </row>
    <row r="129" spans="1:7" x14ac:dyDescent="0.25">
      <c r="A129" t="s">
        <v>10</v>
      </c>
      <c r="B129">
        <v>0</v>
      </c>
      <c r="C129" s="3">
        <v>0</v>
      </c>
      <c r="D129" s="58">
        <v>44690</v>
      </c>
      <c r="E129" s="58" t="str">
        <f>TEXT(Base_de_Dados[[#This Row],[Semana]],"Mmmm")</f>
        <v>maio</v>
      </c>
      <c r="F129">
        <f t="shared" si="1"/>
        <v>2022</v>
      </c>
      <c r="G129" t="str">
        <f>IF(MONTH(Base_de_Dados[[#This Row],[Semana]])&lt;=6,"1ª Semestre","2ª Semestre")</f>
        <v>1ª Semestre</v>
      </c>
    </row>
    <row r="130" spans="1:7" x14ac:dyDescent="0.25">
      <c r="A130" t="s">
        <v>11</v>
      </c>
      <c r="B130">
        <v>0</v>
      </c>
      <c r="C130" s="3">
        <v>0</v>
      </c>
      <c r="D130" s="58">
        <v>44690</v>
      </c>
      <c r="E130" s="58" t="str">
        <f>TEXT(Base_de_Dados[[#This Row],[Semana]],"Mmmm")</f>
        <v>maio</v>
      </c>
      <c r="F130">
        <f t="shared" si="1"/>
        <v>2022</v>
      </c>
      <c r="G130" t="str">
        <f>IF(MONTH(Base_de_Dados[[#This Row],[Semana]])&lt;=6,"1ª Semestre","2ª Semestre")</f>
        <v>1ª Semestre</v>
      </c>
    </row>
    <row r="131" spans="1:7" x14ac:dyDescent="0.25">
      <c r="A131" t="s">
        <v>12</v>
      </c>
      <c r="B131">
        <v>1</v>
      </c>
      <c r="C131" s="3">
        <v>9.0909090909090912E-2</v>
      </c>
      <c r="D131" s="58">
        <v>44690</v>
      </c>
      <c r="E131" s="58" t="str">
        <f>TEXT(Base_de_Dados[[#This Row],[Semana]],"Mmmm")</f>
        <v>maio</v>
      </c>
      <c r="F131">
        <f t="shared" ref="F131:F194" si="2">YEAR(D131)</f>
        <v>2022</v>
      </c>
      <c r="G131" t="str">
        <f>IF(MONTH(Base_de_Dados[[#This Row],[Semana]])&lt;=6,"1ª Semestre","2ª Semestre")</f>
        <v>1ª Semestre</v>
      </c>
    </row>
    <row r="132" spans="1:7" x14ac:dyDescent="0.25">
      <c r="A132" t="s">
        <v>13</v>
      </c>
      <c r="B132">
        <v>0</v>
      </c>
      <c r="C132" s="3">
        <v>0</v>
      </c>
      <c r="D132" s="58">
        <v>44690</v>
      </c>
      <c r="E132" s="58" t="str">
        <f>TEXT(Base_de_Dados[[#This Row],[Semana]],"Mmmm")</f>
        <v>maio</v>
      </c>
      <c r="F132">
        <f t="shared" si="2"/>
        <v>2022</v>
      </c>
      <c r="G132" t="str">
        <f>IF(MONTH(Base_de_Dados[[#This Row],[Semana]])&lt;=6,"1ª Semestre","2ª Semestre")</f>
        <v>1ª Semestre</v>
      </c>
    </row>
    <row r="133" spans="1:7" x14ac:dyDescent="0.25">
      <c r="A133" t="s">
        <v>121</v>
      </c>
      <c r="B133">
        <v>0</v>
      </c>
      <c r="C133" s="3">
        <v>0</v>
      </c>
      <c r="D133" s="58">
        <v>44690</v>
      </c>
      <c r="E133" s="58" t="str">
        <f>TEXT(Base_de_Dados[[#This Row],[Semana]],"Mmmm")</f>
        <v>maio</v>
      </c>
      <c r="F133">
        <f t="shared" si="2"/>
        <v>2022</v>
      </c>
      <c r="G133" t="str">
        <f>IF(MONTH(Base_de_Dados[[#This Row],[Semana]])&lt;=6,"1ª Semestre","2ª Semestre")</f>
        <v>1ª Semestre</v>
      </c>
    </row>
    <row r="134" spans="1:7" x14ac:dyDescent="0.25">
      <c r="A134" t="s">
        <v>15</v>
      </c>
      <c r="B134">
        <v>7</v>
      </c>
      <c r="C134" s="3">
        <v>0.63636363636363635</v>
      </c>
      <c r="D134" s="58">
        <v>44690</v>
      </c>
      <c r="E134" s="58" t="str">
        <f>TEXT(Base_de_Dados[[#This Row],[Semana]],"Mmmm")</f>
        <v>maio</v>
      </c>
      <c r="F134">
        <f t="shared" si="2"/>
        <v>2022</v>
      </c>
      <c r="G134" t="str">
        <f>IF(MONTH(Base_de_Dados[[#This Row],[Semana]])&lt;=6,"1ª Semestre","2ª Semestre")</f>
        <v>1ª Semestre</v>
      </c>
    </row>
    <row r="135" spans="1:7" x14ac:dyDescent="0.25">
      <c r="A135" t="s">
        <v>4</v>
      </c>
      <c r="B135">
        <v>4</v>
      </c>
      <c r="C135" s="3">
        <v>0.4</v>
      </c>
      <c r="D135" s="58">
        <v>44704</v>
      </c>
      <c r="E135" s="58" t="str">
        <f>TEXT(Base_de_Dados[[#This Row],[Semana]],"Mmmm")</f>
        <v>maio</v>
      </c>
      <c r="F135">
        <f t="shared" si="2"/>
        <v>2022</v>
      </c>
      <c r="G135" t="str">
        <f>IF(MONTH(Base_de_Dados[[#This Row],[Semana]])&lt;=6,"1ª Semestre","2ª Semestre")</f>
        <v>1ª Semestre</v>
      </c>
    </row>
    <row r="136" spans="1:7" x14ac:dyDescent="0.25">
      <c r="A136" t="s">
        <v>5</v>
      </c>
      <c r="B136">
        <v>1</v>
      </c>
      <c r="C136" s="3">
        <v>0.1</v>
      </c>
      <c r="D136" s="58">
        <v>44704</v>
      </c>
      <c r="E136" s="58" t="str">
        <f>TEXT(Base_de_Dados[[#This Row],[Semana]],"Mmmm")</f>
        <v>maio</v>
      </c>
      <c r="F136">
        <f t="shared" si="2"/>
        <v>2022</v>
      </c>
      <c r="G136" t="str">
        <f>IF(MONTH(Base_de_Dados[[#This Row],[Semana]])&lt;=6,"1ª Semestre","2ª Semestre")</f>
        <v>1ª Semestre</v>
      </c>
    </row>
    <row r="137" spans="1:7" x14ac:dyDescent="0.25">
      <c r="A137" t="s">
        <v>127</v>
      </c>
      <c r="B137">
        <v>1</v>
      </c>
      <c r="C137" s="3">
        <v>0.1</v>
      </c>
      <c r="D137" s="58">
        <v>44704</v>
      </c>
      <c r="E137" s="58" t="str">
        <f>TEXT(Base_de_Dados[[#This Row],[Semana]],"Mmmm")</f>
        <v>maio</v>
      </c>
      <c r="F137">
        <f t="shared" si="2"/>
        <v>2022</v>
      </c>
      <c r="G137" t="str">
        <f>IF(MONTH(Base_de_Dados[[#This Row],[Semana]])&lt;=6,"1ª Semestre","2ª Semestre")</f>
        <v>1ª Semestre</v>
      </c>
    </row>
    <row r="138" spans="1:7" x14ac:dyDescent="0.25">
      <c r="A138" t="s">
        <v>7</v>
      </c>
      <c r="B138">
        <v>0</v>
      </c>
      <c r="C138" s="3">
        <v>0</v>
      </c>
      <c r="D138" s="58">
        <v>44704</v>
      </c>
      <c r="E138" s="58" t="str">
        <f>TEXT(Base_de_Dados[[#This Row],[Semana]],"Mmmm")</f>
        <v>maio</v>
      </c>
      <c r="F138">
        <f t="shared" si="2"/>
        <v>2022</v>
      </c>
      <c r="G138" t="str">
        <f>IF(MONTH(Base_de_Dados[[#This Row],[Semana]])&lt;=6,"1ª Semestre","2ª Semestre")</f>
        <v>1ª Semestre</v>
      </c>
    </row>
    <row r="139" spans="1:7" x14ac:dyDescent="0.25">
      <c r="A139" t="s">
        <v>30</v>
      </c>
      <c r="B139">
        <v>0</v>
      </c>
      <c r="C139" s="3">
        <v>0</v>
      </c>
      <c r="D139" s="58">
        <v>44704</v>
      </c>
      <c r="E139" s="58" t="str">
        <f>TEXT(Base_de_Dados[[#This Row],[Semana]],"Mmmm")</f>
        <v>maio</v>
      </c>
      <c r="F139">
        <f t="shared" si="2"/>
        <v>2022</v>
      </c>
      <c r="G139" t="str">
        <f>IF(MONTH(Base_de_Dados[[#This Row],[Semana]])&lt;=6,"1ª Semestre","2ª Semestre")</f>
        <v>1ª Semestre</v>
      </c>
    </row>
    <row r="140" spans="1:7" x14ac:dyDescent="0.25">
      <c r="A140" t="s">
        <v>118</v>
      </c>
      <c r="B140">
        <v>0</v>
      </c>
      <c r="C140" s="3">
        <v>0</v>
      </c>
      <c r="D140" s="58">
        <v>44704</v>
      </c>
      <c r="E140" s="58" t="str">
        <f>TEXT(Base_de_Dados[[#This Row],[Semana]],"Mmmm")</f>
        <v>maio</v>
      </c>
      <c r="F140">
        <f t="shared" si="2"/>
        <v>2022</v>
      </c>
      <c r="G140" t="str">
        <f>IF(MONTH(Base_de_Dados[[#This Row],[Semana]])&lt;=6,"1ª Semestre","2ª Semestre")</f>
        <v>1ª Semestre</v>
      </c>
    </row>
    <row r="141" spans="1:7" x14ac:dyDescent="0.25">
      <c r="A141" t="s">
        <v>10</v>
      </c>
      <c r="B141">
        <v>0</v>
      </c>
      <c r="C141" s="3">
        <v>0</v>
      </c>
      <c r="D141" s="58">
        <v>44704</v>
      </c>
      <c r="E141" s="58" t="str">
        <f>TEXT(Base_de_Dados[[#This Row],[Semana]],"Mmmm")</f>
        <v>maio</v>
      </c>
      <c r="F141">
        <f t="shared" si="2"/>
        <v>2022</v>
      </c>
      <c r="G141" t="str">
        <f>IF(MONTH(Base_de_Dados[[#This Row],[Semana]])&lt;=6,"1ª Semestre","2ª Semestre")</f>
        <v>1ª Semestre</v>
      </c>
    </row>
    <row r="142" spans="1:7" x14ac:dyDescent="0.25">
      <c r="A142" t="s">
        <v>11</v>
      </c>
      <c r="B142">
        <v>0</v>
      </c>
      <c r="C142" s="3">
        <v>0</v>
      </c>
      <c r="D142" s="58">
        <v>44704</v>
      </c>
      <c r="E142" s="58" t="str">
        <f>TEXT(Base_de_Dados[[#This Row],[Semana]],"Mmmm")</f>
        <v>maio</v>
      </c>
      <c r="F142">
        <f t="shared" si="2"/>
        <v>2022</v>
      </c>
      <c r="G142" t="str">
        <f>IF(MONTH(Base_de_Dados[[#This Row],[Semana]])&lt;=6,"1ª Semestre","2ª Semestre")</f>
        <v>1ª Semestre</v>
      </c>
    </row>
    <row r="143" spans="1:7" x14ac:dyDescent="0.25">
      <c r="A143" t="s">
        <v>12</v>
      </c>
      <c r="B143">
        <v>3</v>
      </c>
      <c r="C143" s="3">
        <v>0.3</v>
      </c>
      <c r="D143" s="58">
        <v>44704</v>
      </c>
      <c r="E143" s="58" t="str">
        <f>TEXT(Base_de_Dados[[#This Row],[Semana]],"Mmmm")</f>
        <v>maio</v>
      </c>
      <c r="F143">
        <f t="shared" si="2"/>
        <v>2022</v>
      </c>
      <c r="G143" t="str">
        <f>IF(MONTH(Base_de_Dados[[#This Row],[Semana]])&lt;=6,"1ª Semestre","2ª Semestre")</f>
        <v>1ª Semestre</v>
      </c>
    </row>
    <row r="144" spans="1:7" x14ac:dyDescent="0.25">
      <c r="A144" t="s">
        <v>13</v>
      </c>
      <c r="B144">
        <v>0</v>
      </c>
      <c r="C144" s="3">
        <v>0</v>
      </c>
      <c r="D144" s="58">
        <v>44704</v>
      </c>
      <c r="E144" s="58" t="str">
        <f>TEXT(Base_de_Dados[[#This Row],[Semana]],"Mmmm")</f>
        <v>maio</v>
      </c>
      <c r="F144">
        <f t="shared" si="2"/>
        <v>2022</v>
      </c>
      <c r="G144" t="str">
        <f>IF(MONTH(Base_de_Dados[[#This Row],[Semana]])&lt;=6,"1ª Semestre","2ª Semestre")</f>
        <v>1ª Semestre</v>
      </c>
    </row>
    <row r="145" spans="1:7" x14ac:dyDescent="0.25">
      <c r="A145" t="s">
        <v>121</v>
      </c>
      <c r="B145">
        <v>0</v>
      </c>
      <c r="C145" s="3">
        <v>0</v>
      </c>
      <c r="D145" s="58">
        <v>44704</v>
      </c>
      <c r="E145" s="58" t="str">
        <f>TEXT(Base_de_Dados[[#This Row],[Semana]],"Mmmm")</f>
        <v>maio</v>
      </c>
      <c r="F145">
        <f t="shared" si="2"/>
        <v>2022</v>
      </c>
      <c r="G145" t="str">
        <f>IF(MONTH(Base_de_Dados[[#This Row],[Semana]])&lt;=6,"1ª Semestre","2ª Semestre")</f>
        <v>1ª Semestre</v>
      </c>
    </row>
    <row r="146" spans="1:7" x14ac:dyDescent="0.25">
      <c r="A146" t="s">
        <v>15</v>
      </c>
      <c r="B146">
        <v>0</v>
      </c>
      <c r="C146" s="3">
        <v>0</v>
      </c>
      <c r="D146" s="58">
        <v>44704</v>
      </c>
      <c r="E146" s="58" t="str">
        <f>TEXT(Base_de_Dados[[#This Row],[Semana]],"Mmmm")</f>
        <v>maio</v>
      </c>
      <c r="F146">
        <f t="shared" si="2"/>
        <v>2022</v>
      </c>
      <c r="G146" t="str">
        <f>IF(MONTH(Base_de_Dados[[#This Row],[Semana]])&lt;=6,"1ª Semestre","2ª Semestre")</f>
        <v>1ª Semestre</v>
      </c>
    </row>
    <row r="147" spans="1:7" x14ac:dyDescent="0.25">
      <c r="A147" t="s">
        <v>16</v>
      </c>
      <c r="B147">
        <v>1</v>
      </c>
      <c r="C147" s="3">
        <v>0.1</v>
      </c>
      <c r="D147" s="58">
        <v>44704</v>
      </c>
      <c r="E147" s="58" t="str">
        <f>TEXT(Base_de_Dados[[#This Row],[Semana]],"Mmmm")</f>
        <v>maio</v>
      </c>
      <c r="F147">
        <f t="shared" si="2"/>
        <v>2022</v>
      </c>
      <c r="G147" t="str">
        <f>IF(MONTH(Base_de_Dados[[#This Row],[Semana]])&lt;=6,"1ª Semestre","2ª Semestre")</f>
        <v>1ª Semestre</v>
      </c>
    </row>
    <row r="148" spans="1:7" x14ac:dyDescent="0.25">
      <c r="A148" t="s">
        <v>4</v>
      </c>
      <c r="B148">
        <v>2</v>
      </c>
      <c r="C148" s="3">
        <v>0.33333333333333331</v>
      </c>
      <c r="D148" s="58">
        <v>44711</v>
      </c>
      <c r="E148" s="58" t="str">
        <f>TEXT(Base_de_Dados[[#This Row],[Semana]],"Mmmm")</f>
        <v>maio</v>
      </c>
      <c r="F148">
        <f t="shared" si="2"/>
        <v>2022</v>
      </c>
      <c r="G148" t="str">
        <f>IF(MONTH(Base_de_Dados[[#This Row],[Semana]])&lt;=6,"1ª Semestre","2ª Semestre")</f>
        <v>1ª Semestre</v>
      </c>
    </row>
    <row r="149" spans="1:7" x14ac:dyDescent="0.25">
      <c r="A149" t="s">
        <v>5</v>
      </c>
      <c r="B149">
        <v>0</v>
      </c>
      <c r="C149" s="3">
        <v>0</v>
      </c>
      <c r="D149" s="58">
        <v>44711</v>
      </c>
      <c r="E149" s="58" t="str">
        <f>TEXT(Base_de_Dados[[#This Row],[Semana]],"Mmmm")</f>
        <v>maio</v>
      </c>
      <c r="F149">
        <f t="shared" si="2"/>
        <v>2022</v>
      </c>
      <c r="G149" t="str">
        <f>IF(MONTH(Base_de_Dados[[#This Row],[Semana]])&lt;=6,"1ª Semestre","2ª Semestre")</f>
        <v>1ª Semestre</v>
      </c>
    </row>
    <row r="150" spans="1:7" x14ac:dyDescent="0.25">
      <c r="A150" t="s">
        <v>127</v>
      </c>
      <c r="B150">
        <v>0</v>
      </c>
      <c r="C150" s="3">
        <v>0</v>
      </c>
      <c r="D150" s="58">
        <v>44711</v>
      </c>
      <c r="E150" s="58" t="str">
        <f>TEXT(Base_de_Dados[[#This Row],[Semana]],"Mmmm")</f>
        <v>maio</v>
      </c>
      <c r="F150">
        <f t="shared" si="2"/>
        <v>2022</v>
      </c>
      <c r="G150" t="str">
        <f>IF(MONTH(Base_de_Dados[[#This Row],[Semana]])&lt;=6,"1ª Semestre","2ª Semestre")</f>
        <v>1ª Semestre</v>
      </c>
    </row>
    <row r="151" spans="1:7" x14ac:dyDescent="0.25">
      <c r="A151" t="s">
        <v>7</v>
      </c>
      <c r="B151">
        <v>0</v>
      </c>
      <c r="C151" s="3">
        <v>0</v>
      </c>
      <c r="D151" s="58">
        <v>44711</v>
      </c>
      <c r="E151" s="58" t="str">
        <f>TEXT(Base_de_Dados[[#This Row],[Semana]],"Mmmm")</f>
        <v>maio</v>
      </c>
      <c r="F151">
        <f t="shared" si="2"/>
        <v>2022</v>
      </c>
      <c r="G151" t="str">
        <f>IF(MONTH(Base_de_Dados[[#This Row],[Semana]])&lt;=6,"1ª Semestre","2ª Semestre")</f>
        <v>1ª Semestre</v>
      </c>
    </row>
    <row r="152" spans="1:7" x14ac:dyDescent="0.25">
      <c r="A152" t="s">
        <v>30</v>
      </c>
      <c r="B152">
        <v>0</v>
      </c>
      <c r="C152" s="3">
        <v>0</v>
      </c>
      <c r="D152" s="58">
        <v>44711</v>
      </c>
      <c r="E152" s="58" t="str">
        <f>TEXT(Base_de_Dados[[#This Row],[Semana]],"Mmmm")</f>
        <v>maio</v>
      </c>
      <c r="F152">
        <f t="shared" si="2"/>
        <v>2022</v>
      </c>
      <c r="G152" t="str">
        <f>IF(MONTH(Base_de_Dados[[#This Row],[Semana]])&lt;=6,"1ª Semestre","2ª Semestre")</f>
        <v>1ª Semestre</v>
      </c>
    </row>
    <row r="153" spans="1:7" x14ac:dyDescent="0.25">
      <c r="A153" t="s">
        <v>118</v>
      </c>
      <c r="B153">
        <v>0</v>
      </c>
      <c r="C153" s="3">
        <v>0</v>
      </c>
      <c r="D153" s="58">
        <v>44711</v>
      </c>
      <c r="E153" s="58" t="str">
        <f>TEXT(Base_de_Dados[[#This Row],[Semana]],"Mmmm")</f>
        <v>maio</v>
      </c>
      <c r="F153">
        <f t="shared" si="2"/>
        <v>2022</v>
      </c>
      <c r="G153" t="str">
        <f>IF(MONTH(Base_de_Dados[[#This Row],[Semana]])&lt;=6,"1ª Semestre","2ª Semestre")</f>
        <v>1ª Semestre</v>
      </c>
    </row>
    <row r="154" spans="1:7" x14ac:dyDescent="0.25">
      <c r="A154" t="s">
        <v>10</v>
      </c>
      <c r="B154">
        <v>0</v>
      </c>
      <c r="C154" s="3">
        <v>0</v>
      </c>
      <c r="D154" s="58">
        <v>44711</v>
      </c>
      <c r="E154" s="58" t="str">
        <f>TEXT(Base_de_Dados[[#This Row],[Semana]],"Mmmm")</f>
        <v>maio</v>
      </c>
      <c r="F154">
        <f t="shared" si="2"/>
        <v>2022</v>
      </c>
      <c r="G154" t="str">
        <f>IF(MONTH(Base_de_Dados[[#This Row],[Semana]])&lt;=6,"1ª Semestre","2ª Semestre")</f>
        <v>1ª Semestre</v>
      </c>
    </row>
    <row r="155" spans="1:7" x14ac:dyDescent="0.25">
      <c r="A155" t="s">
        <v>11</v>
      </c>
      <c r="B155">
        <v>0</v>
      </c>
      <c r="C155" s="3">
        <v>0</v>
      </c>
      <c r="D155" s="58">
        <v>44711</v>
      </c>
      <c r="E155" s="58" t="str">
        <f>TEXT(Base_de_Dados[[#This Row],[Semana]],"Mmmm")</f>
        <v>maio</v>
      </c>
      <c r="F155">
        <f t="shared" si="2"/>
        <v>2022</v>
      </c>
      <c r="G155" t="str">
        <f>IF(MONTH(Base_de_Dados[[#This Row],[Semana]])&lt;=6,"1ª Semestre","2ª Semestre")</f>
        <v>1ª Semestre</v>
      </c>
    </row>
    <row r="156" spans="1:7" x14ac:dyDescent="0.25">
      <c r="A156" t="s">
        <v>12</v>
      </c>
      <c r="B156">
        <v>2</v>
      </c>
      <c r="C156" s="3">
        <v>0.33333333333333331</v>
      </c>
      <c r="D156" s="58">
        <v>44711</v>
      </c>
      <c r="E156" s="58" t="str">
        <f>TEXT(Base_de_Dados[[#This Row],[Semana]],"Mmmm")</f>
        <v>maio</v>
      </c>
      <c r="F156">
        <f t="shared" si="2"/>
        <v>2022</v>
      </c>
      <c r="G156" t="str">
        <f>IF(MONTH(Base_de_Dados[[#This Row],[Semana]])&lt;=6,"1ª Semestre","2ª Semestre")</f>
        <v>1ª Semestre</v>
      </c>
    </row>
    <row r="157" spans="1:7" x14ac:dyDescent="0.25">
      <c r="A157" t="s">
        <v>13</v>
      </c>
      <c r="B157">
        <v>2</v>
      </c>
      <c r="C157" s="3">
        <v>0.33333333333333331</v>
      </c>
      <c r="D157" s="58">
        <v>44711</v>
      </c>
      <c r="E157" s="58" t="str">
        <f>TEXT(Base_de_Dados[[#This Row],[Semana]],"Mmmm")</f>
        <v>maio</v>
      </c>
      <c r="F157">
        <f t="shared" si="2"/>
        <v>2022</v>
      </c>
      <c r="G157" t="str">
        <f>IF(MONTH(Base_de_Dados[[#This Row],[Semana]])&lt;=6,"1ª Semestre","2ª Semestre")</f>
        <v>1ª Semestre</v>
      </c>
    </row>
    <row r="158" spans="1:7" x14ac:dyDescent="0.25">
      <c r="A158" t="s">
        <v>121</v>
      </c>
      <c r="B158">
        <v>0</v>
      </c>
      <c r="C158" s="3">
        <v>0</v>
      </c>
      <c r="D158" s="58">
        <v>44711</v>
      </c>
      <c r="E158" s="58" t="str">
        <f>TEXT(Base_de_Dados[[#This Row],[Semana]],"Mmmm")</f>
        <v>maio</v>
      </c>
      <c r="F158">
        <f t="shared" si="2"/>
        <v>2022</v>
      </c>
      <c r="G158" t="str">
        <f>IF(MONTH(Base_de_Dados[[#This Row],[Semana]])&lt;=6,"1ª Semestre","2ª Semestre")</f>
        <v>1ª Semestre</v>
      </c>
    </row>
    <row r="159" spans="1:7" x14ac:dyDescent="0.25">
      <c r="A159" t="s">
        <v>15</v>
      </c>
      <c r="B159">
        <v>0</v>
      </c>
      <c r="C159" s="3">
        <v>0</v>
      </c>
      <c r="D159" s="58">
        <v>44711</v>
      </c>
      <c r="E159" s="58" t="str">
        <f>TEXT(Base_de_Dados[[#This Row],[Semana]],"Mmmm")</f>
        <v>maio</v>
      </c>
      <c r="F159">
        <f t="shared" si="2"/>
        <v>2022</v>
      </c>
      <c r="G159" t="str">
        <f>IF(MONTH(Base_de_Dados[[#This Row],[Semana]])&lt;=6,"1ª Semestre","2ª Semestre")</f>
        <v>1ª Semestre</v>
      </c>
    </row>
    <row r="160" spans="1:7" x14ac:dyDescent="0.25">
      <c r="A160" t="s">
        <v>16</v>
      </c>
      <c r="B160">
        <v>0</v>
      </c>
      <c r="C160" s="3">
        <v>0</v>
      </c>
      <c r="D160" s="58">
        <v>44711</v>
      </c>
      <c r="E160" s="58" t="str">
        <f>TEXT(Base_de_Dados[[#This Row],[Semana]],"Mmmm")</f>
        <v>maio</v>
      </c>
      <c r="F160">
        <f t="shared" si="2"/>
        <v>2022</v>
      </c>
      <c r="G160" t="str">
        <f>IF(MONTH(Base_de_Dados[[#This Row],[Semana]])&lt;=6,"1ª Semestre","2ª Semestre")</f>
        <v>1ª Semestre</v>
      </c>
    </row>
    <row r="161" spans="1:7" x14ac:dyDescent="0.25">
      <c r="A161" t="s">
        <v>4</v>
      </c>
      <c r="B161">
        <v>2</v>
      </c>
      <c r="C161" s="3">
        <v>0.4</v>
      </c>
      <c r="D161" s="58">
        <v>44718</v>
      </c>
      <c r="E161" s="58" t="str">
        <f>TEXT(Base_de_Dados[[#This Row],[Semana]],"Mmmm")</f>
        <v>junho</v>
      </c>
      <c r="F161">
        <f t="shared" si="2"/>
        <v>2022</v>
      </c>
      <c r="G161" t="str">
        <f>IF(MONTH(Base_de_Dados[[#This Row],[Semana]])&lt;=6,"1ª Semestre","2ª Semestre")</f>
        <v>1ª Semestre</v>
      </c>
    </row>
    <row r="162" spans="1:7" x14ac:dyDescent="0.25">
      <c r="A162" t="s">
        <v>5</v>
      </c>
      <c r="B162">
        <v>0</v>
      </c>
      <c r="C162" s="3">
        <v>0</v>
      </c>
      <c r="D162" s="58">
        <v>44718</v>
      </c>
      <c r="E162" s="58" t="str">
        <f>TEXT(Base_de_Dados[[#This Row],[Semana]],"Mmmm")</f>
        <v>junho</v>
      </c>
      <c r="F162">
        <f t="shared" si="2"/>
        <v>2022</v>
      </c>
      <c r="G162" t="str">
        <f>IF(MONTH(Base_de_Dados[[#This Row],[Semana]])&lt;=6,"1ª Semestre","2ª Semestre")</f>
        <v>1ª Semestre</v>
      </c>
    </row>
    <row r="163" spans="1:7" x14ac:dyDescent="0.25">
      <c r="A163" t="s">
        <v>127</v>
      </c>
      <c r="B163">
        <v>1</v>
      </c>
      <c r="C163" s="3">
        <v>0.2</v>
      </c>
      <c r="D163" s="58">
        <v>44718</v>
      </c>
      <c r="E163" s="58" t="str">
        <f>TEXT(Base_de_Dados[[#This Row],[Semana]],"Mmmm")</f>
        <v>junho</v>
      </c>
      <c r="F163">
        <f t="shared" si="2"/>
        <v>2022</v>
      </c>
      <c r="G163" t="str">
        <f>IF(MONTH(Base_de_Dados[[#This Row],[Semana]])&lt;=6,"1ª Semestre","2ª Semestre")</f>
        <v>1ª Semestre</v>
      </c>
    </row>
    <row r="164" spans="1:7" x14ac:dyDescent="0.25">
      <c r="A164" t="s">
        <v>7</v>
      </c>
      <c r="B164">
        <v>0</v>
      </c>
      <c r="C164" s="3">
        <v>0</v>
      </c>
      <c r="D164" s="58">
        <v>44718</v>
      </c>
      <c r="E164" s="58" t="str">
        <f>TEXT(Base_de_Dados[[#This Row],[Semana]],"Mmmm")</f>
        <v>junho</v>
      </c>
      <c r="F164">
        <f t="shared" si="2"/>
        <v>2022</v>
      </c>
      <c r="G164" t="str">
        <f>IF(MONTH(Base_de_Dados[[#This Row],[Semana]])&lt;=6,"1ª Semestre","2ª Semestre")</f>
        <v>1ª Semestre</v>
      </c>
    </row>
    <row r="165" spans="1:7" x14ac:dyDescent="0.25">
      <c r="A165" t="s">
        <v>30</v>
      </c>
      <c r="B165">
        <v>0</v>
      </c>
      <c r="C165" s="3">
        <v>0</v>
      </c>
      <c r="D165" s="58">
        <v>44718</v>
      </c>
      <c r="E165" s="58" t="str">
        <f>TEXT(Base_de_Dados[[#This Row],[Semana]],"Mmmm")</f>
        <v>junho</v>
      </c>
      <c r="F165">
        <f t="shared" si="2"/>
        <v>2022</v>
      </c>
      <c r="G165" t="str">
        <f>IF(MONTH(Base_de_Dados[[#This Row],[Semana]])&lt;=6,"1ª Semestre","2ª Semestre")</f>
        <v>1ª Semestre</v>
      </c>
    </row>
    <row r="166" spans="1:7" x14ac:dyDescent="0.25">
      <c r="A166" t="s">
        <v>118</v>
      </c>
      <c r="B166">
        <v>0</v>
      </c>
      <c r="C166" s="3">
        <v>0</v>
      </c>
      <c r="D166" s="58">
        <v>44718</v>
      </c>
      <c r="E166" s="58" t="str">
        <f>TEXT(Base_de_Dados[[#This Row],[Semana]],"Mmmm")</f>
        <v>junho</v>
      </c>
      <c r="F166">
        <f t="shared" si="2"/>
        <v>2022</v>
      </c>
      <c r="G166" t="str">
        <f>IF(MONTH(Base_de_Dados[[#This Row],[Semana]])&lt;=6,"1ª Semestre","2ª Semestre")</f>
        <v>1ª Semestre</v>
      </c>
    </row>
    <row r="167" spans="1:7" x14ac:dyDescent="0.25">
      <c r="A167" t="s">
        <v>10</v>
      </c>
      <c r="B167">
        <v>1</v>
      </c>
      <c r="C167" s="3">
        <v>0.2</v>
      </c>
      <c r="D167" s="58">
        <v>44718</v>
      </c>
      <c r="E167" s="58" t="str">
        <f>TEXT(Base_de_Dados[[#This Row],[Semana]],"Mmmm")</f>
        <v>junho</v>
      </c>
      <c r="F167">
        <f t="shared" si="2"/>
        <v>2022</v>
      </c>
      <c r="G167" t="str">
        <f>IF(MONTH(Base_de_Dados[[#This Row],[Semana]])&lt;=6,"1ª Semestre","2ª Semestre")</f>
        <v>1ª Semestre</v>
      </c>
    </row>
    <row r="168" spans="1:7" x14ac:dyDescent="0.25">
      <c r="A168" t="s">
        <v>11</v>
      </c>
      <c r="B168">
        <v>0</v>
      </c>
      <c r="C168" s="3">
        <v>0</v>
      </c>
      <c r="D168" s="58">
        <v>44718</v>
      </c>
      <c r="E168" s="58" t="str">
        <f>TEXT(Base_de_Dados[[#This Row],[Semana]],"Mmmm")</f>
        <v>junho</v>
      </c>
      <c r="F168">
        <f t="shared" si="2"/>
        <v>2022</v>
      </c>
      <c r="G168" t="str">
        <f>IF(MONTH(Base_de_Dados[[#This Row],[Semana]])&lt;=6,"1ª Semestre","2ª Semestre")</f>
        <v>1ª Semestre</v>
      </c>
    </row>
    <row r="169" spans="1:7" x14ac:dyDescent="0.25">
      <c r="A169" t="s">
        <v>12</v>
      </c>
      <c r="B169">
        <v>0</v>
      </c>
      <c r="C169" s="3">
        <v>0</v>
      </c>
      <c r="D169" s="58">
        <v>44718</v>
      </c>
      <c r="E169" s="58" t="str">
        <f>TEXT(Base_de_Dados[[#This Row],[Semana]],"Mmmm")</f>
        <v>junho</v>
      </c>
      <c r="F169">
        <f t="shared" si="2"/>
        <v>2022</v>
      </c>
      <c r="G169" t="str">
        <f>IF(MONTH(Base_de_Dados[[#This Row],[Semana]])&lt;=6,"1ª Semestre","2ª Semestre")</f>
        <v>1ª Semestre</v>
      </c>
    </row>
    <row r="170" spans="1:7" x14ac:dyDescent="0.25">
      <c r="A170" t="s">
        <v>13</v>
      </c>
      <c r="B170">
        <v>0</v>
      </c>
      <c r="C170" s="3">
        <v>0</v>
      </c>
      <c r="D170" s="58">
        <v>44718</v>
      </c>
      <c r="E170" s="58" t="str">
        <f>TEXT(Base_de_Dados[[#This Row],[Semana]],"Mmmm")</f>
        <v>junho</v>
      </c>
      <c r="F170">
        <f t="shared" si="2"/>
        <v>2022</v>
      </c>
      <c r="G170" t="str">
        <f>IF(MONTH(Base_de_Dados[[#This Row],[Semana]])&lt;=6,"1ª Semestre","2ª Semestre")</f>
        <v>1ª Semestre</v>
      </c>
    </row>
    <row r="171" spans="1:7" x14ac:dyDescent="0.25">
      <c r="A171" t="s">
        <v>121</v>
      </c>
      <c r="B171">
        <v>1</v>
      </c>
      <c r="C171" s="3">
        <v>0.2</v>
      </c>
      <c r="D171" s="58">
        <v>44718</v>
      </c>
      <c r="E171" s="58" t="str">
        <f>TEXT(Base_de_Dados[[#This Row],[Semana]],"Mmmm")</f>
        <v>junho</v>
      </c>
      <c r="F171">
        <f t="shared" si="2"/>
        <v>2022</v>
      </c>
      <c r="G171" t="str">
        <f>IF(MONTH(Base_de_Dados[[#This Row],[Semana]])&lt;=6,"1ª Semestre","2ª Semestre")</f>
        <v>1ª Semestre</v>
      </c>
    </row>
    <row r="172" spans="1:7" x14ac:dyDescent="0.25">
      <c r="A172" t="s">
        <v>15</v>
      </c>
      <c r="B172">
        <v>0</v>
      </c>
      <c r="C172" s="3">
        <v>0</v>
      </c>
      <c r="D172" s="58">
        <v>44718</v>
      </c>
      <c r="E172" s="58" t="str">
        <f>TEXT(Base_de_Dados[[#This Row],[Semana]],"Mmmm")</f>
        <v>junho</v>
      </c>
      <c r="F172">
        <f t="shared" si="2"/>
        <v>2022</v>
      </c>
      <c r="G172" t="str">
        <f>IF(MONTH(Base_de_Dados[[#This Row],[Semana]])&lt;=6,"1ª Semestre","2ª Semestre")</f>
        <v>1ª Semestre</v>
      </c>
    </row>
    <row r="173" spans="1:7" x14ac:dyDescent="0.25">
      <c r="A173" t="s">
        <v>16</v>
      </c>
      <c r="B173">
        <v>0</v>
      </c>
      <c r="C173" s="3">
        <v>0</v>
      </c>
      <c r="D173" s="58">
        <v>44718</v>
      </c>
      <c r="E173" s="58" t="str">
        <f>TEXT(Base_de_Dados[[#This Row],[Semana]],"Mmmm")</f>
        <v>junho</v>
      </c>
      <c r="F173">
        <f t="shared" si="2"/>
        <v>2022</v>
      </c>
      <c r="G173" t="str">
        <f>IF(MONTH(Base_de_Dados[[#This Row],[Semana]])&lt;=6,"1ª Semestre","2ª Semestre")</f>
        <v>1ª Semestre</v>
      </c>
    </row>
    <row r="174" spans="1:7" x14ac:dyDescent="0.25">
      <c r="A174" t="s">
        <v>4</v>
      </c>
      <c r="B174">
        <v>4</v>
      </c>
      <c r="C174" s="3">
        <v>0.5</v>
      </c>
      <c r="D174" s="58">
        <v>44725</v>
      </c>
      <c r="E174" s="58" t="str">
        <f>TEXT(Base_de_Dados[[#This Row],[Semana]],"Mmmm")</f>
        <v>junho</v>
      </c>
      <c r="F174">
        <f t="shared" si="2"/>
        <v>2022</v>
      </c>
      <c r="G174" t="str">
        <f>IF(MONTH(Base_de_Dados[[#This Row],[Semana]])&lt;=6,"1ª Semestre","2ª Semestre")</f>
        <v>1ª Semestre</v>
      </c>
    </row>
    <row r="175" spans="1:7" x14ac:dyDescent="0.25">
      <c r="A175" t="s">
        <v>5</v>
      </c>
      <c r="B175">
        <v>0</v>
      </c>
      <c r="C175" s="3">
        <v>0</v>
      </c>
      <c r="D175" s="58">
        <v>44725</v>
      </c>
      <c r="E175" s="58" t="str">
        <f>TEXT(Base_de_Dados[[#This Row],[Semana]],"Mmmm")</f>
        <v>junho</v>
      </c>
      <c r="F175">
        <f t="shared" si="2"/>
        <v>2022</v>
      </c>
      <c r="G175" t="str">
        <f>IF(MONTH(Base_de_Dados[[#This Row],[Semana]])&lt;=6,"1ª Semestre","2ª Semestre")</f>
        <v>1ª Semestre</v>
      </c>
    </row>
    <row r="176" spans="1:7" x14ac:dyDescent="0.25">
      <c r="A176" t="s">
        <v>127</v>
      </c>
      <c r="B176">
        <v>3</v>
      </c>
      <c r="C176" s="3">
        <v>0.375</v>
      </c>
      <c r="D176" s="58">
        <v>44725</v>
      </c>
      <c r="E176" s="58" t="str">
        <f>TEXT(Base_de_Dados[[#This Row],[Semana]],"Mmmm")</f>
        <v>junho</v>
      </c>
      <c r="F176">
        <f t="shared" si="2"/>
        <v>2022</v>
      </c>
      <c r="G176" t="str">
        <f>IF(MONTH(Base_de_Dados[[#This Row],[Semana]])&lt;=6,"1ª Semestre","2ª Semestre")</f>
        <v>1ª Semestre</v>
      </c>
    </row>
    <row r="177" spans="1:7" x14ac:dyDescent="0.25">
      <c r="A177" t="s">
        <v>7</v>
      </c>
      <c r="B177">
        <v>0</v>
      </c>
      <c r="C177" s="3">
        <v>0</v>
      </c>
      <c r="D177" s="58">
        <v>44725</v>
      </c>
      <c r="E177" s="58" t="str">
        <f>TEXT(Base_de_Dados[[#This Row],[Semana]],"Mmmm")</f>
        <v>junho</v>
      </c>
      <c r="F177">
        <f t="shared" si="2"/>
        <v>2022</v>
      </c>
      <c r="G177" t="str">
        <f>IF(MONTH(Base_de_Dados[[#This Row],[Semana]])&lt;=6,"1ª Semestre","2ª Semestre")</f>
        <v>1ª Semestre</v>
      </c>
    </row>
    <row r="178" spans="1:7" x14ac:dyDescent="0.25">
      <c r="A178" t="s">
        <v>30</v>
      </c>
      <c r="B178">
        <v>0</v>
      </c>
      <c r="C178" s="3">
        <v>0</v>
      </c>
      <c r="D178" s="58">
        <v>44725</v>
      </c>
      <c r="E178" s="58" t="str">
        <f>TEXT(Base_de_Dados[[#This Row],[Semana]],"Mmmm")</f>
        <v>junho</v>
      </c>
      <c r="F178">
        <f t="shared" si="2"/>
        <v>2022</v>
      </c>
      <c r="G178" t="str">
        <f>IF(MONTH(Base_de_Dados[[#This Row],[Semana]])&lt;=6,"1ª Semestre","2ª Semestre")</f>
        <v>1ª Semestre</v>
      </c>
    </row>
    <row r="179" spans="1:7" x14ac:dyDescent="0.25">
      <c r="A179" t="s">
        <v>118</v>
      </c>
      <c r="B179">
        <v>0</v>
      </c>
      <c r="C179" s="3">
        <v>0</v>
      </c>
      <c r="D179" s="58">
        <v>44725</v>
      </c>
      <c r="E179" s="58" t="str">
        <f>TEXT(Base_de_Dados[[#This Row],[Semana]],"Mmmm")</f>
        <v>junho</v>
      </c>
      <c r="F179">
        <f t="shared" si="2"/>
        <v>2022</v>
      </c>
      <c r="G179" t="str">
        <f>IF(MONTH(Base_de_Dados[[#This Row],[Semana]])&lt;=6,"1ª Semestre","2ª Semestre")</f>
        <v>1ª Semestre</v>
      </c>
    </row>
    <row r="180" spans="1:7" x14ac:dyDescent="0.25">
      <c r="A180" t="s">
        <v>10</v>
      </c>
      <c r="B180">
        <v>0</v>
      </c>
      <c r="C180" s="3">
        <v>0</v>
      </c>
      <c r="D180" s="58">
        <v>44725</v>
      </c>
      <c r="E180" s="58" t="str">
        <f>TEXT(Base_de_Dados[[#This Row],[Semana]],"Mmmm")</f>
        <v>junho</v>
      </c>
      <c r="F180">
        <f t="shared" si="2"/>
        <v>2022</v>
      </c>
      <c r="G180" t="str">
        <f>IF(MONTH(Base_de_Dados[[#This Row],[Semana]])&lt;=6,"1ª Semestre","2ª Semestre")</f>
        <v>1ª Semestre</v>
      </c>
    </row>
    <row r="181" spans="1:7" x14ac:dyDescent="0.25">
      <c r="A181" t="s">
        <v>11</v>
      </c>
      <c r="B181">
        <v>0</v>
      </c>
      <c r="C181" s="3">
        <v>0</v>
      </c>
      <c r="D181" s="58">
        <v>44725</v>
      </c>
      <c r="E181" s="58" t="str">
        <f>TEXT(Base_de_Dados[[#This Row],[Semana]],"Mmmm")</f>
        <v>junho</v>
      </c>
      <c r="F181">
        <f t="shared" si="2"/>
        <v>2022</v>
      </c>
      <c r="G181" t="str">
        <f>IF(MONTH(Base_de_Dados[[#This Row],[Semana]])&lt;=6,"1ª Semestre","2ª Semestre")</f>
        <v>1ª Semestre</v>
      </c>
    </row>
    <row r="182" spans="1:7" x14ac:dyDescent="0.25">
      <c r="A182" t="s">
        <v>12</v>
      </c>
      <c r="B182">
        <v>1</v>
      </c>
      <c r="C182" s="3">
        <v>0.125</v>
      </c>
      <c r="D182" s="58">
        <v>44725</v>
      </c>
      <c r="E182" s="58" t="str">
        <f>TEXT(Base_de_Dados[[#This Row],[Semana]],"Mmmm")</f>
        <v>junho</v>
      </c>
      <c r="F182">
        <f t="shared" si="2"/>
        <v>2022</v>
      </c>
      <c r="G182" t="str">
        <f>IF(MONTH(Base_de_Dados[[#This Row],[Semana]])&lt;=6,"1ª Semestre","2ª Semestre")</f>
        <v>1ª Semestre</v>
      </c>
    </row>
    <row r="183" spans="1:7" x14ac:dyDescent="0.25">
      <c r="A183" t="s">
        <v>13</v>
      </c>
      <c r="B183">
        <v>0</v>
      </c>
      <c r="C183" s="3">
        <v>0</v>
      </c>
      <c r="D183" s="58">
        <v>44725</v>
      </c>
      <c r="E183" s="58" t="str">
        <f>TEXT(Base_de_Dados[[#This Row],[Semana]],"Mmmm")</f>
        <v>junho</v>
      </c>
      <c r="F183">
        <f t="shared" si="2"/>
        <v>2022</v>
      </c>
      <c r="G183" t="str">
        <f>IF(MONTH(Base_de_Dados[[#This Row],[Semana]])&lt;=6,"1ª Semestre","2ª Semestre")</f>
        <v>1ª Semestre</v>
      </c>
    </row>
    <row r="184" spans="1:7" x14ac:dyDescent="0.25">
      <c r="A184" t="s">
        <v>121</v>
      </c>
      <c r="B184">
        <v>0</v>
      </c>
      <c r="C184" s="3">
        <v>0</v>
      </c>
      <c r="D184" s="58">
        <v>44725</v>
      </c>
      <c r="E184" s="58" t="str">
        <f>TEXT(Base_de_Dados[[#This Row],[Semana]],"Mmmm")</f>
        <v>junho</v>
      </c>
      <c r="F184">
        <f t="shared" si="2"/>
        <v>2022</v>
      </c>
      <c r="G184" t="str">
        <f>IF(MONTH(Base_de_Dados[[#This Row],[Semana]])&lt;=6,"1ª Semestre","2ª Semestre")</f>
        <v>1ª Semestre</v>
      </c>
    </row>
    <row r="185" spans="1:7" x14ac:dyDescent="0.25">
      <c r="A185" t="s">
        <v>15</v>
      </c>
      <c r="B185">
        <v>0</v>
      </c>
      <c r="C185" s="3">
        <v>0</v>
      </c>
      <c r="D185" s="58">
        <v>44725</v>
      </c>
      <c r="E185" s="58" t="str">
        <f>TEXT(Base_de_Dados[[#This Row],[Semana]],"Mmmm")</f>
        <v>junho</v>
      </c>
      <c r="F185">
        <f t="shared" si="2"/>
        <v>2022</v>
      </c>
      <c r="G185" t="str">
        <f>IF(MONTH(Base_de_Dados[[#This Row],[Semana]])&lt;=6,"1ª Semestre","2ª Semestre")</f>
        <v>1ª Semestre</v>
      </c>
    </row>
    <row r="186" spans="1:7" x14ac:dyDescent="0.25">
      <c r="A186" t="s">
        <v>16</v>
      </c>
      <c r="B186">
        <v>0</v>
      </c>
      <c r="C186" s="3">
        <v>0</v>
      </c>
      <c r="D186" s="58">
        <v>44725</v>
      </c>
      <c r="E186" s="58" t="str">
        <f>TEXT(Base_de_Dados[[#This Row],[Semana]],"Mmmm")</f>
        <v>junho</v>
      </c>
      <c r="F186">
        <f t="shared" si="2"/>
        <v>2022</v>
      </c>
      <c r="G186" t="str">
        <f>IF(MONTH(Base_de_Dados[[#This Row],[Semana]])&lt;=6,"1ª Semestre","2ª Semestre")</f>
        <v>1ª Semestre</v>
      </c>
    </row>
    <row r="187" spans="1:7" x14ac:dyDescent="0.25">
      <c r="A187" t="s">
        <v>4</v>
      </c>
      <c r="B187">
        <v>0</v>
      </c>
      <c r="C187" s="3">
        <v>0</v>
      </c>
      <c r="D187" s="58">
        <v>44732</v>
      </c>
      <c r="E187" s="58" t="str">
        <f>TEXT(Base_de_Dados[[#This Row],[Semana]],"Mmmm")</f>
        <v>junho</v>
      </c>
      <c r="F187">
        <f t="shared" si="2"/>
        <v>2022</v>
      </c>
      <c r="G187" t="str">
        <f>IF(MONTH(Base_de_Dados[[#This Row],[Semana]])&lt;=6,"1ª Semestre","2ª Semestre")</f>
        <v>1ª Semestre</v>
      </c>
    </row>
    <row r="188" spans="1:7" x14ac:dyDescent="0.25">
      <c r="A188" t="s">
        <v>5</v>
      </c>
      <c r="B188">
        <v>0</v>
      </c>
      <c r="C188" s="3">
        <v>0</v>
      </c>
      <c r="D188" s="58">
        <v>44732</v>
      </c>
      <c r="E188" s="58" t="str">
        <f>TEXT(Base_de_Dados[[#This Row],[Semana]],"Mmmm")</f>
        <v>junho</v>
      </c>
      <c r="F188">
        <f t="shared" si="2"/>
        <v>2022</v>
      </c>
      <c r="G188" t="str">
        <f>IF(MONTH(Base_de_Dados[[#This Row],[Semana]])&lt;=6,"1ª Semestre","2ª Semestre")</f>
        <v>1ª Semestre</v>
      </c>
    </row>
    <row r="189" spans="1:7" x14ac:dyDescent="0.25">
      <c r="A189" t="s">
        <v>127</v>
      </c>
      <c r="B189">
        <v>2</v>
      </c>
      <c r="C189" s="3">
        <v>0.66666666666666663</v>
      </c>
      <c r="D189" s="58">
        <v>44732</v>
      </c>
      <c r="E189" s="58" t="str">
        <f>TEXT(Base_de_Dados[[#This Row],[Semana]],"Mmmm")</f>
        <v>junho</v>
      </c>
      <c r="F189">
        <f t="shared" si="2"/>
        <v>2022</v>
      </c>
      <c r="G189" t="str">
        <f>IF(MONTH(Base_de_Dados[[#This Row],[Semana]])&lt;=6,"1ª Semestre","2ª Semestre")</f>
        <v>1ª Semestre</v>
      </c>
    </row>
    <row r="190" spans="1:7" x14ac:dyDescent="0.25">
      <c r="A190" t="s">
        <v>7</v>
      </c>
      <c r="B190">
        <v>1</v>
      </c>
      <c r="C190" s="3">
        <v>0.33333333333333331</v>
      </c>
      <c r="D190" s="58">
        <v>44732</v>
      </c>
      <c r="E190" s="58" t="str">
        <f>TEXT(Base_de_Dados[[#This Row],[Semana]],"Mmmm")</f>
        <v>junho</v>
      </c>
      <c r="F190">
        <f t="shared" si="2"/>
        <v>2022</v>
      </c>
      <c r="G190" t="str">
        <f>IF(MONTH(Base_de_Dados[[#This Row],[Semana]])&lt;=6,"1ª Semestre","2ª Semestre")</f>
        <v>1ª Semestre</v>
      </c>
    </row>
    <row r="191" spans="1:7" x14ac:dyDescent="0.25">
      <c r="A191" t="s">
        <v>30</v>
      </c>
      <c r="B191">
        <v>0</v>
      </c>
      <c r="C191" s="3">
        <v>0</v>
      </c>
      <c r="D191" s="58">
        <v>44732</v>
      </c>
      <c r="E191" s="58" t="str">
        <f>TEXT(Base_de_Dados[[#This Row],[Semana]],"Mmmm")</f>
        <v>junho</v>
      </c>
      <c r="F191">
        <f t="shared" si="2"/>
        <v>2022</v>
      </c>
      <c r="G191" t="str">
        <f>IF(MONTH(Base_de_Dados[[#This Row],[Semana]])&lt;=6,"1ª Semestre","2ª Semestre")</f>
        <v>1ª Semestre</v>
      </c>
    </row>
    <row r="192" spans="1:7" x14ac:dyDescent="0.25">
      <c r="A192" t="s">
        <v>118</v>
      </c>
      <c r="B192">
        <v>0</v>
      </c>
      <c r="C192" s="3">
        <v>0</v>
      </c>
      <c r="D192" s="58">
        <v>44732</v>
      </c>
      <c r="E192" s="58" t="str">
        <f>TEXT(Base_de_Dados[[#This Row],[Semana]],"Mmmm")</f>
        <v>junho</v>
      </c>
      <c r="F192">
        <f t="shared" si="2"/>
        <v>2022</v>
      </c>
      <c r="G192" t="str">
        <f>IF(MONTH(Base_de_Dados[[#This Row],[Semana]])&lt;=6,"1ª Semestre","2ª Semestre")</f>
        <v>1ª Semestre</v>
      </c>
    </row>
    <row r="193" spans="1:7" x14ac:dyDescent="0.25">
      <c r="A193" t="s">
        <v>10</v>
      </c>
      <c r="B193">
        <v>0</v>
      </c>
      <c r="C193" s="3">
        <v>0</v>
      </c>
      <c r="D193" s="58">
        <v>44732</v>
      </c>
      <c r="E193" s="58" t="str">
        <f>TEXT(Base_de_Dados[[#This Row],[Semana]],"Mmmm")</f>
        <v>junho</v>
      </c>
      <c r="F193">
        <f t="shared" si="2"/>
        <v>2022</v>
      </c>
      <c r="G193" t="str">
        <f>IF(MONTH(Base_de_Dados[[#This Row],[Semana]])&lt;=6,"1ª Semestre","2ª Semestre")</f>
        <v>1ª Semestre</v>
      </c>
    </row>
    <row r="194" spans="1:7" x14ac:dyDescent="0.25">
      <c r="A194" t="s">
        <v>11</v>
      </c>
      <c r="B194">
        <v>0</v>
      </c>
      <c r="C194" s="3">
        <v>0</v>
      </c>
      <c r="D194" s="58">
        <v>44732</v>
      </c>
      <c r="E194" s="58" t="str">
        <f>TEXT(Base_de_Dados[[#This Row],[Semana]],"Mmmm")</f>
        <v>junho</v>
      </c>
      <c r="F194">
        <f t="shared" si="2"/>
        <v>2022</v>
      </c>
      <c r="G194" t="str">
        <f>IF(MONTH(Base_de_Dados[[#This Row],[Semana]])&lt;=6,"1ª Semestre","2ª Semestre")</f>
        <v>1ª Semestre</v>
      </c>
    </row>
    <row r="195" spans="1:7" x14ac:dyDescent="0.25">
      <c r="A195" t="s">
        <v>12</v>
      </c>
      <c r="B195">
        <v>0</v>
      </c>
      <c r="C195" s="3">
        <v>0</v>
      </c>
      <c r="D195" s="58">
        <v>44732</v>
      </c>
      <c r="E195" s="58" t="str">
        <f>TEXT(Base_de_Dados[[#This Row],[Semana]],"Mmmm")</f>
        <v>junho</v>
      </c>
      <c r="F195">
        <f t="shared" ref="F195:F258" si="3">YEAR(D195)</f>
        <v>2022</v>
      </c>
      <c r="G195" t="str">
        <f>IF(MONTH(Base_de_Dados[[#This Row],[Semana]])&lt;=6,"1ª Semestre","2ª Semestre")</f>
        <v>1ª Semestre</v>
      </c>
    </row>
    <row r="196" spans="1:7" x14ac:dyDescent="0.25">
      <c r="A196" t="s">
        <v>13</v>
      </c>
      <c r="B196">
        <v>0</v>
      </c>
      <c r="C196" s="3">
        <v>0</v>
      </c>
      <c r="D196" s="58">
        <v>44732</v>
      </c>
      <c r="E196" s="58" t="str">
        <f>TEXT(Base_de_Dados[[#This Row],[Semana]],"Mmmm")</f>
        <v>junho</v>
      </c>
      <c r="F196">
        <f t="shared" si="3"/>
        <v>2022</v>
      </c>
      <c r="G196" t="str">
        <f>IF(MONTH(Base_de_Dados[[#This Row],[Semana]])&lt;=6,"1ª Semestre","2ª Semestre")</f>
        <v>1ª Semestre</v>
      </c>
    </row>
    <row r="197" spans="1:7" x14ac:dyDescent="0.25">
      <c r="A197" t="s">
        <v>121</v>
      </c>
      <c r="B197">
        <v>0</v>
      </c>
      <c r="C197" s="3">
        <v>0</v>
      </c>
      <c r="D197" s="58">
        <v>44732</v>
      </c>
      <c r="E197" s="58" t="str">
        <f>TEXT(Base_de_Dados[[#This Row],[Semana]],"Mmmm")</f>
        <v>junho</v>
      </c>
      <c r="F197">
        <f t="shared" si="3"/>
        <v>2022</v>
      </c>
      <c r="G197" t="str">
        <f>IF(MONTH(Base_de_Dados[[#This Row],[Semana]])&lt;=6,"1ª Semestre","2ª Semestre")</f>
        <v>1ª Semestre</v>
      </c>
    </row>
    <row r="198" spans="1:7" x14ac:dyDescent="0.25">
      <c r="A198" t="s">
        <v>15</v>
      </c>
      <c r="B198">
        <v>0</v>
      </c>
      <c r="C198" s="3">
        <v>0</v>
      </c>
      <c r="D198" s="58">
        <v>44732</v>
      </c>
      <c r="E198" s="58" t="str">
        <f>TEXT(Base_de_Dados[[#This Row],[Semana]],"Mmmm")</f>
        <v>junho</v>
      </c>
      <c r="F198">
        <f t="shared" si="3"/>
        <v>2022</v>
      </c>
      <c r="G198" t="str">
        <f>IF(MONTH(Base_de_Dados[[#This Row],[Semana]])&lt;=6,"1ª Semestre","2ª Semestre")</f>
        <v>1ª Semestre</v>
      </c>
    </row>
    <row r="199" spans="1:7" x14ac:dyDescent="0.25">
      <c r="A199" t="s">
        <v>16</v>
      </c>
      <c r="B199">
        <v>0</v>
      </c>
      <c r="C199" s="3">
        <v>0</v>
      </c>
      <c r="D199" s="58">
        <v>44732</v>
      </c>
      <c r="E199" s="58" t="str">
        <f>TEXT(Base_de_Dados[[#This Row],[Semana]],"Mmmm")</f>
        <v>junho</v>
      </c>
      <c r="F199">
        <f t="shared" si="3"/>
        <v>2022</v>
      </c>
      <c r="G199" t="str">
        <f>IF(MONTH(Base_de_Dados[[#This Row],[Semana]])&lt;=6,"1ª Semestre","2ª Semestre")</f>
        <v>1ª Semestre</v>
      </c>
    </row>
    <row r="200" spans="1:7" x14ac:dyDescent="0.25">
      <c r="A200" t="s">
        <v>4</v>
      </c>
      <c r="B200">
        <v>4</v>
      </c>
      <c r="C200" s="3">
        <v>0.5</v>
      </c>
      <c r="D200" s="58">
        <v>44739</v>
      </c>
      <c r="E200" s="58" t="str">
        <f>TEXT(Base_de_Dados[[#This Row],[Semana]],"Mmmm")</f>
        <v>junho</v>
      </c>
      <c r="F200">
        <f t="shared" si="3"/>
        <v>2022</v>
      </c>
      <c r="G200" t="str">
        <f>IF(MONTH(Base_de_Dados[[#This Row],[Semana]])&lt;=6,"1ª Semestre","2ª Semestre")</f>
        <v>1ª Semestre</v>
      </c>
    </row>
    <row r="201" spans="1:7" x14ac:dyDescent="0.25">
      <c r="A201" t="s">
        <v>5</v>
      </c>
      <c r="B201">
        <v>0</v>
      </c>
      <c r="C201" s="3">
        <v>0</v>
      </c>
      <c r="D201" s="58">
        <v>44739</v>
      </c>
      <c r="E201" s="58" t="str">
        <f>TEXT(Base_de_Dados[[#This Row],[Semana]],"Mmmm")</f>
        <v>junho</v>
      </c>
      <c r="F201">
        <f t="shared" si="3"/>
        <v>2022</v>
      </c>
      <c r="G201" t="str">
        <f>IF(MONTH(Base_de_Dados[[#This Row],[Semana]])&lt;=6,"1ª Semestre","2ª Semestre")</f>
        <v>1ª Semestre</v>
      </c>
    </row>
    <row r="202" spans="1:7" x14ac:dyDescent="0.25">
      <c r="A202" t="s">
        <v>127</v>
      </c>
      <c r="B202">
        <v>1</v>
      </c>
      <c r="C202" s="3">
        <v>0.125</v>
      </c>
      <c r="D202" s="58">
        <v>44739</v>
      </c>
      <c r="E202" s="58" t="str">
        <f>TEXT(Base_de_Dados[[#This Row],[Semana]],"Mmmm")</f>
        <v>junho</v>
      </c>
      <c r="F202">
        <f t="shared" si="3"/>
        <v>2022</v>
      </c>
      <c r="G202" t="str">
        <f>IF(MONTH(Base_de_Dados[[#This Row],[Semana]])&lt;=6,"1ª Semestre","2ª Semestre")</f>
        <v>1ª Semestre</v>
      </c>
    </row>
    <row r="203" spans="1:7" x14ac:dyDescent="0.25">
      <c r="A203" t="s">
        <v>7</v>
      </c>
      <c r="B203">
        <v>0</v>
      </c>
      <c r="C203" s="3">
        <v>0</v>
      </c>
      <c r="D203" s="58">
        <v>44739</v>
      </c>
      <c r="E203" s="58" t="str">
        <f>TEXT(Base_de_Dados[[#This Row],[Semana]],"Mmmm")</f>
        <v>junho</v>
      </c>
      <c r="F203">
        <f t="shared" si="3"/>
        <v>2022</v>
      </c>
      <c r="G203" t="str">
        <f>IF(MONTH(Base_de_Dados[[#This Row],[Semana]])&lt;=6,"1ª Semestre","2ª Semestre")</f>
        <v>1ª Semestre</v>
      </c>
    </row>
    <row r="204" spans="1:7" x14ac:dyDescent="0.25">
      <c r="A204" t="s">
        <v>30</v>
      </c>
      <c r="B204">
        <v>0</v>
      </c>
      <c r="C204" s="3">
        <v>0</v>
      </c>
      <c r="D204" s="58">
        <v>44739</v>
      </c>
      <c r="E204" s="58" t="str">
        <f>TEXT(Base_de_Dados[[#This Row],[Semana]],"Mmmm")</f>
        <v>junho</v>
      </c>
      <c r="F204">
        <f t="shared" si="3"/>
        <v>2022</v>
      </c>
      <c r="G204" t="str">
        <f>IF(MONTH(Base_de_Dados[[#This Row],[Semana]])&lt;=6,"1ª Semestre","2ª Semestre")</f>
        <v>1ª Semestre</v>
      </c>
    </row>
    <row r="205" spans="1:7" x14ac:dyDescent="0.25">
      <c r="A205" t="s">
        <v>118</v>
      </c>
      <c r="B205">
        <v>0</v>
      </c>
      <c r="C205" s="3">
        <v>0</v>
      </c>
      <c r="D205" s="58">
        <v>44739</v>
      </c>
      <c r="E205" s="58" t="str">
        <f>TEXT(Base_de_Dados[[#This Row],[Semana]],"Mmmm")</f>
        <v>junho</v>
      </c>
      <c r="F205">
        <f t="shared" si="3"/>
        <v>2022</v>
      </c>
      <c r="G205" t="str">
        <f>IF(MONTH(Base_de_Dados[[#This Row],[Semana]])&lt;=6,"1ª Semestre","2ª Semestre")</f>
        <v>1ª Semestre</v>
      </c>
    </row>
    <row r="206" spans="1:7" x14ac:dyDescent="0.25">
      <c r="A206" t="s">
        <v>10</v>
      </c>
      <c r="B206">
        <v>0</v>
      </c>
      <c r="C206" s="3">
        <v>0</v>
      </c>
      <c r="D206" s="58">
        <v>44739</v>
      </c>
      <c r="E206" s="58" t="str">
        <f>TEXT(Base_de_Dados[[#This Row],[Semana]],"Mmmm")</f>
        <v>junho</v>
      </c>
      <c r="F206">
        <f t="shared" si="3"/>
        <v>2022</v>
      </c>
      <c r="G206" t="str">
        <f>IF(MONTH(Base_de_Dados[[#This Row],[Semana]])&lt;=6,"1ª Semestre","2ª Semestre")</f>
        <v>1ª Semestre</v>
      </c>
    </row>
    <row r="207" spans="1:7" x14ac:dyDescent="0.25">
      <c r="A207" t="s">
        <v>11</v>
      </c>
      <c r="B207">
        <v>0</v>
      </c>
      <c r="C207" s="3">
        <v>0</v>
      </c>
      <c r="D207" s="58">
        <v>44739</v>
      </c>
      <c r="E207" s="58" t="str">
        <f>TEXT(Base_de_Dados[[#This Row],[Semana]],"Mmmm")</f>
        <v>junho</v>
      </c>
      <c r="F207">
        <f t="shared" si="3"/>
        <v>2022</v>
      </c>
      <c r="G207" t="str">
        <f>IF(MONTH(Base_de_Dados[[#This Row],[Semana]])&lt;=6,"1ª Semestre","2ª Semestre")</f>
        <v>1ª Semestre</v>
      </c>
    </row>
    <row r="208" spans="1:7" x14ac:dyDescent="0.25">
      <c r="A208" t="s">
        <v>12</v>
      </c>
      <c r="B208">
        <v>0</v>
      </c>
      <c r="C208" s="3">
        <v>0</v>
      </c>
      <c r="D208" s="58">
        <v>44739</v>
      </c>
      <c r="E208" s="58" t="str">
        <f>TEXT(Base_de_Dados[[#This Row],[Semana]],"Mmmm")</f>
        <v>junho</v>
      </c>
      <c r="F208">
        <f t="shared" si="3"/>
        <v>2022</v>
      </c>
      <c r="G208" t="str">
        <f>IF(MONTH(Base_de_Dados[[#This Row],[Semana]])&lt;=6,"1ª Semestre","2ª Semestre")</f>
        <v>1ª Semestre</v>
      </c>
    </row>
    <row r="209" spans="1:7" x14ac:dyDescent="0.25">
      <c r="A209" t="s">
        <v>13</v>
      </c>
      <c r="B209">
        <v>0</v>
      </c>
      <c r="C209" s="3">
        <v>0</v>
      </c>
      <c r="D209" s="58">
        <v>44739</v>
      </c>
      <c r="E209" s="58" t="str">
        <f>TEXT(Base_de_Dados[[#This Row],[Semana]],"Mmmm")</f>
        <v>junho</v>
      </c>
      <c r="F209">
        <f t="shared" si="3"/>
        <v>2022</v>
      </c>
      <c r="G209" t="str">
        <f>IF(MONTH(Base_de_Dados[[#This Row],[Semana]])&lt;=6,"1ª Semestre","2ª Semestre")</f>
        <v>1ª Semestre</v>
      </c>
    </row>
    <row r="210" spans="1:7" x14ac:dyDescent="0.25">
      <c r="A210" t="s">
        <v>121</v>
      </c>
      <c r="B210">
        <v>0</v>
      </c>
      <c r="C210" s="3">
        <v>0</v>
      </c>
      <c r="D210" s="58">
        <v>44739</v>
      </c>
      <c r="E210" s="58" t="str">
        <f>TEXT(Base_de_Dados[[#This Row],[Semana]],"Mmmm")</f>
        <v>junho</v>
      </c>
      <c r="F210">
        <f t="shared" si="3"/>
        <v>2022</v>
      </c>
      <c r="G210" t="str">
        <f>IF(MONTH(Base_de_Dados[[#This Row],[Semana]])&lt;=6,"1ª Semestre","2ª Semestre")</f>
        <v>1ª Semestre</v>
      </c>
    </row>
    <row r="211" spans="1:7" x14ac:dyDescent="0.25">
      <c r="A211" t="s">
        <v>15</v>
      </c>
      <c r="B211">
        <v>0</v>
      </c>
      <c r="C211" s="3">
        <v>0</v>
      </c>
      <c r="D211" s="58">
        <v>44739</v>
      </c>
      <c r="E211" s="58" t="str">
        <f>TEXT(Base_de_Dados[[#This Row],[Semana]],"Mmmm")</f>
        <v>junho</v>
      </c>
      <c r="F211">
        <f t="shared" si="3"/>
        <v>2022</v>
      </c>
      <c r="G211" t="str">
        <f>IF(MONTH(Base_de_Dados[[#This Row],[Semana]])&lt;=6,"1ª Semestre","2ª Semestre")</f>
        <v>1ª Semestre</v>
      </c>
    </row>
    <row r="212" spans="1:7" x14ac:dyDescent="0.25">
      <c r="A212" t="s">
        <v>16</v>
      </c>
      <c r="B212">
        <v>3</v>
      </c>
      <c r="C212" s="3">
        <v>0.375</v>
      </c>
      <c r="D212" s="58">
        <v>44739</v>
      </c>
      <c r="E212" s="58" t="str">
        <f>TEXT(Base_de_Dados[[#This Row],[Semana]],"Mmmm")</f>
        <v>junho</v>
      </c>
      <c r="F212">
        <f t="shared" si="3"/>
        <v>2022</v>
      </c>
      <c r="G212" t="str">
        <f>IF(MONTH(Base_de_Dados[[#This Row],[Semana]])&lt;=6,"1ª Semestre","2ª Semestre")</f>
        <v>1ª Semestre</v>
      </c>
    </row>
    <row r="213" spans="1:7" x14ac:dyDescent="0.25">
      <c r="A213" t="s">
        <v>4</v>
      </c>
      <c r="B213">
        <v>1</v>
      </c>
      <c r="C213" s="3">
        <v>0.2</v>
      </c>
      <c r="D213" s="58">
        <v>44746</v>
      </c>
      <c r="E213" s="58" t="str">
        <f>TEXT(Base_de_Dados[[#This Row],[Semana]],"Mmmm")</f>
        <v>julho</v>
      </c>
      <c r="F213">
        <f t="shared" si="3"/>
        <v>2022</v>
      </c>
      <c r="G213" t="str">
        <f>IF(MONTH(Base_de_Dados[[#This Row],[Semana]])&lt;=6,"1ª Semestre","2ª Semestre")</f>
        <v>2ª Semestre</v>
      </c>
    </row>
    <row r="214" spans="1:7" x14ac:dyDescent="0.25">
      <c r="A214" t="s">
        <v>5</v>
      </c>
      <c r="B214">
        <v>0</v>
      </c>
      <c r="C214" s="3">
        <v>0</v>
      </c>
      <c r="D214" s="58">
        <v>44746</v>
      </c>
      <c r="E214" s="58" t="str">
        <f>TEXT(Base_de_Dados[[#This Row],[Semana]],"Mmmm")</f>
        <v>julho</v>
      </c>
      <c r="F214">
        <f t="shared" si="3"/>
        <v>2022</v>
      </c>
      <c r="G214" t="str">
        <f>IF(MONTH(Base_de_Dados[[#This Row],[Semana]])&lt;=6,"1ª Semestre","2ª Semestre")</f>
        <v>2ª Semestre</v>
      </c>
    </row>
    <row r="215" spans="1:7" x14ac:dyDescent="0.25">
      <c r="A215" t="s">
        <v>127</v>
      </c>
      <c r="B215">
        <v>0</v>
      </c>
      <c r="C215" s="3">
        <v>0</v>
      </c>
      <c r="D215" s="58">
        <v>44746</v>
      </c>
      <c r="E215" s="58" t="str">
        <f>TEXT(Base_de_Dados[[#This Row],[Semana]],"Mmmm")</f>
        <v>julho</v>
      </c>
      <c r="F215">
        <f t="shared" si="3"/>
        <v>2022</v>
      </c>
      <c r="G215" t="str">
        <f>IF(MONTH(Base_de_Dados[[#This Row],[Semana]])&lt;=6,"1ª Semestre","2ª Semestre")</f>
        <v>2ª Semestre</v>
      </c>
    </row>
    <row r="216" spans="1:7" x14ac:dyDescent="0.25">
      <c r="A216" t="s">
        <v>7</v>
      </c>
      <c r="B216">
        <v>1</v>
      </c>
      <c r="C216" s="3">
        <v>0.2</v>
      </c>
      <c r="D216" s="58">
        <v>44746</v>
      </c>
      <c r="E216" s="58" t="str">
        <f>TEXT(Base_de_Dados[[#This Row],[Semana]],"Mmmm")</f>
        <v>julho</v>
      </c>
      <c r="F216">
        <f t="shared" si="3"/>
        <v>2022</v>
      </c>
      <c r="G216" t="str">
        <f>IF(MONTH(Base_de_Dados[[#This Row],[Semana]])&lt;=6,"1ª Semestre","2ª Semestre")</f>
        <v>2ª Semestre</v>
      </c>
    </row>
    <row r="217" spans="1:7" x14ac:dyDescent="0.25">
      <c r="A217" t="s">
        <v>30</v>
      </c>
      <c r="B217">
        <v>0</v>
      </c>
      <c r="C217" s="3">
        <v>0</v>
      </c>
      <c r="D217" s="58">
        <v>44746</v>
      </c>
      <c r="E217" s="58" t="str">
        <f>TEXT(Base_de_Dados[[#This Row],[Semana]],"Mmmm")</f>
        <v>julho</v>
      </c>
      <c r="F217">
        <f t="shared" si="3"/>
        <v>2022</v>
      </c>
      <c r="G217" t="str">
        <f>IF(MONTH(Base_de_Dados[[#This Row],[Semana]])&lt;=6,"1ª Semestre","2ª Semestre")</f>
        <v>2ª Semestre</v>
      </c>
    </row>
    <row r="218" spans="1:7" x14ac:dyDescent="0.25">
      <c r="A218" t="s">
        <v>118</v>
      </c>
      <c r="B218">
        <v>0</v>
      </c>
      <c r="C218" s="3">
        <v>0</v>
      </c>
      <c r="D218" s="58">
        <v>44746</v>
      </c>
      <c r="E218" s="58" t="str">
        <f>TEXT(Base_de_Dados[[#This Row],[Semana]],"Mmmm")</f>
        <v>julho</v>
      </c>
      <c r="F218">
        <f t="shared" si="3"/>
        <v>2022</v>
      </c>
      <c r="G218" t="str">
        <f>IF(MONTH(Base_de_Dados[[#This Row],[Semana]])&lt;=6,"1ª Semestre","2ª Semestre")</f>
        <v>2ª Semestre</v>
      </c>
    </row>
    <row r="219" spans="1:7" x14ac:dyDescent="0.25">
      <c r="A219" t="s">
        <v>10</v>
      </c>
      <c r="B219">
        <v>1</v>
      </c>
      <c r="C219" s="3">
        <v>0.2</v>
      </c>
      <c r="D219" s="58">
        <v>44746</v>
      </c>
      <c r="E219" s="58" t="str">
        <f>TEXT(Base_de_Dados[[#This Row],[Semana]],"Mmmm")</f>
        <v>julho</v>
      </c>
      <c r="F219">
        <f t="shared" si="3"/>
        <v>2022</v>
      </c>
      <c r="G219" t="str">
        <f>IF(MONTH(Base_de_Dados[[#This Row],[Semana]])&lt;=6,"1ª Semestre","2ª Semestre")</f>
        <v>2ª Semestre</v>
      </c>
    </row>
    <row r="220" spans="1:7" x14ac:dyDescent="0.25">
      <c r="A220" t="s">
        <v>11</v>
      </c>
      <c r="B220">
        <v>0</v>
      </c>
      <c r="C220" s="3">
        <v>0</v>
      </c>
      <c r="D220" s="58">
        <v>44746</v>
      </c>
      <c r="E220" s="58" t="str">
        <f>TEXT(Base_de_Dados[[#This Row],[Semana]],"Mmmm")</f>
        <v>julho</v>
      </c>
      <c r="F220">
        <f t="shared" si="3"/>
        <v>2022</v>
      </c>
      <c r="G220" t="str">
        <f>IF(MONTH(Base_de_Dados[[#This Row],[Semana]])&lt;=6,"1ª Semestre","2ª Semestre")</f>
        <v>2ª Semestre</v>
      </c>
    </row>
    <row r="221" spans="1:7" x14ac:dyDescent="0.25">
      <c r="A221" t="s">
        <v>12</v>
      </c>
      <c r="B221">
        <v>0</v>
      </c>
      <c r="C221" s="3">
        <v>0</v>
      </c>
      <c r="D221" s="58">
        <v>44746</v>
      </c>
      <c r="E221" s="58" t="str">
        <f>TEXT(Base_de_Dados[[#This Row],[Semana]],"Mmmm")</f>
        <v>julho</v>
      </c>
      <c r="F221">
        <f t="shared" si="3"/>
        <v>2022</v>
      </c>
      <c r="G221" t="str">
        <f>IF(MONTH(Base_de_Dados[[#This Row],[Semana]])&lt;=6,"1ª Semestre","2ª Semestre")</f>
        <v>2ª Semestre</v>
      </c>
    </row>
    <row r="222" spans="1:7" x14ac:dyDescent="0.25">
      <c r="A222" t="s">
        <v>13</v>
      </c>
      <c r="B222">
        <v>1</v>
      </c>
      <c r="C222" s="3">
        <v>0.2</v>
      </c>
      <c r="D222" s="58">
        <v>44746</v>
      </c>
      <c r="E222" s="58" t="str">
        <f>TEXT(Base_de_Dados[[#This Row],[Semana]],"Mmmm")</f>
        <v>julho</v>
      </c>
      <c r="F222">
        <f t="shared" si="3"/>
        <v>2022</v>
      </c>
      <c r="G222" t="str">
        <f>IF(MONTH(Base_de_Dados[[#This Row],[Semana]])&lt;=6,"1ª Semestre","2ª Semestre")</f>
        <v>2ª Semestre</v>
      </c>
    </row>
    <row r="223" spans="1:7" x14ac:dyDescent="0.25">
      <c r="A223" t="s">
        <v>121</v>
      </c>
      <c r="B223">
        <v>0</v>
      </c>
      <c r="C223" s="3">
        <v>0</v>
      </c>
      <c r="D223" s="58">
        <v>44746</v>
      </c>
      <c r="E223" s="58" t="str">
        <f>TEXT(Base_de_Dados[[#This Row],[Semana]],"Mmmm")</f>
        <v>julho</v>
      </c>
      <c r="F223">
        <f t="shared" si="3"/>
        <v>2022</v>
      </c>
      <c r="G223" t="str">
        <f>IF(MONTH(Base_de_Dados[[#This Row],[Semana]])&lt;=6,"1ª Semestre","2ª Semestre")</f>
        <v>2ª Semestre</v>
      </c>
    </row>
    <row r="224" spans="1:7" x14ac:dyDescent="0.25">
      <c r="A224" t="s">
        <v>15</v>
      </c>
      <c r="B224">
        <v>0</v>
      </c>
      <c r="C224" s="3">
        <v>0</v>
      </c>
      <c r="D224" s="58">
        <v>44746</v>
      </c>
      <c r="E224" s="58" t="str">
        <f>TEXT(Base_de_Dados[[#This Row],[Semana]],"Mmmm")</f>
        <v>julho</v>
      </c>
      <c r="F224">
        <f t="shared" si="3"/>
        <v>2022</v>
      </c>
      <c r="G224" t="str">
        <f>IF(MONTH(Base_de_Dados[[#This Row],[Semana]])&lt;=6,"1ª Semestre","2ª Semestre")</f>
        <v>2ª Semestre</v>
      </c>
    </row>
    <row r="225" spans="1:7" x14ac:dyDescent="0.25">
      <c r="A225" t="s">
        <v>16</v>
      </c>
      <c r="B225">
        <v>1</v>
      </c>
      <c r="C225" s="3">
        <v>0.2</v>
      </c>
      <c r="D225" s="58">
        <v>44746</v>
      </c>
      <c r="E225" s="58" t="str">
        <f>TEXT(Base_de_Dados[[#This Row],[Semana]],"Mmmm")</f>
        <v>julho</v>
      </c>
      <c r="F225">
        <f t="shared" si="3"/>
        <v>2022</v>
      </c>
      <c r="G225" t="str">
        <f>IF(MONTH(Base_de_Dados[[#This Row],[Semana]])&lt;=6,"1ª Semestre","2ª Semestre")</f>
        <v>2ª Semestre</v>
      </c>
    </row>
    <row r="226" spans="1:7" x14ac:dyDescent="0.25">
      <c r="A226" t="s">
        <v>4</v>
      </c>
      <c r="B226">
        <v>3</v>
      </c>
      <c r="C226" s="3">
        <v>0.2</v>
      </c>
      <c r="D226" s="58">
        <v>44753</v>
      </c>
      <c r="E226" s="58" t="str">
        <f>TEXT(Base_de_Dados[[#This Row],[Semana]],"Mmmm")</f>
        <v>julho</v>
      </c>
      <c r="F226">
        <f t="shared" si="3"/>
        <v>2022</v>
      </c>
      <c r="G226" t="str">
        <f>IF(MONTH(Base_de_Dados[[#This Row],[Semana]])&lt;=6,"1ª Semestre","2ª Semestre")</f>
        <v>2ª Semestre</v>
      </c>
    </row>
    <row r="227" spans="1:7" x14ac:dyDescent="0.25">
      <c r="A227" t="s">
        <v>5</v>
      </c>
      <c r="B227">
        <v>3</v>
      </c>
      <c r="C227" s="3">
        <v>0.2</v>
      </c>
      <c r="D227" s="58">
        <v>44753</v>
      </c>
      <c r="E227" s="58" t="str">
        <f>TEXT(Base_de_Dados[[#This Row],[Semana]],"Mmmm")</f>
        <v>julho</v>
      </c>
      <c r="F227">
        <f t="shared" si="3"/>
        <v>2022</v>
      </c>
      <c r="G227" t="str">
        <f>IF(MONTH(Base_de_Dados[[#This Row],[Semana]])&lt;=6,"1ª Semestre","2ª Semestre")</f>
        <v>2ª Semestre</v>
      </c>
    </row>
    <row r="228" spans="1:7" x14ac:dyDescent="0.25">
      <c r="A228" t="s">
        <v>127</v>
      </c>
      <c r="B228">
        <v>1</v>
      </c>
      <c r="C228" s="3">
        <v>6.6666666666666666E-2</v>
      </c>
      <c r="D228" s="58">
        <v>44753</v>
      </c>
      <c r="E228" s="58" t="str">
        <f>TEXT(Base_de_Dados[[#This Row],[Semana]],"Mmmm")</f>
        <v>julho</v>
      </c>
      <c r="F228">
        <f t="shared" si="3"/>
        <v>2022</v>
      </c>
      <c r="G228" t="str">
        <f>IF(MONTH(Base_de_Dados[[#This Row],[Semana]])&lt;=6,"1ª Semestre","2ª Semestre")</f>
        <v>2ª Semestre</v>
      </c>
    </row>
    <row r="229" spans="1:7" x14ac:dyDescent="0.25">
      <c r="A229" t="s">
        <v>7</v>
      </c>
      <c r="B229">
        <v>1</v>
      </c>
      <c r="C229" s="3">
        <v>6.6666666666666666E-2</v>
      </c>
      <c r="D229" s="58">
        <v>44753</v>
      </c>
      <c r="E229" s="58" t="str">
        <f>TEXT(Base_de_Dados[[#This Row],[Semana]],"Mmmm")</f>
        <v>julho</v>
      </c>
      <c r="F229">
        <f t="shared" si="3"/>
        <v>2022</v>
      </c>
      <c r="G229" t="str">
        <f>IF(MONTH(Base_de_Dados[[#This Row],[Semana]])&lt;=6,"1ª Semestre","2ª Semestre")</f>
        <v>2ª Semestre</v>
      </c>
    </row>
    <row r="230" spans="1:7" x14ac:dyDescent="0.25">
      <c r="A230" t="s">
        <v>30</v>
      </c>
      <c r="B230">
        <v>4</v>
      </c>
      <c r="C230" s="3">
        <v>0.26666666666666666</v>
      </c>
      <c r="D230" s="58">
        <v>44753</v>
      </c>
      <c r="E230" s="58" t="str">
        <f>TEXT(Base_de_Dados[[#This Row],[Semana]],"Mmmm")</f>
        <v>julho</v>
      </c>
      <c r="F230">
        <f t="shared" si="3"/>
        <v>2022</v>
      </c>
      <c r="G230" t="str">
        <f>IF(MONTH(Base_de_Dados[[#This Row],[Semana]])&lt;=6,"1ª Semestre","2ª Semestre")</f>
        <v>2ª Semestre</v>
      </c>
    </row>
    <row r="231" spans="1:7" x14ac:dyDescent="0.25">
      <c r="A231" t="s">
        <v>118</v>
      </c>
      <c r="B231">
        <v>3</v>
      </c>
      <c r="C231" s="3">
        <v>0.2</v>
      </c>
      <c r="D231" s="58">
        <v>44753</v>
      </c>
      <c r="E231" s="58" t="str">
        <f>TEXT(Base_de_Dados[[#This Row],[Semana]],"Mmmm")</f>
        <v>julho</v>
      </c>
      <c r="F231">
        <f t="shared" si="3"/>
        <v>2022</v>
      </c>
      <c r="G231" t="str">
        <f>IF(MONTH(Base_de_Dados[[#This Row],[Semana]])&lt;=6,"1ª Semestre","2ª Semestre")</f>
        <v>2ª Semestre</v>
      </c>
    </row>
    <row r="232" spans="1:7" x14ac:dyDescent="0.25">
      <c r="A232" t="s">
        <v>10</v>
      </c>
      <c r="B232">
        <v>0</v>
      </c>
      <c r="C232" s="3">
        <v>0</v>
      </c>
      <c r="D232" s="58">
        <v>44753</v>
      </c>
      <c r="E232" s="58" t="str">
        <f>TEXT(Base_de_Dados[[#This Row],[Semana]],"Mmmm")</f>
        <v>julho</v>
      </c>
      <c r="F232">
        <f t="shared" si="3"/>
        <v>2022</v>
      </c>
      <c r="G232" t="str">
        <f>IF(MONTH(Base_de_Dados[[#This Row],[Semana]])&lt;=6,"1ª Semestre","2ª Semestre")</f>
        <v>2ª Semestre</v>
      </c>
    </row>
    <row r="233" spans="1:7" x14ac:dyDescent="0.25">
      <c r="A233" t="s">
        <v>11</v>
      </c>
      <c r="B233">
        <v>0</v>
      </c>
      <c r="C233" s="3">
        <v>0</v>
      </c>
      <c r="D233" s="58">
        <v>44753</v>
      </c>
      <c r="E233" s="58" t="str">
        <f>TEXT(Base_de_Dados[[#This Row],[Semana]],"Mmmm")</f>
        <v>julho</v>
      </c>
      <c r="F233">
        <f t="shared" si="3"/>
        <v>2022</v>
      </c>
      <c r="G233" t="str">
        <f>IF(MONTH(Base_de_Dados[[#This Row],[Semana]])&lt;=6,"1ª Semestre","2ª Semestre")</f>
        <v>2ª Semestre</v>
      </c>
    </row>
    <row r="234" spans="1:7" x14ac:dyDescent="0.25">
      <c r="A234" t="s">
        <v>12</v>
      </c>
      <c r="B234">
        <v>0</v>
      </c>
      <c r="C234" s="3">
        <v>0</v>
      </c>
      <c r="D234" s="58">
        <v>44753</v>
      </c>
      <c r="E234" s="58" t="str">
        <f>TEXT(Base_de_Dados[[#This Row],[Semana]],"Mmmm")</f>
        <v>julho</v>
      </c>
      <c r="F234">
        <f t="shared" si="3"/>
        <v>2022</v>
      </c>
      <c r="G234" t="str">
        <f>IF(MONTH(Base_de_Dados[[#This Row],[Semana]])&lt;=6,"1ª Semestre","2ª Semestre")</f>
        <v>2ª Semestre</v>
      </c>
    </row>
    <row r="235" spans="1:7" x14ac:dyDescent="0.25">
      <c r="A235" t="s">
        <v>13</v>
      </c>
      <c r="B235">
        <v>0</v>
      </c>
      <c r="C235" s="3">
        <v>0</v>
      </c>
      <c r="D235" s="58">
        <v>44753</v>
      </c>
      <c r="E235" s="58" t="str">
        <f>TEXT(Base_de_Dados[[#This Row],[Semana]],"Mmmm")</f>
        <v>julho</v>
      </c>
      <c r="F235">
        <f t="shared" si="3"/>
        <v>2022</v>
      </c>
      <c r="G235" t="str">
        <f>IF(MONTH(Base_de_Dados[[#This Row],[Semana]])&lt;=6,"1ª Semestre","2ª Semestre")</f>
        <v>2ª Semestre</v>
      </c>
    </row>
    <row r="236" spans="1:7" x14ac:dyDescent="0.25">
      <c r="A236" t="s">
        <v>121</v>
      </c>
      <c r="B236">
        <v>0</v>
      </c>
      <c r="C236" s="3">
        <v>0</v>
      </c>
      <c r="D236" s="58">
        <v>44753</v>
      </c>
      <c r="E236" s="58" t="str">
        <f>TEXT(Base_de_Dados[[#This Row],[Semana]],"Mmmm")</f>
        <v>julho</v>
      </c>
      <c r="F236">
        <f t="shared" si="3"/>
        <v>2022</v>
      </c>
      <c r="G236" t="str">
        <f>IF(MONTH(Base_de_Dados[[#This Row],[Semana]])&lt;=6,"1ª Semestre","2ª Semestre")</f>
        <v>2ª Semestre</v>
      </c>
    </row>
    <row r="237" spans="1:7" x14ac:dyDescent="0.25">
      <c r="A237" t="s">
        <v>15</v>
      </c>
      <c r="B237">
        <v>0</v>
      </c>
      <c r="C237" s="3">
        <v>0</v>
      </c>
      <c r="D237" s="58">
        <v>44753</v>
      </c>
      <c r="E237" s="58" t="str">
        <f>TEXT(Base_de_Dados[[#This Row],[Semana]],"Mmmm")</f>
        <v>julho</v>
      </c>
      <c r="F237">
        <f t="shared" si="3"/>
        <v>2022</v>
      </c>
      <c r="G237" t="str">
        <f>IF(MONTH(Base_de_Dados[[#This Row],[Semana]])&lt;=6,"1ª Semestre","2ª Semestre")</f>
        <v>2ª Semestre</v>
      </c>
    </row>
    <row r="238" spans="1:7" x14ac:dyDescent="0.25">
      <c r="A238" t="s">
        <v>16</v>
      </c>
      <c r="B238">
        <v>0</v>
      </c>
      <c r="C238" s="3">
        <v>0</v>
      </c>
      <c r="D238" s="58">
        <v>44753</v>
      </c>
      <c r="E238" s="58" t="str">
        <f>TEXT(Base_de_Dados[[#This Row],[Semana]],"Mmmm")</f>
        <v>julho</v>
      </c>
      <c r="F238">
        <f t="shared" si="3"/>
        <v>2022</v>
      </c>
      <c r="G238" t="str">
        <f>IF(MONTH(Base_de_Dados[[#This Row],[Semana]])&lt;=6,"1ª Semestre","2ª Semestre")</f>
        <v>2ª Semestre</v>
      </c>
    </row>
    <row r="239" spans="1:7" x14ac:dyDescent="0.25">
      <c r="A239" t="s">
        <v>4</v>
      </c>
      <c r="B239">
        <v>1</v>
      </c>
      <c r="C239" s="3">
        <v>0.14285714285714285</v>
      </c>
      <c r="D239" s="58">
        <v>44760</v>
      </c>
      <c r="E239" s="58" t="str">
        <f>TEXT(Base_de_Dados[[#This Row],[Semana]],"Mmmm")</f>
        <v>julho</v>
      </c>
      <c r="F239">
        <f t="shared" si="3"/>
        <v>2022</v>
      </c>
      <c r="G239" t="str">
        <f>IF(MONTH(Base_de_Dados[[#This Row],[Semana]])&lt;=6,"1ª Semestre","2ª Semestre")</f>
        <v>2ª Semestre</v>
      </c>
    </row>
    <row r="240" spans="1:7" x14ac:dyDescent="0.25">
      <c r="A240" t="s">
        <v>5</v>
      </c>
      <c r="B240">
        <v>1</v>
      </c>
      <c r="C240" s="3">
        <v>0.14285714285714285</v>
      </c>
      <c r="D240" s="58">
        <v>44760</v>
      </c>
      <c r="E240" s="58" t="str">
        <f>TEXT(Base_de_Dados[[#This Row],[Semana]],"Mmmm")</f>
        <v>julho</v>
      </c>
      <c r="F240">
        <f t="shared" si="3"/>
        <v>2022</v>
      </c>
      <c r="G240" t="str">
        <f>IF(MONTH(Base_de_Dados[[#This Row],[Semana]])&lt;=6,"1ª Semestre","2ª Semestre")</f>
        <v>2ª Semestre</v>
      </c>
    </row>
    <row r="241" spans="1:7" x14ac:dyDescent="0.25">
      <c r="A241" t="s">
        <v>127</v>
      </c>
      <c r="B241">
        <v>1</v>
      </c>
      <c r="C241" s="3">
        <v>0.14285714285714285</v>
      </c>
      <c r="D241" s="58">
        <v>44760</v>
      </c>
      <c r="E241" s="58" t="str">
        <f>TEXT(Base_de_Dados[[#This Row],[Semana]],"Mmmm")</f>
        <v>julho</v>
      </c>
      <c r="F241">
        <f t="shared" si="3"/>
        <v>2022</v>
      </c>
      <c r="G241" t="str">
        <f>IF(MONTH(Base_de_Dados[[#This Row],[Semana]])&lt;=6,"1ª Semestre","2ª Semestre")</f>
        <v>2ª Semestre</v>
      </c>
    </row>
    <row r="242" spans="1:7" x14ac:dyDescent="0.25">
      <c r="A242" t="s">
        <v>7</v>
      </c>
      <c r="B242">
        <v>0</v>
      </c>
      <c r="C242" s="3">
        <v>0</v>
      </c>
      <c r="D242" s="58">
        <v>44760</v>
      </c>
      <c r="E242" s="58" t="str">
        <f>TEXT(Base_de_Dados[[#This Row],[Semana]],"Mmmm")</f>
        <v>julho</v>
      </c>
      <c r="F242">
        <f t="shared" si="3"/>
        <v>2022</v>
      </c>
      <c r="G242" t="str">
        <f>IF(MONTH(Base_de_Dados[[#This Row],[Semana]])&lt;=6,"1ª Semestre","2ª Semestre")</f>
        <v>2ª Semestre</v>
      </c>
    </row>
    <row r="243" spans="1:7" x14ac:dyDescent="0.25">
      <c r="A243" t="s">
        <v>30</v>
      </c>
      <c r="B243">
        <v>2</v>
      </c>
      <c r="C243" s="3">
        <v>0.2857142857142857</v>
      </c>
      <c r="D243" s="58">
        <v>44760</v>
      </c>
      <c r="E243" s="58" t="str">
        <f>TEXT(Base_de_Dados[[#This Row],[Semana]],"Mmmm")</f>
        <v>julho</v>
      </c>
      <c r="F243">
        <f t="shared" si="3"/>
        <v>2022</v>
      </c>
      <c r="G243" t="str">
        <f>IF(MONTH(Base_de_Dados[[#This Row],[Semana]])&lt;=6,"1ª Semestre","2ª Semestre")</f>
        <v>2ª Semestre</v>
      </c>
    </row>
    <row r="244" spans="1:7" x14ac:dyDescent="0.25">
      <c r="A244" t="s">
        <v>118</v>
      </c>
      <c r="B244">
        <v>0</v>
      </c>
      <c r="C244" s="3">
        <v>0</v>
      </c>
      <c r="D244" s="58">
        <v>44760</v>
      </c>
      <c r="E244" s="58" t="str">
        <f>TEXT(Base_de_Dados[[#This Row],[Semana]],"Mmmm")</f>
        <v>julho</v>
      </c>
      <c r="F244">
        <f t="shared" si="3"/>
        <v>2022</v>
      </c>
      <c r="G244" t="str">
        <f>IF(MONTH(Base_de_Dados[[#This Row],[Semana]])&lt;=6,"1ª Semestre","2ª Semestre")</f>
        <v>2ª Semestre</v>
      </c>
    </row>
    <row r="245" spans="1:7" x14ac:dyDescent="0.25">
      <c r="A245" t="s">
        <v>10</v>
      </c>
      <c r="B245">
        <v>0</v>
      </c>
      <c r="C245" s="3">
        <v>0</v>
      </c>
      <c r="D245" s="58">
        <v>44760</v>
      </c>
      <c r="E245" s="58" t="str">
        <f>TEXT(Base_de_Dados[[#This Row],[Semana]],"Mmmm")</f>
        <v>julho</v>
      </c>
      <c r="F245">
        <f t="shared" si="3"/>
        <v>2022</v>
      </c>
      <c r="G245" t="str">
        <f>IF(MONTH(Base_de_Dados[[#This Row],[Semana]])&lt;=6,"1ª Semestre","2ª Semestre")</f>
        <v>2ª Semestre</v>
      </c>
    </row>
    <row r="246" spans="1:7" x14ac:dyDescent="0.25">
      <c r="A246" t="s">
        <v>11</v>
      </c>
      <c r="B246">
        <v>0</v>
      </c>
      <c r="C246" s="3">
        <v>0</v>
      </c>
      <c r="D246" s="58">
        <v>44760</v>
      </c>
      <c r="E246" s="58" t="str">
        <f>TEXT(Base_de_Dados[[#This Row],[Semana]],"Mmmm")</f>
        <v>julho</v>
      </c>
      <c r="F246">
        <f t="shared" si="3"/>
        <v>2022</v>
      </c>
      <c r="G246" t="str">
        <f>IF(MONTH(Base_de_Dados[[#This Row],[Semana]])&lt;=6,"1ª Semestre","2ª Semestre")</f>
        <v>2ª Semestre</v>
      </c>
    </row>
    <row r="247" spans="1:7" x14ac:dyDescent="0.25">
      <c r="A247" t="s">
        <v>12</v>
      </c>
      <c r="B247">
        <v>0</v>
      </c>
      <c r="C247" s="3">
        <v>0</v>
      </c>
      <c r="D247" s="58">
        <v>44760</v>
      </c>
      <c r="E247" s="58" t="str">
        <f>TEXT(Base_de_Dados[[#This Row],[Semana]],"Mmmm")</f>
        <v>julho</v>
      </c>
      <c r="F247">
        <f t="shared" si="3"/>
        <v>2022</v>
      </c>
      <c r="G247" t="str">
        <f>IF(MONTH(Base_de_Dados[[#This Row],[Semana]])&lt;=6,"1ª Semestre","2ª Semestre")</f>
        <v>2ª Semestre</v>
      </c>
    </row>
    <row r="248" spans="1:7" x14ac:dyDescent="0.25">
      <c r="A248" t="s">
        <v>13</v>
      </c>
      <c r="B248">
        <v>0</v>
      </c>
      <c r="C248" s="3">
        <v>0</v>
      </c>
      <c r="D248" s="58">
        <v>44760</v>
      </c>
      <c r="E248" s="58" t="str">
        <f>TEXT(Base_de_Dados[[#This Row],[Semana]],"Mmmm")</f>
        <v>julho</v>
      </c>
      <c r="F248">
        <f t="shared" si="3"/>
        <v>2022</v>
      </c>
      <c r="G248" t="str">
        <f>IF(MONTH(Base_de_Dados[[#This Row],[Semana]])&lt;=6,"1ª Semestre","2ª Semestre")</f>
        <v>2ª Semestre</v>
      </c>
    </row>
    <row r="249" spans="1:7" x14ac:dyDescent="0.25">
      <c r="A249" t="s">
        <v>121</v>
      </c>
      <c r="B249">
        <v>2</v>
      </c>
      <c r="C249" s="3">
        <v>0.2857142857142857</v>
      </c>
      <c r="D249" s="58">
        <v>44760</v>
      </c>
      <c r="E249" s="58" t="str">
        <f>TEXT(Base_de_Dados[[#This Row],[Semana]],"Mmmm")</f>
        <v>julho</v>
      </c>
      <c r="F249">
        <f t="shared" si="3"/>
        <v>2022</v>
      </c>
      <c r="G249" t="str">
        <f>IF(MONTH(Base_de_Dados[[#This Row],[Semana]])&lt;=6,"1ª Semestre","2ª Semestre")</f>
        <v>2ª Semestre</v>
      </c>
    </row>
    <row r="250" spans="1:7" x14ac:dyDescent="0.25">
      <c r="A250" t="s">
        <v>15</v>
      </c>
      <c r="B250">
        <v>0</v>
      </c>
      <c r="C250" s="3">
        <v>0</v>
      </c>
      <c r="D250" s="58">
        <v>44760</v>
      </c>
      <c r="E250" s="58" t="str">
        <f>TEXT(Base_de_Dados[[#This Row],[Semana]],"Mmmm")</f>
        <v>julho</v>
      </c>
      <c r="F250">
        <f t="shared" si="3"/>
        <v>2022</v>
      </c>
      <c r="G250" t="str">
        <f>IF(MONTH(Base_de_Dados[[#This Row],[Semana]])&lt;=6,"1ª Semestre","2ª Semestre")</f>
        <v>2ª Semestre</v>
      </c>
    </row>
    <row r="251" spans="1:7" x14ac:dyDescent="0.25">
      <c r="A251" t="s">
        <v>16</v>
      </c>
      <c r="B251">
        <v>0</v>
      </c>
      <c r="C251" s="3">
        <v>0</v>
      </c>
      <c r="D251" s="58">
        <v>44760</v>
      </c>
      <c r="E251" s="58" t="str">
        <f>TEXT(Base_de_Dados[[#This Row],[Semana]],"Mmmm")</f>
        <v>julho</v>
      </c>
      <c r="F251">
        <f t="shared" si="3"/>
        <v>2022</v>
      </c>
      <c r="G251" t="str">
        <f>IF(MONTH(Base_de_Dados[[#This Row],[Semana]])&lt;=6,"1ª Semestre","2ª Semestre")</f>
        <v>2ª Semestre</v>
      </c>
    </row>
    <row r="252" spans="1:7" x14ac:dyDescent="0.25">
      <c r="A252" t="s">
        <v>166</v>
      </c>
      <c r="B252">
        <v>0</v>
      </c>
      <c r="C252" s="3">
        <v>0</v>
      </c>
      <c r="D252" s="58">
        <v>44760</v>
      </c>
      <c r="E252" s="58" t="str">
        <f>TEXT(Base_de_Dados[[#This Row],[Semana]],"Mmmm")</f>
        <v>julho</v>
      </c>
      <c r="F252">
        <f t="shared" si="3"/>
        <v>2022</v>
      </c>
      <c r="G252" t="str">
        <f>IF(MONTH(Base_de_Dados[[#This Row],[Semana]])&lt;=6,"1ª Semestre","2ª Semestre")</f>
        <v>2ª Semestre</v>
      </c>
    </row>
    <row r="253" spans="1:7" x14ac:dyDescent="0.25">
      <c r="A253" t="s">
        <v>4</v>
      </c>
      <c r="B253">
        <v>3</v>
      </c>
      <c r="C253" s="3">
        <v>0.2</v>
      </c>
      <c r="D253" s="58">
        <v>44767</v>
      </c>
      <c r="E253" s="58" t="str">
        <f>TEXT(Base_de_Dados[[#This Row],[Semana]],"Mmmm")</f>
        <v>julho</v>
      </c>
      <c r="F253">
        <f t="shared" si="3"/>
        <v>2022</v>
      </c>
      <c r="G253" t="str">
        <f>IF(MONTH(Base_de_Dados[[#This Row],[Semana]])&lt;=6,"1ª Semestre","2ª Semestre")</f>
        <v>2ª Semestre</v>
      </c>
    </row>
    <row r="254" spans="1:7" x14ac:dyDescent="0.25">
      <c r="A254" t="s">
        <v>5</v>
      </c>
      <c r="B254">
        <v>2</v>
      </c>
      <c r="C254" s="3">
        <v>0.13333333333333333</v>
      </c>
      <c r="D254" s="58">
        <v>44767</v>
      </c>
      <c r="E254" s="58" t="str">
        <f>TEXT(Base_de_Dados[[#This Row],[Semana]],"Mmmm")</f>
        <v>julho</v>
      </c>
      <c r="F254">
        <f t="shared" si="3"/>
        <v>2022</v>
      </c>
      <c r="G254" t="str">
        <f>IF(MONTH(Base_de_Dados[[#This Row],[Semana]])&lt;=6,"1ª Semestre","2ª Semestre")</f>
        <v>2ª Semestre</v>
      </c>
    </row>
    <row r="255" spans="1:7" x14ac:dyDescent="0.25">
      <c r="A255" t="s">
        <v>127</v>
      </c>
      <c r="B255">
        <v>0</v>
      </c>
      <c r="C255" s="3">
        <v>0</v>
      </c>
      <c r="D255" s="58">
        <v>44767</v>
      </c>
      <c r="E255" s="58" t="str">
        <f>TEXT(Base_de_Dados[[#This Row],[Semana]],"Mmmm")</f>
        <v>julho</v>
      </c>
      <c r="F255">
        <f t="shared" si="3"/>
        <v>2022</v>
      </c>
      <c r="G255" t="str">
        <f>IF(MONTH(Base_de_Dados[[#This Row],[Semana]])&lt;=6,"1ª Semestre","2ª Semestre")</f>
        <v>2ª Semestre</v>
      </c>
    </row>
    <row r="256" spans="1:7" x14ac:dyDescent="0.25">
      <c r="A256" t="s">
        <v>7</v>
      </c>
      <c r="B256">
        <v>2</v>
      </c>
      <c r="C256" s="3">
        <v>0.13333333333333333</v>
      </c>
      <c r="D256" s="58">
        <v>44767</v>
      </c>
      <c r="E256" s="58" t="str">
        <f>TEXT(Base_de_Dados[[#This Row],[Semana]],"Mmmm")</f>
        <v>julho</v>
      </c>
      <c r="F256">
        <f t="shared" si="3"/>
        <v>2022</v>
      </c>
      <c r="G256" t="str">
        <f>IF(MONTH(Base_de_Dados[[#This Row],[Semana]])&lt;=6,"1ª Semestre","2ª Semestre")</f>
        <v>2ª Semestre</v>
      </c>
    </row>
    <row r="257" spans="1:7" x14ac:dyDescent="0.25">
      <c r="A257" t="s">
        <v>30</v>
      </c>
      <c r="B257">
        <v>4</v>
      </c>
      <c r="C257" s="3">
        <v>0.26666666666666666</v>
      </c>
      <c r="D257" s="58">
        <v>44767</v>
      </c>
      <c r="E257" s="58" t="str">
        <f>TEXT(Base_de_Dados[[#This Row],[Semana]],"Mmmm")</f>
        <v>julho</v>
      </c>
      <c r="F257">
        <f t="shared" si="3"/>
        <v>2022</v>
      </c>
      <c r="G257" t="str">
        <f>IF(MONTH(Base_de_Dados[[#This Row],[Semana]])&lt;=6,"1ª Semestre","2ª Semestre")</f>
        <v>2ª Semestre</v>
      </c>
    </row>
    <row r="258" spans="1:7" x14ac:dyDescent="0.25">
      <c r="A258" t="s">
        <v>118</v>
      </c>
      <c r="B258">
        <v>1</v>
      </c>
      <c r="C258" s="3">
        <v>6.6666666666666666E-2</v>
      </c>
      <c r="D258" s="58">
        <v>44767</v>
      </c>
      <c r="E258" s="58" t="str">
        <f>TEXT(Base_de_Dados[[#This Row],[Semana]],"Mmmm")</f>
        <v>julho</v>
      </c>
      <c r="F258">
        <f t="shared" si="3"/>
        <v>2022</v>
      </c>
      <c r="G258" t="str">
        <f>IF(MONTH(Base_de_Dados[[#This Row],[Semana]])&lt;=6,"1ª Semestre","2ª Semestre")</f>
        <v>2ª Semestre</v>
      </c>
    </row>
    <row r="259" spans="1:7" x14ac:dyDescent="0.25">
      <c r="A259" t="s">
        <v>10</v>
      </c>
      <c r="B259">
        <v>0</v>
      </c>
      <c r="C259" s="3">
        <v>0</v>
      </c>
      <c r="D259" s="58">
        <v>44767</v>
      </c>
      <c r="E259" s="58" t="str">
        <f>TEXT(Base_de_Dados[[#This Row],[Semana]],"Mmmm")</f>
        <v>julho</v>
      </c>
      <c r="F259">
        <f t="shared" ref="F259:F322" si="4">YEAR(D259)</f>
        <v>2022</v>
      </c>
      <c r="G259" t="str">
        <f>IF(MONTH(Base_de_Dados[[#This Row],[Semana]])&lt;=6,"1ª Semestre","2ª Semestre")</f>
        <v>2ª Semestre</v>
      </c>
    </row>
    <row r="260" spans="1:7" x14ac:dyDescent="0.25">
      <c r="A260" t="s">
        <v>11</v>
      </c>
      <c r="B260">
        <v>0</v>
      </c>
      <c r="C260" s="3">
        <v>0</v>
      </c>
      <c r="D260" s="58">
        <v>44767</v>
      </c>
      <c r="E260" s="58" t="str">
        <f>TEXT(Base_de_Dados[[#This Row],[Semana]],"Mmmm")</f>
        <v>julho</v>
      </c>
      <c r="F260">
        <f t="shared" si="4"/>
        <v>2022</v>
      </c>
      <c r="G260" t="str">
        <f>IF(MONTH(Base_de_Dados[[#This Row],[Semana]])&lt;=6,"1ª Semestre","2ª Semestre")</f>
        <v>2ª Semestre</v>
      </c>
    </row>
    <row r="261" spans="1:7" x14ac:dyDescent="0.25">
      <c r="A261" t="s">
        <v>12</v>
      </c>
      <c r="B261">
        <v>0</v>
      </c>
      <c r="C261" s="3">
        <v>0</v>
      </c>
      <c r="D261" s="58">
        <v>44767</v>
      </c>
      <c r="E261" s="58" t="str">
        <f>TEXT(Base_de_Dados[[#This Row],[Semana]],"Mmmm")</f>
        <v>julho</v>
      </c>
      <c r="F261">
        <f t="shared" si="4"/>
        <v>2022</v>
      </c>
      <c r="G261" t="str">
        <f>IF(MONTH(Base_de_Dados[[#This Row],[Semana]])&lt;=6,"1ª Semestre","2ª Semestre")</f>
        <v>2ª Semestre</v>
      </c>
    </row>
    <row r="262" spans="1:7" x14ac:dyDescent="0.25">
      <c r="A262" t="s">
        <v>13</v>
      </c>
      <c r="B262">
        <v>0</v>
      </c>
      <c r="C262" s="3">
        <v>0</v>
      </c>
      <c r="D262" s="58">
        <v>44767</v>
      </c>
      <c r="E262" s="58" t="str">
        <f>TEXT(Base_de_Dados[[#This Row],[Semana]],"Mmmm")</f>
        <v>julho</v>
      </c>
      <c r="F262">
        <f t="shared" si="4"/>
        <v>2022</v>
      </c>
      <c r="G262" t="str">
        <f>IF(MONTH(Base_de_Dados[[#This Row],[Semana]])&lt;=6,"1ª Semestre","2ª Semestre")</f>
        <v>2ª Semestre</v>
      </c>
    </row>
    <row r="263" spans="1:7" x14ac:dyDescent="0.25">
      <c r="A263" t="s">
        <v>121</v>
      </c>
      <c r="B263">
        <v>0</v>
      </c>
      <c r="C263" s="3">
        <v>0</v>
      </c>
      <c r="D263" s="58">
        <v>44767</v>
      </c>
      <c r="E263" s="58" t="str">
        <f>TEXT(Base_de_Dados[[#This Row],[Semana]],"Mmmm")</f>
        <v>julho</v>
      </c>
      <c r="F263">
        <f t="shared" si="4"/>
        <v>2022</v>
      </c>
      <c r="G263" t="str">
        <f>IF(MONTH(Base_de_Dados[[#This Row],[Semana]])&lt;=6,"1ª Semestre","2ª Semestre")</f>
        <v>2ª Semestre</v>
      </c>
    </row>
    <row r="264" spans="1:7" x14ac:dyDescent="0.25">
      <c r="A264" t="s">
        <v>15</v>
      </c>
      <c r="B264">
        <v>0</v>
      </c>
      <c r="C264" s="3">
        <v>0</v>
      </c>
      <c r="D264" s="58">
        <v>44767</v>
      </c>
      <c r="E264" s="58" t="str">
        <f>TEXT(Base_de_Dados[[#This Row],[Semana]],"Mmmm")</f>
        <v>julho</v>
      </c>
      <c r="F264">
        <f t="shared" si="4"/>
        <v>2022</v>
      </c>
      <c r="G264" t="str">
        <f>IF(MONTH(Base_de_Dados[[#This Row],[Semana]])&lt;=6,"1ª Semestre","2ª Semestre")</f>
        <v>2ª Semestre</v>
      </c>
    </row>
    <row r="265" spans="1:7" x14ac:dyDescent="0.25">
      <c r="A265" t="s">
        <v>16</v>
      </c>
      <c r="B265">
        <v>1</v>
      </c>
      <c r="C265" s="3">
        <v>6.6666666666666666E-2</v>
      </c>
      <c r="D265" s="58">
        <v>44767</v>
      </c>
      <c r="E265" s="58" t="str">
        <f>TEXT(Base_de_Dados[[#This Row],[Semana]],"Mmmm")</f>
        <v>julho</v>
      </c>
      <c r="F265">
        <f t="shared" si="4"/>
        <v>2022</v>
      </c>
      <c r="G265" t="str">
        <f>IF(MONTH(Base_de_Dados[[#This Row],[Semana]])&lt;=6,"1ª Semestre","2ª Semestre")</f>
        <v>2ª Semestre</v>
      </c>
    </row>
    <row r="266" spans="1:7" x14ac:dyDescent="0.25">
      <c r="A266" t="s">
        <v>166</v>
      </c>
      <c r="B266">
        <v>2</v>
      </c>
      <c r="C266" s="3">
        <v>0.13333333333333333</v>
      </c>
      <c r="D266" s="58">
        <v>44767</v>
      </c>
      <c r="E266" s="58" t="str">
        <f>TEXT(Base_de_Dados[[#This Row],[Semana]],"Mmmm")</f>
        <v>julho</v>
      </c>
      <c r="F266">
        <f t="shared" si="4"/>
        <v>2022</v>
      </c>
      <c r="G266" t="str">
        <f>IF(MONTH(Base_de_Dados[[#This Row],[Semana]])&lt;=6,"1ª Semestre","2ª Semestre")</f>
        <v>2ª Semestre</v>
      </c>
    </row>
    <row r="267" spans="1:7" x14ac:dyDescent="0.25">
      <c r="A267" t="s">
        <v>4</v>
      </c>
      <c r="B267">
        <v>4</v>
      </c>
      <c r="C267" s="3">
        <v>0.4</v>
      </c>
      <c r="D267" s="58">
        <v>44774</v>
      </c>
      <c r="E267" s="58" t="str">
        <f>TEXT(Base_de_Dados[[#This Row],[Semana]],"Mmmm")</f>
        <v>agosto</v>
      </c>
      <c r="F267">
        <f t="shared" si="4"/>
        <v>2022</v>
      </c>
      <c r="G267" t="str">
        <f>IF(MONTH(Base_de_Dados[[#This Row],[Semana]])&lt;=6,"1ª Semestre","2ª Semestre")</f>
        <v>2ª Semestre</v>
      </c>
    </row>
    <row r="268" spans="1:7" x14ac:dyDescent="0.25">
      <c r="A268" t="s">
        <v>5</v>
      </c>
      <c r="B268">
        <v>0</v>
      </c>
      <c r="C268" s="3">
        <v>0</v>
      </c>
      <c r="D268" s="58">
        <v>44774</v>
      </c>
      <c r="E268" s="58" t="str">
        <f>TEXT(Base_de_Dados[[#This Row],[Semana]],"Mmmm")</f>
        <v>agosto</v>
      </c>
      <c r="F268">
        <f t="shared" si="4"/>
        <v>2022</v>
      </c>
      <c r="G268" t="str">
        <f>IF(MONTH(Base_de_Dados[[#This Row],[Semana]])&lt;=6,"1ª Semestre","2ª Semestre")</f>
        <v>2ª Semestre</v>
      </c>
    </row>
    <row r="269" spans="1:7" x14ac:dyDescent="0.25">
      <c r="A269" t="s">
        <v>127</v>
      </c>
      <c r="B269">
        <v>1</v>
      </c>
      <c r="C269" s="3">
        <v>0.1</v>
      </c>
      <c r="D269" s="58">
        <v>44774</v>
      </c>
      <c r="E269" s="58" t="str">
        <f>TEXT(Base_de_Dados[[#This Row],[Semana]],"Mmmm")</f>
        <v>agosto</v>
      </c>
      <c r="F269">
        <f t="shared" si="4"/>
        <v>2022</v>
      </c>
      <c r="G269" t="str">
        <f>IF(MONTH(Base_de_Dados[[#This Row],[Semana]])&lt;=6,"1ª Semestre","2ª Semestre")</f>
        <v>2ª Semestre</v>
      </c>
    </row>
    <row r="270" spans="1:7" x14ac:dyDescent="0.25">
      <c r="A270" t="s">
        <v>7</v>
      </c>
      <c r="B270">
        <v>0</v>
      </c>
      <c r="C270" s="3">
        <v>0</v>
      </c>
      <c r="D270" s="58">
        <v>44774</v>
      </c>
      <c r="E270" s="58" t="str">
        <f>TEXT(Base_de_Dados[[#This Row],[Semana]],"Mmmm")</f>
        <v>agosto</v>
      </c>
      <c r="F270">
        <f t="shared" si="4"/>
        <v>2022</v>
      </c>
      <c r="G270" t="str">
        <f>IF(MONTH(Base_de_Dados[[#This Row],[Semana]])&lt;=6,"1ª Semestre","2ª Semestre")</f>
        <v>2ª Semestre</v>
      </c>
    </row>
    <row r="271" spans="1:7" x14ac:dyDescent="0.25">
      <c r="A271" t="s">
        <v>30</v>
      </c>
      <c r="B271">
        <v>2</v>
      </c>
      <c r="C271" s="3">
        <v>0.2</v>
      </c>
      <c r="D271" s="58">
        <v>44774</v>
      </c>
      <c r="E271" s="58" t="str">
        <f>TEXT(Base_de_Dados[[#This Row],[Semana]],"Mmmm")</f>
        <v>agosto</v>
      </c>
      <c r="F271">
        <f t="shared" si="4"/>
        <v>2022</v>
      </c>
      <c r="G271" t="str">
        <f>IF(MONTH(Base_de_Dados[[#This Row],[Semana]])&lt;=6,"1ª Semestre","2ª Semestre")</f>
        <v>2ª Semestre</v>
      </c>
    </row>
    <row r="272" spans="1:7" x14ac:dyDescent="0.25">
      <c r="A272" t="s">
        <v>118</v>
      </c>
      <c r="B272">
        <v>2</v>
      </c>
      <c r="C272" s="3">
        <v>0.2</v>
      </c>
      <c r="D272" s="58">
        <v>44774</v>
      </c>
      <c r="E272" s="58" t="str">
        <f>TEXT(Base_de_Dados[[#This Row],[Semana]],"Mmmm")</f>
        <v>agosto</v>
      </c>
      <c r="F272">
        <f t="shared" si="4"/>
        <v>2022</v>
      </c>
      <c r="G272" t="str">
        <f>IF(MONTH(Base_de_Dados[[#This Row],[Semana]])&lt;=6,"1ª Semestre","2ª Semestre")</f>
        <v>2ª Semestre</v>
      </c>
    </row>
    <row r="273" spans="1:7" x14ac:dyDescent="0.25">
      <c r="A273" t="s">
        <v>10</v>
      </c>
      <c r="B273">
        <v>1</v>
      </c>
      <c r="C273" s="3">
        <v>0.1</v>
      </c>
      <c r="D273" s="58">
        <v>44774</v>
      </c>
      <c r="E273" s="58" t="str">
        <f>TEXT(Base_de_Dados[[#This Row],[Semana]],"Mmmm")</f>
        <v>agosto</v>
      </c>
      <c r="F273">
        <f t="shared" si="4"/>
        <v>2022</v>
      </c>
      <c r="G273" t="str">
        <f>IF(MONTH(Base_de_Dados[[#This Row],[Semana]])&lt;=6,"1ª Semestre","2ª Semestre")</f>
        <v>2ª Semestre</v>
      </c>
    </row>
    <row r="274" spans="1:7" x14ac:dyDescent="0.25">
      <c r="A274" t="s">
        <v>11</v>
      </c>
      <c r="B274">
        <v>0</v>
      </c>
      <c r="C274" s="3">
        <v>0</v>
      </c>
      <c r="D274" s="58">
        <v>44774</v>
      </c>
      <c r="E274" s="58" t="str">
        <f>TEXT(Base_de_Dados[[#This Row],[Semana]],"Mmmm")</f>
        <v>agosto</v>
      </c>
      <c r="F274">
        <f t="shared" si="4"/>
        <v>2022</v>
      </c>
      <c r="G274" t="str">
        <f>IF(MONTH(Base_de_Dados[[#This Row],[Semana]])&lt;=6,"1ª Semestre","2ª Semestre")</f>
        <v>2ª Semestre</v>
      </c>
    </row>
    <row r="275" spans="1:7" x14ac:dyDescent="0.25">
      <c r="A275" t="s">
        <v>12</v>
      </c>
      <c r="B275">
        <v>0</v>
      </c>
      <c r="C275" s="3">
        <v>0</v>
      </c>
      <c r="D275" s="58">
        <v>44774</v>
      </c>
      <c r="E275" s="58" t="str">
        <f>TEXT(Base_de_Dados[[#This Row],[Semana]],"Mmmm")</f>
        <v>agosto</v>
      </c>
      <c r="F275">
        <f t="shared" si="4"/>
        <v>2022</v>
      </c>
      <c r="G275" t="str">
        <f>IF(MONTH(Base_de_Dados[[#This Row],[Semana]])&lt;=6,"1ª Semestre","2ª Semestre")</f>
        <v>2ª Semestre</v>
      </c>
    </row>
    <row r="276" spans="1:7" x14ac:dyDescent="0.25">
      <c r="A276" t="s">
        <v>13</v>
      </c>
      <c r="B276">
        <v>0</v>
      </c>
      <c r="C276" s="3">
        <v>0</v>
      </c>
      <c r="D276" s="58">
        <v>44774</v>
      </c>
      <c r="E276" s="58" t="str">
        <f>TEXT(Base_de_Dados[[#This Row],[Semana]],"Mmmm")</f>
        <v>agosto</v>
      </c>
      <c r="F276">
        <f t="shared" si="4"/>
        <v>2022</v>
      </c>
      <c r="G276" t="str">
        <f>IF(MONTH(Base_de_Dados[[#This Row],[Semana]])&lt;=6,"1ª Semestre","2ª Semestre")</f>
        <v>2ª Semestre</v>
      </c>
    </row>
    <row r="277" spans="1:7" x14ac:dyDescent="0.25">
      <c r="A277" t="s">
        <v>121</v>
      </c>
      <c r="B277">
        <v>0</v>
      </c>
      <c r="C277" s="3">
        <v>0</v>
      </c>
      <c r="D277" s="58">
        <v>44774</v>
      </c>
      <c r="E277" s="58" t="str">
        <f>TEXT(Base_de_Dados[[#This Row],[Semana]],"Mmmm")</f>
        <v>agosto</v>
      </c>
      <c r="F277">
        <f t="shared" si="4"/>
        <v>2022</v>
      </c>
      <c r="G277" t="str">
        <f>IF(MONTH(Base_de_Dados[[#This Row],[Semana]])&lt;=6,"1ª Semestre","2ª Semestre")</f>
        <v>2ª Semestre</v>
      </c>
    </row>
    <row r="278" spans="1:7" x14ac:dyDescent="0.25">
      <c r="A278" t="s">
        <v>15</v>
      </c>
      <c r="B278">
        <v>0</v>
      </c>
      <c r="C278" s="3">
        <v>0</v>
      </c>
      <c r="D278" s="58">
        <v>44774</v>
      </c>
      <c r="E278" s="58" t="str">
        <f>TEXT(Base_de_Dados[[#This Row],[Semana]],"Mmmm")</f>
        <v>agosto</v>
      </c>
      <c r="F278">
        <f t="shared" si="4"/>
        <v>2022</v>
      </c>
      <c r="G278" t="str">
        <f>IF(MONTH(Base_de_Dados[[#This Row],[Semana]])&lt;=6,"1ª Semestre","2ª Semestre")</f>
        <v>2ª Semestre</v>
      </c>
    </row>
    <row r="279" spans="1:7" x14ac:dyDescent="0.25">
      <c r="A279" t="s">
        <v>16</v>
      </c>
      <c r="B279">
        <v>0</v>
      </c>
      <c r="C279" s="3">
        <v>0</v>
      </c>
      <c r="D279" s="58">
        <v>44774</v>
      </c>
      <c r="E279" s="58" t="str">
        <f>TEXT(Base_de_Dados[[#This Row],[Semana]],"Mmmm")</f>
        <v>agosto</v>
      </c>
      <c r="F279">
        <f t="shared" si="4"/>
        <v>2022</v>
      </c>
      <c r="G279" t="str">
        <f>IF(MONTH(Base_de_Dados[[#This Row],[Semana]])&lt;=6,"1ª Semestre","2ª Semestre")</f>
        <v>2ª Semestre</v>
      </c>
    </row>
    <row r="280" spans="1:7" x14ac:dyDescent="0.25">
      <c r="A280" t="s">
        <v>166</v>
      </c>
      <c r="B280">
        <v>0</v>
      </c>
      <c r="C280" s="3">
        <v>0</v>
      </c>
      <c r="D280" s="58">
        <v>44774</v>
      </c>
      <c r="E280" s="58" t="str">
        <f>TEXT(Base_de_Dados[[#This Row],[Semana]],"Mmmm")</f>
        <v>agosto</v>
      </c>
      <c r="F280">
        <f t="shared" si="4"/>
        <v>2022</v>
      </c>
      <c r="G280" t="str">
        <f>IF(MONTH(Base_de_Dados[[#This Row],[Semana]])&lt;=6,"1ª Semestre","2ª Semestre")</f>
        <v>2ª Semestre</v>
      </c>
    </row>
    <row r="281" spans="1:7" x14ac:dyDescent="0.25">
      <c r="A281" t="s">
        <v>168</v>
      </c>
      <c r="B281">
        <v>1</v>
      </c>
      <c r="C281" s="3">
        <v>0.1</v>
      </c>
      <c r="D281" s="58">
        <v>44774</v>
      </c>
      <c r="E281" s="58" t="str">
        <f>TEXT(Base_de_Dados[[#This Row],[Semana]],"Mmmm")</f>
        <v>agosto</v>
      </c>
      <c r="F281">
        <f t="shared" si="4"/>
        <v>2022</v>
      </c>
      <c r="G281" t="str">
        <f>IF(MONTH(Base_de_Dados[[#This Row],[Semana]])&lt;=6,"1ª Semestre","2ª Semestre")</f>
        <v>2ª Semestre</v>
      </c>
    </row>
    <row r="282" spans="1:7" x14ac:dyDescent="0.25">
      <c r="A282" t="s">
        <v>4</v>
      </c>
      <c r="B282">
        <v>2</v>
      </c>
      <c r="C282" s="3">
        <v>0.18181818181818182</v>
      </c>
      <c r="D282" s="58">
        <v>44781</v>
      </c>
      <c r="E282" s="58" t="str">
        <f>TEXT(Base_de_Dados[[#This Row],[Semana]],"Mmmm")</f>
        <v>agosto</v>
      </c>
      <c r="F282">
        <f t="shared" si="4"/>
        <v>2022</v>
      </c>
      <c r="G282" t="str">
        <f>IF(MONTH(Base_de_Dados[[#This Row],[Semana]])&lt;=6,"1ª Semestre","2ª Semestre")</f>
        <v>2ª Semestre</v>
      </c>
    </row>
    <row r="283" spans="1:7" x14ac:dyDescent="0.25">
      <c r="A283" t="s">
        <v>5</v>
      </c>
      <c r="B283">
        <v>2</v>
      </c>
      <c r="C283" s="3">
        <v>0.18181818181818182</v>
      </c>
      <c r="D283" s="58">
        <v>44781</v>
      </c>
      <c r="E283" s="58" t="str">
        <f>TEXT(Base_de_Dados[[#This Row],[Semana]],"Mmmm")</f>
        <v>agosto</v>
      </c>
      <c r="F283">
        <f t="shared" si="4"/>
        <v>2022</v>
      </c>
      <c r="G283" t="str">
        <f>IF(MONTH(Base_de_Dados[[#This Row],[Semana]])&lt;=6,"1ª Semestre","2ª Semestre")</f>
        <v>2ª Semestre</v>
      </c>
    </row>
    <row r="284" spans="1:7" x14ac:dyDescent="0.25">
      <c r="A284" t="s">
        <v>127</v>
      </c>
      <c r="B284">
        <v>0</v>
      </c>
      <c r="C284" s="3">
        <v>0</v>
      </c>
      <c r="D284" s="58">
        <v>44781</v>
      </c>
      <c r="E284" s="58" t="str">
        <f>TEXT(Base_de_Dados[[#This Row],[Semana]],"Mmmm")</f>
        <v>agosto</v>
      </c>
      <c r="F284">
        <f t="shared" si="4"/>
        <v>2022</v>
      </c>
      <c r="G284" t="str">
        <f>IF(MONTH(Base_de_Dados[[#This Row],[Semana]])&lt;=6,"1ª Semestre","2ª Semestre")</f>
        <v>2ª Semestre</v>
      </c>
    </row>
    <row r="285" spans="1:7" x14ac:dyDescent="0.25">
      <c r="A285" t="s">
        <v>7</v>
      </c>
      <c r="B285">
        <v>1</v>
      </c>
      <c r="C285" s="3">
        <v>9.0909090909090912E-2</v>
      </c>
      <c r="D285" s="58">
        <v>44781</v>
      </c>
      <c r="E285" s="58" t="str">
        <f>TEXT(Base_de_Dados[[#This Row],[Semana]],"Mmmm")</f>
        <v>agosto</v>
      </c>
      <c r="F285">
        <f t="shared" si="4"/>
        <v>2022</v>
      </c>
      <c r="G285" t="str">
        <f>IF(MONTH(Base_de_Dados[[#This Row],[Semana]])&lt;=6,"1ª Semestre","2ª Semestre")</f>
        <v>2ª Semestre</v>
      </c>
    </row>
    <row r="286" spans="1:7" x14ac:dyDescent="0.25">
      <c r="A286" t="s">
        <v>30</v>
      </c>
      <c r="B286">
        <v>1</v>
      </c>
      <c r="C286" s="3">
        <v>9.0909090909090912E-2</v>
      </c>
      <c r="D286" s="58">
        <v>44781</v>
      </c>
      <c r="E286" s="58" t="str">
        <f>TEXT(Base_de_Dados[[#This Row],[Semana]],"Mmmm")</f>
        <v>agosto</v>
      </c>
      <c r="F286">
        <f t="shared" si="4"/>
        <v>2022</v>
      </c>
      <c r="G286" t="str">
        <f>IF(MONTH(Base_de_Dados[[#This Row],[Semana]])&lt;=6,"1ª Semestre","2ª Semestre")</f>
        <v>2ª Semestre</v>
      </c>
    </row>
    <row r="287" spans="1:7" x14ac:dyDescent="0.25">
      <c r="A287" t="s">
        <v>118</v>
      </c>
      <c r="B287">
        <v>0</v>
      </c>
      <c r="C287" s="3">
        <v>0</v>
      </c>
      <c r="D287" s="58">
        <v>44781</v>
      </c>
      <c r="E287" s="58" t="str">
        <f>TEXT(Base_de_Dados[[#This Row],[Semana]],"Mmmm")</f>
        <v>agosto</v>
      </c>
      <c r="F287">
        <f t="shared" si="4"/>
        <v>2022</v>
      </c>
      <c r="G287" t="str">
        <f>IF(MONTH(Base_de_Dados[[#This Row],[Semana]])&lt;=6,"1ª Semestre","2ª Semestre")</f>
        <v>2ª Semestre</v>
      </c>
    </row>
    <row r="288" spans="1:7" x14ac:dyDescent="0.25">
      <c r="A288" t="s">
        <v>10</v>
      </c>
      <c r="B288">
        <v>2</v>
      </c>
      <c r="C288" s="3">
        <v>0.18181818181818182</v>
      </c>
      <c r="D288" s="58">
        <v>44781</v>
      </c>
      <c r="E288" s="58" t="str">
        <f>TEXT(Base_de_Dados[[#This Row],[Semana]],"Mmmm")</f>
        <v>agosto</v>
      </c>
      <c r="F288">
        <f t="shared" si="4"/>
        <v>2022</v>
      </c>
      <c r="G288" t="str">
        <f>IF(MONTH(Base_de_Dados[[#This Row],[Semana]])&lt;=6,"1ª Semestre","2ª Semestre")</f>
        <v>2ª Semestre</v>
      </c>
    </row>
    <row r="289" spans="1:7" x14ac:dyDescent="0.25">
      <c r="A289" t="s">
        <v>11</v>
      </c>
      <c r="B289">
        <v>0</v>
      </c>
      <c r="C289" s="3">
        <v>0</v>
      </c>
      <c r="D289" s="58">
        <v>44781</v>
      </c>
      <c r="E289" s="58" t="str">
        <f>TEXT(Base_de_Dados[[#This Row],[Semana]],"Mmmm")</f>
        <v>agosto</v>
      </c>
      <c r="F289">
        <f t="shared" si="4"/>
        <v>2022</v>
      </c>
      <c r="G289" t="str">
        <f>IF(MONTH(Base_de_Dados[[#This Row],[Semana]])&lt;=6,"1ª Semestre","2ª Semestre")</f>
        <v>2ª Semestre</v>
      </c>
    </row>
    <row r="290" spans="1:7" x14ac:dyDescent="0.25">
      <c r="A290" t="s">
        <v>12</v>
      </c>
      <c r="B290">
        <v>0</v>
      </c>
      <c r="C290" s="3">
        <v>0</v>
      </c>
      <c r="D290" s="58">
        <v>44781</v>
      </c>
      <c r="E290" s="58" t="str">
        <f>TEXT(Base_de_Dados[[#This Row],[Semana]],"Mmmm")</f>
        <v>agosto</v>
      </c>
      <c r="F290">
        <f t="shared" si="4"/>
        <v>2022</v>
      </c>
      <c r="G290" t="str">
        <f>IF(MONTH(Base_de_Dados[[#This Row],[Semana]])&lt;=6,"1ª Semestre","2ª Semestre")</f>
        <v>2ª Semestre</v>
      </c>
    </row>
    <row r="291" spans="1:7" x14ac:dyDescent="0.25">
      <c r="A291" t="s">
        <v>13</v>
      </c>
      <c r="B291">
        <v>1</v>
      </c>
      <c r="C291" s="3">
        <v>9.0909090909090912E-2</v>
      </c>
      <c r="D291" s="58">
        <v>44781</v>
      </c>
      <c r="E291" s="58" t="str">
        <f>TEXT(Base_de_Dados[[#This Row],[Semana]],"Mmmm")</f>
        <v>agosto</v>
      </c>
      <c r="F291">
        <f t="shared" si="4"/>
        <v>2022</v>
      </c>
      <c r="G291" t="str">
        <f>IF(MONTH(Base_de_Dados[[#This Row],[Semana]])&lt;=6,"1ª Semestre","2ª Semestre")</f>
        <v>2ª Semestre</v>
      </c>
    </row>
    <row r="292" spans="1:7" x14ac:dyDescent="0.25">
      <c r="A292" t="s">
        <v>121</v>
      </c>
      <c r="B292">
        <v>0</v>
      </c>
      <c r="C292" s="3">
        <v>0</v>
      </c>
      <c r="D292" s="58">
        <v>44781</v>
      </c>
      <c r="E292" s="58" t="str">
        <f>TEXT(Base_de_Dados[[#This Row],[Semana]],"Mmmm")</f>
        <v>agosto</v>
      </c>
      <c r="F292">
        <f t="shared" si="4"/>
        <v>2022</v>
      </c>
      <c r="G292" t="str">
        <f>IF(MONTH(Base_de_Dados[[#This Row],[Semana]])&lt;=6,"1ª Semestre","2ª Semestre")</f>
        <v>2ª Semestre</v>
      </c>
    </row>
    <row r="293" spans="1:7" x14ac:dyDescent="0.25">
      <c r="A293" t="s">
        <v>15</v>
      </c>
      <c r="B293">
        <v>1</v>
      </c>
      <c r="C293" s="3">
        <v>9.0909090909090912E-2</v>
      </c>
      <c r="D293" s="58">
        <v>44781</v>
      </c>
      <c r="E293" s="58" t="str">
        <f>TEXT(Base_de_Dados[[#This Row],[Semana]],"Mmmm")</f>
        <v>agosto</v>
      </c>
      <c r="F293">
        <f t="shared" si="4"/>
        <v>2022</v>
      </c>
      <c r="G293" t="str">
        <f>IF(MONTH(Base_de_Dados[[#This Row],[Semana]])&lt;=6,"1ª Semestre","2ª Semestre")</f>
        <v>2ª Semestre</v>
      </c>
    </row>
    <row r="294" spans="1:7" x14ac:dyDescent="0.25">
      <c r="A294" t="s">
        <v>16</v>
      </c>
      <c r="B294">
        <v>1</v>
      </c>
      <c r="C294" s="3">
        <v>9.0909090909090912E-2</v>
      </c>
      <c r="D294" s="58">
        <v>44781</v>
      </c>
      <c r="E294" s="58" t="str">
        <f>TEXT(Base_de_Dados[[#This Row],[Semana]],"Mmmm")</f>
        <v>agosto</v>
      </c>
      <c r="F294">
        <f t="shared" si="4"/>
        <v>2022</v>
      </c>
      <c r="G294" t="str">
        <f>IF(MONTH(Base_de_Dados[[#This Row],[Semana]])&lt;=6,"1ª Semestre","2ª Semestre")</f>
        <v>2ª Semestre</v>
      </c>
    </row>
    <row r="295" spans="1:7" x14ac:dyDescent="0.25">
      <c r="A295" t="s">
        <v>166</v>
      </c>
      <c r="B295">
        <v>0</v>
      </c>
      <c r="C295" s="3">
        <v>0</v>
      </c>
      <c r="D295" s="58">
        <v>44781</v>
      </c>
      <c r="E295" s="58" t="str">
        <f>TEXT(Base_de_Dados[[#This Row],[Semana]],"Mmmm")</f>
        <v>agosto</v>
      </c>
      <c r="F295">
        <f t="shared" si="4"/>
        <v>2022</v>
      </c>
      <c r="G295" t="str">
        <f>IF(MONTH(Base_de_Dados[[#This Row],[Semana]])&lt;=6,"1ª Semestre","2ª Semestre")</f>
        <v>2ª Semestre</v>
      </c>
    </row>
    <row r="296" spans="1:7" x14ac:dyDescent="0.25">
      <c r="A296" t="s">
        <v>168</v>
      </c>
      <c r="B296">
        <v>0</v>
      </c>
      <c r="C296" s="3">
        <v>0</v>
      </c>
      <c r="D296" s="58">
        <v>44781</v>
      </c>
      <c r="E296" s="58" t="str">
        <f>TEXT(Base_de_Dados[[#This Row],[Semana]],"Mmmm")</f>
        <v>agosto</v>
      </c>
      <c r="F296">
        <f t="shared" si="4"/>
        <v>2022</v>
      </c>
      <c r="G296" t="str">
        <f>IF(MONTH(Base_de_Dados[[#This Row],[Semana]])&lt;=6,"1ª Semestre","2ª Semestre")</f>
        <v>2ª Semestre</v>
      </c>
    </row>
    <row r="297" spans="1:7" x14ac:dyDescent="0.25">
      <c r="A297" t="s">
        <v>4</v>
      </c>
      <c r="B297">
        <v>0</v>
      </c>
      <c r="C297" s="3">
        <v>0</v>
      </c>
      <c r="D297" s="58">
        <v>44788</v>
      </c>
      <c r="E297" s="58" t="str">
        <f>TEXT(Base_de_Dados[[#This Row],[Semana]],"Mmmm")</f>
        <v>agosto</v>
      </c>
      <c r="F297">
        <f t="shared" si="4"/>
        <v>2022</v>
      </c>
      <c r="G297" t="str">
        <f>IF(MONTH(Base_de_Dados[[#This Row],[Semana]])&lt;=6,"1ª Semestre","2ª Semestre")</f>
        <v>2ª Semestre</v>
      </c>
    </row>
    <row r="298" spans="1:7" x14ac:dyDescent="0.25">
      <c r="A298" t="s">
        <v>5</v>
      </c>
      <c r="B298">
        <v>3</v>
      </c>
      <c r="C298" s="3">
        <v>0.25</v>
      </c>
      <c r="D298" s="58">
        <v>44788</v>
      </c>
      <c r="E298" s="58" t="str">
        <f>TEXT(Base_de_Dados[[#This Row],[Semana]],"Mmmm")</f>
        <v>agosto</v>
      </c>
      <c r="F298">
        <f t="shared" si="4"/>
        <v>2022</v>
      </c>
      <c r="G298" t="str">
        <f>IF(MONTH(Base_de_Dados[[#This Row],[Semana]])&lt;=6,"1ª Semestre","2ª Semestre")</f>
        <v>2ª Semestre</v>
      </c>
    </row>
    <row r="299" spans="1:7" x14ac:dyDescent="0.25">
      <c r="A299" t="s">
        <v>127</v>
      </c>
      <c r="B299">
        <v>0</v>
      </c>
      <c r="C299" s="3">
        <v>0</v>
      </c>
      <c r="D299" s="58">
        <v>44788</v>
      </c>
      <c r="E299" s="58" t="str">
        <f>TEXT(Base_de_Dados[[#This Row],[Semana]],"Mmmm")</f>
        <v>agosto</v>
      </c>
      <c r="F299">
        <f t="shared" si="4"/>
        <v>2022</v>
      </c>
      <c r="G299" t="str">
        <f>IF(MONTH(Base_de_Dados[[#This Row],[Semana]])&lt;=6,"1ª Semestre","2ª Semestre")</f>
        <v>2ª Semestre</v>
      </c>
    </row>
    <row r="300" spans="1:7" x14ac:dyDescent="0.25">
      <c r="A300" t="s">
        <v>7</v>
      </c>
      <c r="B300">
        <v>1</v>
      </c>
      <c r="C300" s="3">
        <v>8.3333333333333329E-2</v>
      </c>
      <c r="D300" s="58">
        <v>44788</v>
      </c>
      <c r="E300" s="58" t="str">
        <f>TEXT(Base_de_Dados[[#This Row],[Semana]],"Mmmm")</f>
        <v>agosto</v>
      </c>
      <c r="F300">
        <f t="shared" si="4"/>
        <v>2022</v>
      </c>
      <c r="G300" t="str">
        <f>IF(MONTH(Base_de_Dados[[#This Row],[Semana]])&lt;=6,"1ª Semestre","2ª Semestre")</f>
        <v>2ª Semestre</v>
      </c>
    </row>
    <row r="301" spans="1:7" x14ac:dyDescent="0.25">
      <c r="A301" t="s">
        <v>30</v>
      </c>
      <c r="B301">
        <v>3</v>
      </c>
      <c r="C301" s="3">
        <v>0.25</v>
      </c>
      <c r="D301" s="58">
        <v>44788</v>
      </c>
      <c r="E301" s="58" t="str">
        <f>TEXT(Base_de_Dados[[#This Row],[Semana]],"Mmmm")</f>
        <v>agosto</v>
      </c>
      <c r="F301">
        <f t="shared" si="4"/>
        <v>2022</v>
      </c>
      <c r="G301" t="str">
        <f>IF(MONTH(Base_de_Dados[[#This Row],[Semana]])&lt;=6,"1ª Semestre","2ª Semestre")</f>
        <v>2ª Semestre</v>
      </c>
    </row>
    <row r="302" spans="1:7" x14ac:dyDescent="0.25">
      <c r="A302" t="s">
        <v>118</v>
      </c>
      <c r="B302">
        <v>0</v>
      </c>
      <c r="C302" s="3">
        <v>0</v>
      </c>
      <c r="D302" s="58">
        <v>44788</v>
      </c>
      <c r="E302" s="58" t="str">
        <f>TEXT(Base_de_Dados[[#This Row],[Semana]],"Mmmm")</f>
        <v>agosto</v>
      </c>
      <c r="F302">
        <f t="shared" si="4"/>
        <v>2022</v>
      </c>
      <c r="G302" t="str">
        <f>IF(MONTH(Base_de_Dados[[#This Row],[Semana]])&lt;=6,"1ª Semestre","2ª Semestre")</f>
        <v>2ª Semestre</v>
      </c>
    </row>
    <row r="303" spans="1:7" x14ac:dyDescent="0.25">
      <c r="A303" t="s">
        <v>10</v>
      </c>
      <c r="B303">
        <v>0</v>
      </c>
      <c r="C303" s="3">
        <v>0</v>
      </c>
      <c r="D303" s="58">
        <v>44788</v>
      </c>
      <c r="E303" s="58" t="str">
        <f>TEXT(Base_de_Dados[[#This Row],[Semana]],"Mmmm")</f>
        <v>agosto</v>
      </c>
      <c r="F303">
        <f t="shared" si="4"/>
        <v>2022</v>
      </c>
      <c r="G303" t="str">
        <f>IF(MONTH(Base_de_Dados[[#This Row],[Semana]])&lt;=6,"1ª Semestre","2ª Semestre")</f>
        <v>2ª Semestre</v>
      </c>
    </row>
    <row r="304" spans="1:7" x14ac:dyDescent="0.25">
      <c r="A304" t="s">
        <v>11</v>
      </c>
      <c r="B304">
        <v>0</v>
      </c>
      <c r="C304" s="3">
        <v>0</v>
      </c>
      <c r="D304" s="58">
        <v>44788</v>
      </c>
      <c r="E304" s="58" t="str">
        <f>TEXT(Base_de_Dados[[#This Row],[Semana]],"Mmmm")</f>
        <v>agosto</v>
      </c>
      <c r="F304">
        <f t="shared" si="4"/>
        <v>2022</v>
      </c>
      <c r="G304" t="str">
        <f>IF(MONTH(Base_de_Dados[[#This Row],[Semana]])&lt;=6,"1ª Semestre","2ª Semestre")</f>
        <v>2ª Semestre</v>
      </c>
    </row>
    <row r="305" spans="1:7" x14ac:dyDescent="0.25">
      <c r="A305" t="s">
        <v>12</v>
      </c>
      <c r="B305">
        <v>0</v>
      </c>
      <c r="C305" s="3">
        <v>0</v>
      </c>
      <c r="D305" s="58">
        <v>44788</v>
      </c>
      <c r="E305" s="58" t="str">
        <f>TEXT(Base_de_Dados[[#This Row],[Semana]],"Mmmm")</f>
        <v>agosto</v>
      </c>
      <c r="F305">
        <f t="shared" si="4"/>
        <v>2022</v>
      </c>
      <c r="G305" t="str">
        <f>IF(MONTH(Base_de_Dados[[#This Row],[Semana]])&lt;=6,"1ª Semestre","2ª Semestre")</f>
        <v>2ª Semestre</v>
      </c>
    </row>
    <row r="306" spans="1:7" x14ac:dyDescent="0.25">
      <c r="A306" t="s">
        <v>13</v>
      </c>
      <c r="B306">
        <v>0</v>
      </c>
      <c r="C306" s="3">
        <v>0</v>
      </c>
      <c r="D306" s="58">
        <v>44788</v>
      </c>
      <c r="E306" s="58" t="str">
        <f>TEXT(Base_de_Dados[[#This Row],[Semana]],"Mmmm")</f>
        <v>agosto</v>
      </c>
      <c r="F306">
        <f t="shared" si="4"/>
        <v>2022</v>
      </c>
      <c r="G306" t="str">
        <f>IF(MONTH(Base_de_Dados[[#This Row],[Semana]])&lt;=6,"1ª Semestre","2ª Semestre")</f>
        <v>2ª Semestre</v>
      </c>
    </row>
    <row r="307" spans="1:7" x14ac:dyDescent="0.25">
      <c r="A307" t="s">
        <v>121</v>
      </c>
      <c r="B307">
        <v>2</v>
      </c>
      <c r="C307" s="3">
        <v>0.16666666666666666</v>
      </c>
      <c r="D307" s="58">
        <v>44788</v>
      </c>
      <c r="E307" s="58" t="str">
        <f>TEXT(Base_de_Dados[[#This Row],[Semana]],"Mmmm")</f>
        <v>agosto</v>
      </c>
      <c r="F307">
        <f t="shared" si="4"/>
        <v>2022</v>
      </c>
      <c r="G307" t="str">
        <f>IF(MONTH(Base_de_Dados[[#This Row],[Semana]])&lt;=6,"1ª Semestre","2ª Semestre")</f>
        <v>2ª Semestre</v>
      </c>
    </row>
    <row r="308" spans="1:7" x14ac:dyDescent="0.25">
      <c r="A308" t="s">
        <v>15</v>
      </c>
      <c r="B308">
        <v>1</v>
      </c>
      <c r="C308" s="3">
        <v>8.3333333333333329E-2</v>
      </c>
      <c r="D308" s="58">
        <v>44788</v>
      </c>
      <c r="E308" s="58" t="str">
        <f>TEXT(Base_de_Dados[[#This Row],[Semana]],"Mmmm")</f>
        <v>agosto</v>
      </c>
      <c r="F308">
        <f t="shared" si="4"/>
        <v>2022</v>
      </c>
      <c r="G308" t="str">
        <f>IF(MONTH(Base_de_Dados[[#This Row],[Semana]])&lt;=6,"1ª Semestre","2ª Semestre")</f>
        <v>2ª Semestre</v>
      </c>
    </row>
    <row r="309" spans="1:7" x14ac:dyDescent="0.25">
      <c r="A309" t="s">
        <v>16</v>
      </c>
      <c r="B309">
        <v>2</v>
      </c>
      <c r="C309" s="3">
        <v>0.16666666666666666</v>
      </c>
      <c r="D309" s="58">
        <v>44788</v>
      </c>
      <c r="E309" s="58" t="str">
        <f>TEXT(Base_de_Dados[[#This Row],[Semana]],"Mmmm")</f>
        <v>agosto</v>
      </c>
      <c r="F309">
        <f t="shared" si="4"/>
        <v>2022</v>
      </c>
      <c r="G309" t="str">
        <f>IF(MONTH(Base_de_Dados[[#This Row],[Semana]])&lt;=6,"1ª Semestre","2ª Semestre")</f>
        <v>2ª Semestre</v>
      </c>
    </row>
    <row r="310" spans="1:7" x14ac:dyDescent="0.25">
      <c r="A310" t="s">
        <v>166</v>
      </c>
      <c r="B310">
        <v>0</v>
      </c>
      <c r="C310" s="3">
        <v>0</v>
      </c>
      <c r="D310" s="58">
        <v>44788</v>
      </c>
      <c r="E310" s="58" t="str">
        <f>TEXT(Base_de_Dados[[#This Row],[Semana]],"Mmmm")</f>
        <v>agosto</v>
      </c>
      <c r="F310">
        <f t="shared" si="4"/>
        <v>2022</v>
      </c>
      <c r="G310" t="str">
        <f>IF(MONTH(Base_de_Dados[[#This Row],[Semana]])&lt;=6,"1ª Semestre","2ª Semestre")</f>
        <v>2ª Semestre</v>
      </c>
    </row>
    <row r="311" spans="1:7" x14ac:dyDescent="0.25">
      <c r="A311" t="s">
        <v>168</v>
      </c>
      <c r="B311">
        <v>0</v>
      </c>
      <c r="C311" s="3">
        <v>0</v>
      </c>
      <c r="D311" s="58">
        <v>44788</v>
      </c>
      <c r="E311" s="58" t="str">
        <f>TEXT(Base_de_Dados[[#This Row],[Semana]],"Mmmm")</f>
        <v>agosto</v>
      </c>
      <c r="F311">
        <f t="shared" si="4"/>
        <v>2022</v>
      </c>
      <c r="G311" t="str">
        <f>IF(MONTH(Base_de_Dados[[#This Row],[Semana]])&lt;=6,"1ª Semestre","2ª Semestre")</f>
        <v>2ª Semestre</v>
      </c>
    </row>
    <row r="312" spans="1:7" x14ac:dyDescent="0.25">
      <c r="A312" t="s">
        <v>4</v>
      </c>
      <c r="B312">
        <v>3</v>
      </c>
      <c r="C312" s="3">
        <v>0.21428571428571427</v>
      </c>
      <c r="D312" s="58">
        <v>44795</v>
      </c>
      <c r="E312" s="58" t="str">
        <f>TEXT(Base_de_Dados[[#This Row],[Semana]],"Mmmm")</f>
        <v>agosto</v>
      </c>
      <c r="F312">
        <f t="shared" si="4"/>
        <v>2022</v>
      </c>
      <c r="G312" t="str">
        <f>IF(MONTH(Base_de_Dados[[#This Row],[Semana]])&lt;=6,"1ª Semestre","2ª Semestre")</f>
        <v>2ª Semestre</v>
      </c>
    </row>
    <row r="313" spans="1:7" x14ac:dyDescent="0.25">
      <c r="A313" t="s">
        <v>5</v>
      </c>
      <c r="B313">
        <v>2</v>
      </c>
      <c r="C313" s="3">
        <v>0.14285714285714285</v>
      </c>
      <c r="D313" s="58">
        <v>44795</v>
      </c>
      <c r="E313" s="58" t="str">
        <f>TEXT(Base_de_Dados[[#This Row],[Semana]],"Mmmm")</f>
        <v>agosto</v>
      </c>
      <c r="F313">
        <f t="shared" si="4"/>
        <v>2022</v>
      </c>
      <c r="G313" t="str">
        <f>IF(MONTH(Base_de_Dados[[#This Row],[Semana]])&lt;=6,"1ª Semestre","2ª Semestre")</f>
        <v>2ª Semestre</v>
      </c>
    </row>
    <row r="314" spans="1:7" x14ac:dyDescent="0.25">
      <c r="A314" t="s">
        <v>127</v>
      </c>
      <c r="B314">
        <v>0</v>
      </c>
      <c r="C314" s="3">
        <v>0</v>
      </c>
      <c r="D314" s="58">
        <v>44795</v>
      </c>
      <c r="E314" s="58" t="str">
        <f>TEXT(Base_de_Dados[[#This Row],[Semana]],"Mmmm")</f>
        <v>agosto</v>
      </c>
      <c r="F314">
        <f t="shared" si="4"/>
        <v>2022</v>
      </c>
      <c r="G314" t="str">
        <f>IF(MONTH(Base_de_Dados[[#This Row],[Semana]])&lt;=6,"1ª Semestre","2ª Semestre")</f>
        <v>2ª Semestre</v>
      </c>
    </row>
    <row r="315" spans="1:7" x14ac:dyDescent="0.25">
      <c r="A315" t="s">
        <v>7</v>
      </c>
      <c r="B315">
        <v>3</v>
      </c>
      <c r="C315" s="3">
        <v>0.21428571428571427</v>
      </c>
      <c r="D315" s="58">
        <v>44795</v>
      </c>
      <c r="E315" s="58" t="str">
        <f>TEXT(Base_de_Dados[[#This Row],[Semana]],"Mmmm")</f>
        <v>agosto</v>
      </c>
      <c r="F315">
        <f t="shared" si="4"/>
        <v>2022</v>
      </c>
      <c r="G315" t="str">
        <f>IF(MONTH(Base_de_Dados[[#This Row],[Semana]])&lt;=6,"1ª Semestre","2ª Semestre")</f>
        <v>2ª Semestre</v>
      </c>
    </row>
    <row r="316" spans="1:7" x14ac:dyDescent="0.25">
      <c r="A316" t="s">
        <v>30</v>
      </c>
      <c r="B316">
        <v>2</v>
      </c>
      <c r="C316" s="3">
        <v>0.14285714285714285</v>
      </c>
      <c r="D316" s="58">
        <v>44795</v>
      </c>
      <c r="E316" s="58" t="str">
        <f>TEXT(Base_de_Dados[[#This Row],[Semana]],"Mmmm")</f>
        <v>agosto</v>
      </c>
      <c r="F316">
        <f t="shared" si="4"/>
        <v>2022</v>
      </c>
      <c r="G316" t="str">
        <f>IF(MONTH(Base_de_Dados[[#This Row],[Semana]])&lt;=6,"1ª Semestre","2ª Semestre")</f>
        <v>2ª Semestre</v>
      </c>
    </row>
    <row r="317" spans="1:7" x14ac:dyDescent="0.25">
      <c r="A317" t="s">
        <v>118</v>
      </c>
      <c r="B317">
        <v>0</v>
      </c>
      <c r="C317" s="3">
        <v>0</v>
      </c>
      <c r="D317" s="58">
        <v>44795</v>
      </c>
      <c r="E317" s="58" t="str">
        <f>TEXT(Base_de_Dados[[#This Row],[Semana]],"Mmmm")</f>
        <v>agosto</v>
      </c>
      <c r="F317">
        <f t="shared" si="4"/>
        <v>2022</v>
      </c>
      <c r="G317" t="str">
        <f>IF(MONTH(Base_de_Dados[[#This Row],[Semana]])&lt;=6,"1ª Semestre","2ª Semestre")</f>
        <v>2ª Semestre</v>
      </c>
    </row>
    <row r="318" spans="1:7" x14ac:dyDescent="0.25">
      <c r="A318" t="s">
        <v>10</v>
      </c>
      <c r="B318">
        <v>0</v>
      </c>
      <c r="C318" s="3">
        <v>0</v>
      </c>
      <c r="D318" s="58">
        <v>44795</v>
      </c>
      <c r="E318" s="58" t="str">
        <f>TEXT(Base_de_Dados[[#This Row],[Semana]],"Mmmm")</f>
        <v>agosto</v>
      </c>
      <c r="F318">
        <f t="shared" si="4"/>
        <v>2022</v>
      </c>
      <c r="G318" t="str">
        <f>IF(MONTH(Base_de_Dados[[#This Row],[Semana]])&lt;=6,"1ª Semestre","2ª Semestre")</f>
        <v>2ª Semestre</v>
      </c>
    </row>
    <row r="319" spans="1:7" x14ac:dyDescent="0.25">
      <c r="A319" t="s">
        <v>11</v>
      </c>
      <c r="B319">
        <v>0</v>
      </c>
      <c r="C319" s="3">
        <v>0</v>
      </c>
      <c r="D319" s="58">
        <v>44795</v>
      </c>
      <c r="E319" s="58" t="str">
        <f>TEXT(Base_de_Dados[[#This Row],[Semana]],"Mmmm")</f>
        <v>agosto</v>
      </c>
      <c r="F319">
        <f t="shared" si="4"/>
        <v>2022</v>
      </c>
      <c r="G319" t="str">
        <f>IF(MONTH(Base_de_Dados[[#This Row],[Semana]])&lt;=6,"1ª Semestre","2ª Semestre")</f>
        <v>2ª Semestre</v>
      </c>
    </row>
    <row r="320" spans="1:7" x14ac:dyDescent="0.25">
      <c r="A320" t="s">
        <v>12</v>
      </c>
      <c r="B320">
        <v>0</v>
      </c>
      <c r="C320" s="3">
        <v>0</v>
      </c>
      <c r="D320" s="58">
        <v>44795</v>
      </c>
      <c r="E320" s="58" t="str">
        <f>TEXT(Base_de_Dados[[#This Row],[Semana]],"Mmmm")</f>
        <v>agosto</v>
      </c>
      <c r="F320">
        <f t="shared" si="4"/>
        <v>2022</v>
      </c>
      <c r="G320" t="str">
        <f>IF(MONTH(Base_de_Dados[[#This Row],[Semana]])&lt;=6,"1ª Semestre","2ª Semestre")</f>
        <v>2ª Semestre</v>
      </c>
    </row>
    <row r="321" spans="1:7" x14ac:dyDescent="0.25">
      <c r="A321" t="s">
        <v>13</v>
      </c>
      <c r="B321">
        <v>0</v>
      </c>
      <c r="C321" s="3">
        <v>0</v>
      </c>
      <c r="D321" s="58">
        <v>44795</v>
      </c>
      <c r="E321" s="58" t="str">
        <f>TEXT(Base_de_Dados[[#This Row],[Semana]],"Mmmm")</f>
        <v>agosto</v>
      </c>
      <c r="F321">
        <f t="shared" si="4"/>
        <v>2022</v>
      </c>
      <c r="G321" t="str">
        <f>IF(MONTH(Base_de_Dados[[#This Row],[Semana]])&lt;=6,"1ª Semestre","2ª Semestre")</f>
        <v>2ª Semestre</v>
      </c>
    </row>
    <row r="322" spans="1:7" x14ac:dyDescent="0.25">
      <c r="A322" t="s">
        <v>121</v>
      </c>
      <c r="B322">
        <v>0</v>
      </c>
      <c r="C322" s="3">
        <v>0</v>
      </c>
      <c r="D322" s="58">
        <v>44795</v>
      </c>
      <c r="E322" s="58" t="str">
        <f>TEXT(Base_de_Dados[[#This Row],[Semana]],"Mmmm")</f>
        <v>agosto</v>
      </c>
      <c r="F322">
        <f t="shared" si="4"/>
        <v>2022</v>
      </c>
      <c r="G322" t="str">
        <f>IF(MONTH(Base_de_Dados[[#This Row],[Semana]])&lt;=6,"1ª Semestre","2ª Semestre")</f>
        <v>2ª Semestre</v>
      </c>
    </row>
    <row r="323" spans="1:7" x14ac:dyDescent="0.25">
      <c r="A323" t="s">
        <v>15</v>
      </c>
      <c r="B323">
        <v>1</v>
      </c>
      <c r="C323" s="3">
        <v>7.1428571428571425E-2</v>
      </c>
      <c r="D323" s="58">
        <v>44795</v>
      </c>
      <c r="E323" s="58" t="str">
        <f>TEXT(Base_de_Dados[[#This Row],[Semana]],"Mmmm")</f>
        <v>agosto</v>
      </c>
      <c r="F323">
        <f t="shared" ref="F323:F386" si="5">YEAR(D323)</f>
        <v>2022</v>
      </c>
      <c r="G323" t="str">
        <f>IF(MONTH(Base_de_Dados[[#This Row],[Semana]])&lt;=6,"1ª Semestre","2ª Semestre")</f>
        <v>2ª Semestre</v>
      </c>
    </row>
    <row r="324" spans="1:7" x14ac:dyDescent="0.25">
      <c r="A324" t="s">
        <v>16</v>
      </c>
      <c r="B324">
        <v>2</v>
      </c>
      <c r="C324" s="3">
        <v>0.14285714285714285</v>
      </c>
      <c r="D324" s="58">
        <v>44795</v>
      </c>
      <c r="E324" s="58" t="str">
        <f>TEXT(Base_de_Dados[[#This Row],[Semana]],"Mmmm")</f>
        <v>agosto</v>
      </c>
      <c r="F324">
        <f t="shared" si="5"/>
        <v>2022</v>
      </c>
      <c r="G324" t="str">
        <f>IF(MONTH(Base_de_Dados[[#This Row],[Semana]])&lt;=6,"1ª Semestre","2ª Semestre")</f>
        <v>2ª Semestre</v>
      </c>
    </row>
    <row r="325" spans="1:7" x14ac:dyDescent="0.25">
      <c r="A325" t="s">
        <v>166</v>
      </c>
      <c r="B325">
        <v>0</v>
      </c>
      <c r="C325" s="3">
        <v>0</v>
      </c>
      <c r="D325" s="58">
        <v>44795</v>
      </c>
      <c r="E325" s="58" t="str">
        <f>TEXT(Base_de_Dados[[#This Row],[Semana]],"Mmmm")</f>
        <v>agosto</v>
      </c>
      <c r="F325">
        <f t="shared" si="5"/>
        <v>2022</v>
      </c>
      <c r="G325" t="str">
        <f>IF(MONTH(Base_de_Dados[[#This Row],[Semana]])&lt;=6,"1ª Semestre","2ª Semestre")</f>
        <v>2ª Semestre</v>
      </c>
    </row>
    <row r="326" spans="1:7" x14ac:dyDescent="0.25">
      <c r="A326" t="s">
        <v>168</v>
      </c>
      <c r="B326">
        <v>1</v>
      </c>
      <c r="C326" s="3">
        <v>7.1428571428571425E-2</v>
      </c>
      <c r="D326" s="58">
        <v>44795</v>
      </c>
      <c r="E326" s="58" t="str">
        <f>TEXT(Base_de_Dados[[#This Row],[Semana]],"Mmmm")</f>
        <v>agosto</v>
      </c>
      <c r="F326">
        <f t="shared" si="5"/>
        <v>2022</v>
      </c>
      <c r="G326" t="str">
        <f>IF(MONTH(Base_de_Dados[[#This Row],[Semana]])&lt;=6,"1ª Semestre","2ª Semestre")</f>
        <v>2ª Semestre</v>
      </c>
    </row>
    <row r="327" spans="1:7" x14ac:dyDescent="0.25">
      <c r="A327" t="s">
        <v>4</v>
      </c>
      <c r="B327">
        <v>1</v>
      </c>
      <c r="C327" s="3">
        <v>4.5454545454545456E-2</v>
      </c>
      <c r="D327" s="58">
        <v>44802</v>
      </c>
      <c r="E327" s="58" t="str">
        <f>TEXT(Base_de_Dados[[#This Row],[Semana]],"Mmmm")</f>
        <v>agosto</v>
      </c>
      <c r="F327">
        <f t="shared" si="5"/>
        <v>2022</v>
      </c>
      <c r="G327" t="str">
        <f>IF(MONTH(Base_de_Dados[[#This Row],[Semana]])&lt;=6,"1ª Semestre","2ª Semestre")</f>
        <v>2ª Semestre</v>
      </c>
    </row>
    <row r="328" spans="1:7" x14ac:dyDescent="0.25">
      <c r="A328" t="s">
        <v>5</v>
      </c>
      <c r="B328">
        <v>1</v>
      </c>
      <c r="C328" s="3">
        <v>4.5454545454545456E-2</v>
      </c>
      <c r="D328" s="58">
        <v>44802</v>
      </c>
      <c r="E328" s="58" t="str">
        <f>TEXT(Base_de_Dados[[#This Row],[Semana]],"Mmmm")</f>
        <v>agosto</v>
      </c>
      <c r="F328">
        <f t="shared" si="5"/>
        <v>2022</v>
      </c>
      <c r="G328" t="str">
        <f>IF(MONTH(Base_de_Dados[[#This Row],[Semana]])&lt;=6,"1ª Semestre","2ª Semestre")</f>
        <v>2ª Semestre</v>
      </c>
    </row>
    <row r="329" spans="1:7" x14ac:dyDescent="0.25">
      <c r="A329" t="s">
        <v>127</v>
      </c>
      <c r="B329">
        <v>0</v>
      </c>
      <c r="C329" s="3">
        <v>0</v>
      </c>
      <c r="D329" s="58">
        <v>44802</v>
      </c>
      <c r="E329" s="58" t="str">
        <f>TEXT(Base_de_Dados[[#This Row],[Semana]],"Mmmm")</f>
        <v>agosto</v>
      </c>
      <c r="F329">
        <f t="shared" si="5"/>
        <v>2022</v>
      </c>
      <c r="G329" t="str">
        <f>IF(MONTH(Base_de_Dados[[#This Row],[Semana]])&lt;=6,"1ª Semestre","2ª Semestre")</f>
        <v>2ª Semestre</v>
      </c>
    </row>
    <row r="330" spans="1:7" x14ac:dyDescent="0.25">
      <c r="A330" t="s">
        <v>7</v>
      </c>
      <c r="B330">
        <v>1</v>
      </c>
      <c r="C330" s="3">
        <v>4.5454545454545456E-2</v>
      </c>
      <c r="D330" s="58">
        <v>44802</v>
      </c>
      <c r="E330" s="58" t="str">
        <f>TEXT(Base_de_Dados[[#This Row],[Semana]],"Mmmm")</f>
        <v>agosto</v>
      </c>
      <c r="F330">
        <f t="shared" si="5"/>
        <v>2022</v>
      </c>
      <c r="G330" t="str">
        <f>IF(MONTH(Base_de_Dados[[#This Row],[Semana]])&lt;=6,"1ª Semestre","2ª Semestre")</f>
        <v>2ª Semestre</v>
      </c>
    </row>
    <row r="331" spans="1:7" x14ac:dyDescent="0.25">
      <c r="A331" t="s">
        <v>30</v>
      </c>
      <c r="B331">
        <v>1</v>
      </c>
      <c r="C331" s="3">
        <v>4.5454545454545456E-2</v>
      </c>
      <c r="D331" s="58">
        <v>44802</v>
      </c>
      <c r="E331" s="58" t="str">
        <f>TEXT(Base_de_Dados[[#This Row],[Semana]],"Mmmm")</f>
        <v>agosto</v>
      </c>
      <c r="F331">
        <f t="shared" si="5"/>
        <v>2022</v>
      </c>
      <c r="G331" t="str">
        <f>IF(MONTH(Base_de_Dados[[#This Row],[Semana]])&lt;=6,"1ª Semestre","2ª Semestre")</f>
        <v>2ª Semestre</v>
      </c>
    </row>
    <row r="332" spans="1:7" x14ac:dyDescent="0.25">
      <c r="A332" t="s">
        <v>118</v>
      </c>
      <c r="B332">
        <v>2</v>
      </c>
      <c r="C332" s="3">
        <v>9.0909090909090912E-2</v>
      </c>
      <c r="D332" s="58">
        <v>44802</v>
      </c>
      <c r="E332" s="58" t="str">
        <f>TEXT(Base_de_Dados[[#This Row],[Semana]],"Mmmm")</f>
        <v>agosto</v>
      </c>
      <c r="F332">
        <f t="shared" si="5"/>
        <v>2022</v>
      </c>
      <c r="G332" t="str">
        <f>IF(MONTH(Base_de_Dados[[#This Row],[Semana]])&lt;=6,"1ª Semestre","2ª Semestre")</f>
        <v>2ª Semestre</v>
      </c>
    </row>
    <row r="333" spans="1:7" x14ac:dyDescent="0.25">
      <c r="A333" t="s">
        <v>10</v>
      </c>
      <c r="B333">
        <v>0</v>
      </c>
      <c r="C333" s="3">
        <v>0</v>
      </c>
      <c r="D333" s="58">
        <v>44802</v>
      </c>
      <c r="E333" s="58" t="str">
        <f>TEXT(Base_de_Dados[[#This Row],[Semana]],"Mmmm")</f>
        <v>agosto</v>
      </c>
      <c r="F333">
        <f t="shared" si="5"/>
        <v>2022</v>
      </c>
      <c r="G333" t="str">
        <f>IF(MONTH(Base_de_Dados[[#This Row],[Semana]])&lt;=6,"1ª Semestre","2ª Semestre")</f>
        <v>2ª Semestre</v>
      </c>
    </row>
    <row r="334" spans="1:7" x14ac:dyDescent="0.25">
      <c r="A334" t="s">
        <v>11</v>
      </c>
      <c r="B334">
        <v>0</v>
      </c>
      <c r="C334" s="3">
        <v>0</v>
      </c>
      <c r="D334" s="58">
        <v>44802</v>
      </c>
      <c r="E334" s="58" t="str">
        <f>TEXT(Base_de_Dados[[#This Row],[Semana]],"Mmmm")</f>
        <v>agosto</v>
      </c>
      <c r="F334">
        <f t="shared" si="5"/>
        <v>2022</v>
      </c>
      <c r="G334" t="str">
        <f>IF(MONTH(Base_de_Dados[[#This Row],[Semana]])&lt;=6,"1ª Semestre","2ª Semestre")</f>
        <v>2ª Semestre</v>
      </c>
    </row>
    <row r="335" spans="1:7" x14ac:dyDescent="0.25">
      <c r="A335" t="s">
        <v>12</v>
      </c>
      <c r="B335">
        <v>1</v>
      </c>
      <c r="C335" s="3">
        <v>4.5454545454545456E-2</v>
      </c>
      <c r="D335" s="58">
        <v>44802</v>
      </c>
      <c r="E335" s="58" t="str">
        <f>TEXT(Base_de_Dados[[#This Row],[Semana]],"Mmmm")</f>
        <v>agosto</v>
      </c>
      <c r="F335">
        <f t="shared" si="5"/>
        <v>2022</v>
      </c>
      <c r="G335" t="str">
        <f>IF(MONTH(Base_de_Dados[[#This Row],[Semana]])&lt;=6,"1ª Semestre","2ª Semestre")</f>
        <v>2ª Semestre</v>
      </c>
    </row>
    <row r="336" spans="1:7" x14ac:dyDescent="0.25">
      <c r="A336" t="s">
        <v>13</v>
      </c>
      <c r="B336">
        <v>2</v>
      </c>
      <c r="C336" s="3">
        <v>9.0909090909090912E-2</v>
      </c>
      <c r="D336" s="58">
        <v>44802</v>
      </c>
      <c r="E336" s="58" t="str">
        <f>TEXT(Base_de_Dados[[#This Row],[Semana]],"Mmmm")</f>
        <v>agosto</v>
      </c>
      <c r="F336">
        <f t="shared" si="5"/>
        <v>2022</v>
      </c>
      <c r="G336" t="str">
        <f>IF(MONTH(Base_de_Dados[[#This Row],[Semana]])&lt;=6,"1ª Semestre","2ª Semestre")</f>
        <v>2ª Semestre</v>
      </c>
    </row>
    <row r="337" spans="1:7" x14ac:dyDescent="0.25">
      <c r="A337" t="s">
        <v>121</v>
      </c>
      <c r="B337">
        <v>0</v>
      </c>
      <c r="C337" s="3">
        <v>0</v>
      </c>
      <c r="D337" s="58">
        <v>44802</v>
      </c>
      <c r="E337" s="58" t="str">
        <f>TEXT(Base_de_Dados[[#This Row],[Semana]],"Mmmm")</f>
        <v>agosto</v>
      </c>
      <c r="F337">
        <f t="shared" si="5"/>
        <v>2022</v>
      </c>
      <c r="G337" t="str">
        <f>IF(MONTH(Base_de_Dados[[#This Row],[Semana]])&lt;=6,"1ª Semestre","2ª Semestre")</f>
        <v>2ª Semestre</v>
      </c>
    </row>
    <row r="338" spans="1:7" x14ac:dyDescent="0.25">
      <c r="A338" t="s">
        <v>15</v>
      </c>
      <c r="B338">
        <v>5</v>
      </c>
      <c r="C338" s="3">
        <v>0.22727272727272727</v>
      </c>
      <c r="D338" s="58">
        <v>44802</v>
      </c>
      <c r="E338" s="58" t="str">
        <f>TEXT(Base_de_Dados[[#This Row],[Semana]],"Mmmm")</f>
        <v>agosto</v>
      </c>
      <c r="F338">
        <f t="shared" si="5"/>
        <v>2022</v>
      </c>
      <c r="G338" t="str">
        <f>IF(MONTH(Base_de_Dados[[#This Row],[Semana]])&lt;=6,"1ª Semestre","2ª Semestre")</f>
        <v>2ª Semestre</v>
      </c>
    </row>
    <row r="339" spans="1:7" x14ac:dyDescent="0.25">
      <c r="A339" t="s">
        <v>16</v>
      </c>
      <c r="B339">
        <v>1</v>
      </c>
      <c r="C339" s="3">
        <v>4.5454545454545456E-2</v>
      </c>
      <c r="D339" s="58">
        <v>44802</v>
      </c>
      <c r="E339" s="58" t="str">
        <f>TEXT(Base_de_Dados[[#This Row],[Semana]],"Mmmm")</f>
        <v>agosto</v>
      </c>
      <c r="F339">
        <f t="shared" si="5"/>
        <v>2022</v>
      </c>
      <c r="G339" t="str">
        <f>IF(MONTH(Base_de_Dados[[#This Row],[Semana]])&lt;=6,"1ª Semestre","2ª Semestre")</f>
        <v>2ª Semestre</v>
      </c>
    </row>
    <row r="340" spans="1:7" x14ac:dyDescent="0.25">
      <c r="A340" t="s">
        <v>166</v>
      </c>
      <c r="B340">
        <v>0</v>
      </c>
      <c r="C340" s="3">
        <v>0</v>
      </c>
      <c r="D340" s="58">
        <v>44802</v>
      </c>
      <c r="E340" s="58" t="str">
        <f>TEXT(Base_de_Dados[[#This Row],[Semana]],"Mmmm")</f>
        <v>agosto</v>
      </c>
      <c r="F340">
        <f t="shared" si="5"/>
        <v>2022</v>
      </c>
      <c r="G340" t="str">
        <f>IF(MONTH(Base_de_Dados[[#This Row],[Semana]])&lt;=6,"1ª Semestre","2ª Semestre")</f>
        <v>2ª Semestre</v>
      </c>
    </row>
    <row r="341" spans="1:7" x14ac:dyDescent="0.25">
      <c r="A341" t="s">
        <v>168</v>
      </c>
      <c r="B341">
        <v>0</v>
      </c>
      <c r="C341" s="3">
        <v>0</v>
      </c>
      <c r="D341" s="58">
        <v>44802</v>
      </c>
      <c r="E341" s="58" t="str">
        <f>TEXT(Base_de_Dados[[#This Row],[Semana]],"Mmmm")</f>
        <v>agosto</v>
      </c>
      <c r="F341">
        <f t="shared" si="5"/>
        <v>2022</v>
      </c>
      <c r="G341" t="str">
        <f>IF(MONTH(Base_de_Dados[[#This Row],[Semana]])&lt;=6,"1ª Semestre","2ª Semestre")</f>
        <v>2ª Semestre</v>
      </c>
    </row>
    <row r="342" spans="1:7" x14ac:dyDescent="0.25">
      <c r="A342" t="s">
        <v>173</v>
      </c>
      <c r="B342">
        <v>7</v>
      </c>
      <c r="C342" s="3">
        <v>0.31818181818181818</v>
      </c>
      <c r="D342" s="58">
        <v>44802</v>
      </c>
      <c r="E342" s="58" t="str">
        <f>TEXT(Base_de_Dados[[#This Row],[Semana]],"Mmmm")</f>
        <v>agosto</v>
      </c>
      <c r="F342">
        <f t="shared" si="5"/>
        <v>2022</v>
      </c>
      <c r="G342" t="str">
        <f>IF(MONTH(Base_de_Dados[[#This Row],[Semana]])&lt;=6,"1ª Semestre","2ª Semestre")</f>
        <v>2ª Semestre</v>
      </c>
    </row>
    <row r="343" spans="1:7" x14ac:dyDescent="0.25">
      <c r="A343" t="s">
        <v>4</v>
      </c>
      <c r="B343">
        <v>0</v>
      </c>
      <c r="C343" s="3">
        <v>0</v>
      </c>
      <c r="D343" s="58">
        <v>44809</v>
      </c>
      <c r="E343" s="58" t="str">
        <f>TEXT(Base_de_Dados[[#This Row],[Semana]],"Mmmm")</f>
        <v>setembro</v>
      </c>
      <c r="F343">
        <f t="shared" si="5"/>
        <v>2022</v>
      </c>
      <c r="G343" t="str">
        <f>IF(MONTH(Base_de_Dados[[#This Row],[Semana]])&lt;=6,"1ª Semestre","2ª Semestre")</f>
        <v>2ª Semestre</v>
      </c>
    </row>
    <row r="344" spans="1:7" x14ac:dyDescent="0.25">
      <c r="A344" t="s">
        <v>5</v>
      </c>
      <c r="B344">
        <v>0</v>
      </c>
      <c r="C344" s="3">
        <v>0</v>
      </c>
      <c r="D344" s="58">
        <v>44809</v>
      </c>
      <c r="E344" s="58" t="str">
        <f>TEXT(Base_de_Dados[[#This Row],[Semana]],"Mmmm")</f>
        <v>setembro</v>
      </c>
      <c r="F344">
        <f t="shared" si="5"/>
        <v>2022</v>
      </c>
      <c r="G344" t="str">
        <f>IF(MONTH(Base_de_Dados[[#This Row],[Semana]])&lt;=6,"1ª Semestre","2ª Semestre")</f>
        <v>2ª Semestre</v>
      </c>
    </row>
    <row r="345" spans="1:7" x14ac:dyDescent="0.25">
      <c r="A345" t="s">
        <v>127</v>
      </c>
      <c r="B345">
        <v>0</v>
      </c>
      <c r="C345" s="3">
        <v>0</v>
      </c>
      <c r="D345" s="58">
        <v>44809</v>
      </c>
      <c r="E345" s="58" t="str">
        <f>TEXT(Base_de_Dados[[#This Row],[Semana]],"Mmmm")</f>
        <v>setembro</v>
      </c>
      <c r="F345">
        <f t="shared" si="5"/>
        <v>2022</v>
      </c>
      <c r="G345" t="str">
        <f>IF(MONTH(Base_de_Dados[[#This Row],[Semana]])&lt;=6,"1ª Semestre","2ª Semestre")</f>
        <v>2ª Semestre</v>
      </c>
    </row>
    <row r="346" spans="1:7" x14ac:dyDescent="0.25">
      <c r="A346" t="s">
        <v>7</v>
      </c>
      <c r="B346">
        <v>2</v>
      </c>
      <c r="C346" s="3">
        <v>0.15384615384615385</v>
      </c>
      <c r="D346" s="58">
        <v>44809</v>
      </c>
      <c r="E346" s="58" t="str">
        <f>TEXT(Base_de_Dados[[#This Row],[Semana]],"Mmmm")</f>
        <v>setembro</v>
      </c>
      <c r="F346">
        <f t="shared" si="5"/>
        <v>2022</v>
      </c>
      <c r="G346" t="str">
        <f>IF(MONTH(Base_de_Dados[[#This Row],[Semana]])&lt;=6,"1ª Semestre","2ª Semestre")</f>
        <v>2ª Semestre</v>
      </c>
    </row>
    <row r="347" spans="1:7" x14ac:dyDescent="0.25">
      <c r="A347" t="s">
        <v>30</v>
      </c>
      <c r="B347">
        <v>0</v>
      </c>
      <c r="C347" s="3">
        <v>0</v>
      </c>
      <c r="D347" s="58">
        <v>44809</v>
      </c>
      <c r="E347" s="58" t="str">
        <f>TEXT(Base_de_Dados[[#This Row],[Semana]],"Mmmm")</f>
        <v>setembro</v>
      </c>
      <c r="F347">
        <f t="shared" si="5"/>
        <v>2022</v>
      </c>
      <c r="G347" t="str">
        <f>IF(MONTH(Base_de_Dados[[#This Row],[Semana]])&lt;=6,"1ª Semestre","2ª Semestre")</f>
        <v>2ª Semestre</v>
      </c>
    </row>
    <row r="348" spans="1:7" x14ac:dyDescent="0.25">
      <c r="A348" t="s">
        <v>118</v>
      </c>
      <c r="B348">
        <v>2</v>
      </c>
      <c r="C348" s="3">
        <v>0.15384615384615385</v>
      </c>
      <c r="D348" s="58">
        <v>44809</v>
      </c>
      <c r="E348" s="58" t="str">
        <f>TEXT(Base_de_Dados[[#This Row],[Semana]],"Mmmm")</f>
        <v>setembro</v>
      </c>
      <c r="F348">
        <f t="shared" si="5"/>
        <v>2022</v>
      </c>
      <c r="G348" t="str">
        <f>IF(MONTH(Base_de_Dados[[#This Row],[Semana]])&lt;=6,"1ª Semestre","2ª Semestre")</f>
        <v>2ª Semestre</v>
      </c>
    </row>
    <row r="349" spans="1:7" x14ac:dyDescent="0.25">
      <c r="A349" t="s">
        <v>10</v>
      </c>
      <c r="B349">
        <v>0</v>
      </c>
      <c r="C349" s="3">
        <v>0</v>
      </c>
      <c r="D349" s="58">
        <v>44809</v>
      </c>
      <c r="E349" s="58" t="str">
        <f>TEXT(Base_de_Dados[[#This Row],[Semana]],"Mmmm")</f>
        <v>setembro</v>
      </c>
      <c r="F349">
        <f t="shared" si="5"/>
        <v>2022</v>
      </c>
      <c r="G349" t="str">
        <f>IF(MONTH(Base_de_Dados[[#This Row],[Semana]])&lt;=6,"1ª Semestre","2ª Semestre")</f>
        <v>2ª Semestre</v>
      </c>
    </row>
    <row r="350" spans="1:7" x14ac:dyDescent="0.25">
      <c r="A350" t="s">
        <v>11</v>
      </c>
      <c r="B350">
        <v>0</v>
      </c>
      <c r="C350" s="3">
        <v>0</v>
      </c>
      <c r="D350" s="58">
        <v>44809</v>
      </c>
      <c r="E350" s="58" t="str">
        <f>TEXT(Base_de_Dados[[#This Row],[Semana]],"Mmmm")</f>
        <v>setembro</v>
      </c>
      <c r="F350">
        <f t="shared" si="5"/>
        <v>2022</v>
      </c>
      <c r="G350" t="str">
        <f>IF(MONTH(Base_de_Dados[[#This Row],[Semana]])&lt;=6,"1ª Semestre","2ª Semestre")</f>
        <v>2ª Semestre</v>
      </c>
    </row>
    <row r="351" spans="1:7" x14ac:dyDescent="0.25">
      <c r="A351" t="s">
        <v>12</v>
      </c>
      <c r="B351">
        <v>0</v>
      </c>
      <c r="C351" s="3">
        <v>0</v>
      </c>
      <c r="D351" s="58">
        <v>44809</v>
      </c>
      <c r="E351" s="58" t="str">
        <f>TEXT(Base_de_Dados[[#This Row],[Semana]],"Mmmm")</f>
        <v>setembro</v>
      </c>
      <c r="F351">
        <f t="shared" si="5"/>
        <v>2022</v>
      </c>
      <c r="G351" t="str">
        <f>IF(MONTH(Base_de_Dados[[#This Row],[Semana]])&lt;=6,"1ª Semestre","2ª Semestre")</f>
        <v>2ª Semestre</v>
      </c>
    </row>
    <row r="352" spans="1:7" x14ac:dyDescent="0.25">
      <c r="A352" t="s">
        <v>13</v>
      </c>
      <c r="B352">
        <v>3</v>
      </c>
      <c r="C352" s="3">
        <v>0.23076923076923078</v>
      </c>
      <c r="D352" s="58">
        <v>44809</v>
      </c>
      <c r="E352" s="58" t="str">
        <f>TEXT(Base_de_Dados[[#This Row],[Semana]],"Mmmm")</f>
        <v>setembro</v>
      </c>
      <c r="F352">
        <f t="shared" si="5"/>
        <v>2022</v>
      </c>
      <c r="G352" t="str">
        <f>IF(MONTH(Base_de_Dados[[#This Row],[Semana]])&lt;=6,"1ª Semestre","2ª Semestre")</f>
        <v>2ª Semestre</v>
      </c>
    </row>
    <row r="353" spans="1:7" x14ac:dyDescent="0.25">
      <c r="A353" t="s">
        <v>121</v>
      </c>
      <c r="B353">
        <v>1</v>
      </c>
      <c r="C353" s="3">
        <v>7.6923076923076927E-2</v>
      </c>
      <c r="D353" s="58">
        <v>44809</v>
      </c>
      <c r="E353" s="58" t="str">
        <f>TEXT(Base_de_Dados[[#This Row],[Semana]],"Mmmm")</f>
        <v>setembro</v>
      </c>
      <c r="F353">
        <f t="shared" si="5"/>
        <v>2022</v>
      </c>
      <c r="G353" t="str">
        <f>IF(MONTH(Base_de_Dados[[#This Row],[Semana]])&lt;=6,"1ª Semestre","2ª Semestre")</f>
        <v>2ª Semestre</v>
      </c>
    </row>
    <row r="354" spans="1:7" x14ac:dyDescent="0.25">
      <c r="A354" t="s">
        <v>15</v>
      </c>
      <c r="B354">
        <v>0</v>
      </c>
      <c r="C354" s="3">
        <v>0</v>
      </c>
      <c r="D354" s="58">
        <v>44809</v>
      </c>
      <c r="E354" s="58" t="str">
        <f>TEXT(Base_de_Dados[[#This Row],[Semana]],"Mmmm")</f>
        <v>setembro</v>
      </c>
      <c r="F354">
        <f t="shared" si="5"/>
        <v>2022</v>
      </c>
      <c r="G354" t="str">
        <f>IF(MONTH(Base_de_Dados[[#This Row],[Semana]])&lt;=6,"1ª Semestre","2ª Semestre")</f>
        <v>2ª Semestre</v>
      </c>
    </row>
    <row r="355" spans="1:7" x14ac:dyDescent="0.25">
      <c r="A355" t="s">
        <v>16</v>
      </c>
      <c r="B355">
        <v>1</v>
      </c>
      <c r="C355" s="3">
        <v>7.6923076923076927E-2</v>
      </c>
      <c r="D355" s="58">
        <v>44809</v>
      </c>
      <c r="E355" s="58" t="str">
        <f>TEXT(Base_de_Dados[[#This Row],[Semana]],"Mmmm")</f>
        <v>setembro</v>
      </c>
      <c r="F355">
        <f t="shared" si="5"/>
        <v>2022</v>
      </c>
      <c r="G355" t="str">
        <f>IF(MONTH(Base_de_Dados[[#This Row],[Semana]])&lt;=6,"1ª Semestre","2ª Semestre")</f>
        <v>2ª Semestre</v>
      </c>
    </row>
    <row r="356" spans="1:7" x14ac:dyDescent="0.25">
      <c r="A356" t="s">
        <v>166</v>
      </c>
      <c r="B356">
        <v>0</v>
      </c>
      <c r="C356" s="3">
        <v>0</v>
      </c>
      <c r="D356" s="58">
        <v>44809</v>
      </c>
      <c r="E356" s="58" t="str">
        <f>TEXT(Base_de_Dados[[#This Row],[Semana]],"Mmmm")</f>
        <v>setembro</v>
      </c>
      <c r="F356">
        <f t="shared" si="5"/>
        <v>2022</v>
      </c>
      <c r="G356" t="str">
        <f>IF(MONTH(Base_de_Dados[[#This Row],[Semana]])&lt;=6,"1ª Semestre","2ª Semestre")</f>
        <v>2ª Semestre</v>
      </c>
    </row>
    <row r="357" spans="1:7" x14ac:dyDescent="0.25">
      <c r="A357" t="s">
        <v>168</v>
      </c>
      <c r="B357">
        <v>0</v>
      </c>
      <c r="C357" s="3">
        <v>0</v>
      </c>
      <c r="D357" s="58">
        <v>44809</v>
      </c>
      <c r="E357" s="58" t="str">
        <f>TEXT(Base_de_Dados[[#This Row],[Semana]],"Mmmm")</f>
        <v>setembro</v>
      </c>
      <c r="F357">
        <f t="shared" si="5"/>
        <v>2022</v>
      </c>
      <c r="G357" t="str">
        <f>IF(MONTH(Base_de_Dados[[#This Row],[Semana]])&lt;=6,"1ª Semestre","2ª Semestre")</f>
        <v>2ª Semestre</v>
      </c>
    </row>
    <row r="358" spans="1:7" x14ac:dyDescent="0.25">
      <c r="A358" t="s">
        <v>173</v>
      </c>
      <c r="B358">
        <v>4</v>
      </c>
      <c r="C358" s="3">
        <v>0.30769230769230771</v>
      </c>
      <c r="D358" s="58">
        <v>44809</v>
      </c>
      <c r="E358" s="58" t="str">
        <f>TEXT(Base_de_Dados[[#This Row],[Semana]],"Mmmm")</f>
        <v>setembro</v>
      </c>
      <c r="F358">
        <f t="shared" si="5"/>
        <v>2022</v>
      </c>
      <c r="G358" t="str">
        <f>IF(MONTH(Base_de_Dados[[#This Row],[Semana]])&lt;=6,"1ª Semestre","2ª Semestre")</f>
        <v>2ª Semestre</v>
      </c>
    </row>
    <row r="359" spans="1:7" x14ac:dyDescent="0.25">
      <c r="A359" t="s">
        <v>4</v>
      </c>
      <c r="B359">
        <v>5</v>
      </c>
      <c r="C359" s="3">
        <v>0.21739130434782608</v>
      </c>
      <c r="D359" s="58">
        <v>44816</v>
      </c>
      <c r="E359" s="58" t="str">
        <f>TEXT(Base_de_Dados[[#This Row],[Semana]],"Mmmm")</f>
        <v>setembro</v>
      </c>
      <c r="F359">
        <f t="shared" si="5"/>
        <v>2022</v>
      </c>
      <c r="G359" t="str">
        <f>IF(MONTH(Base_de_Dados[[#This Row],[Semana]])&lt;=6,"1ª Semestre","2ª Semestre")</f>
        <v>2ª Semestre</v>
      </c>
    </row>
    <row r="360" spans="1:7" x14ac:dyDescent="0.25">
      <c r="A360" t="s">
        <v>5</v>
      </c>
      <c r="B360">
        <v>2</v>
      </c>
      <c r="C360" s="3">
        <v>8.6956521739130432E-2</v>
      </c>
      <c r="D360" s="58">
        <v>44816</v>
      </c>
      <c r="E360" s="58" t="str">
        <f>TEXT(Base_de_Dados[[#This Row],[Semana]],"Mmmm")</f>
        <v>setembro</v>
      </c>
      <c r="F360">
        <f t="shared" si="5"/>
        <v>2022</v>
      </c>
      <c r="G360" t="str">
        <f>IF(MONTH(Base_de_Dados[[#This Row],[Semana]])&lt;=6,"1ª Semestre","2ª Semestre")</f>
        <v>2ª Semestre</v>
      </c>
    </row>
    <row r="361" spans="1:7" x14ac:dyDescent="0.25">
      <c r="A361" t="s">
        <v>127</v>
      </c>
      <c r="B361">
        <v>0</v>
      </c>
      <c r="C361" s="3">
        <v>0</v>
      </c>
      <c r="D361" s="58">
        <v>44816</v>
      </c>
      <c r="E361" s="58" t="str">
        <f>TEXT(Base_de_Dados[[#This Row],[Semana]],"Mmmm")</f>
        <v>setembro</v>
      </c>
      <c r="F361">
        <f t="shared" si="5"/>
        <v>2022</v>
      </c>
      <c r="G361" t="str">
        <f>IF(MONTH(Base_de_Dados[[#This Row],[Semana]])&lt;=6,"1ª Semestre","2ª Semestre")</f>
        <v>2ª Semestre</v>
      </c>
    </row>
    <row r="362" spans="1:7" x14ac:dyDescent="0.25">
      <c r="A362" t="s">
        <v>7</v>
      </c>
      <c r="B362">
        <v>0</v>
      </c>
      <c r="C362" s="3">
        <v>0</v>
      </c>
      <c r="D362" s="58">
        <v>44816</v>
      </c>
      <c r="E362" s="58" t="str">
        <f>TEXT(Base_de_Dados[[#This Row],[Semana]],"Mmmm")</f>
        <v>setembro</v>
      </c>
      <c r="F362">
        <f t="shared" si="5"/>
        <v>2022</v>
      </c>
      <c r="G362" t="str">
        <f>IF(MONTH(Base_de_Dados[[#This Row],[Semana]])&lt;=6,"1ª Semestre","2ª Semestre")</f>
        <v>2ª Semestre</v>
      </c>
    </row>
    <row r="363" spans="1:7" x14ac:dyDescent="0.25">
      <c r="A363" t="s">
        <v>30</v>
      </c>
      <c r="B363">
        <v>0</v>
      </c>
      <c r="C363" s="3">
        <v>0</v>
      </c>
      <c r="D363" s="58">
        <v>44816</v>
      </c>
      <c r="E363" s="58" t="str">
        <f>TEXT(Base_de_Dados[[#This Row],[Semana]],"Mmmm")</f>
        <v>setembro</v>
      </c>
      <c r="F363">
        <f t="shared" si="5"/>
        <v>2022</v>
      </c>
      <c r="G363" t="str">
        <f>IF(MONTH(Base_de_Dados[[#This Row],[Semana]])&lt;=6,"1ª Semestre","2ª Semestre")</f>
        <v>2ª Semestre</v>
      </c>
    </row>
    <row r="364" spans="1:7" x14ac:dyDescent="0.25">
      <c r="A364" t="s">
        <v>118</v>
      </c>
      <c r="B364">
        <v>0</v>
      </c>
      <c r="C364" s="3">
        <v>0</v>
      </c>
      <c r="D364" s="58">
        <v>44816</v>
      </c>
      <c r="E364" s="58" t="str">
        <f>TEXT(Base_de_Dados[[#This Row],[Semana]],"Mmmm")</f>
        <v>setembro</v>
      </c>
      <c r="F364">
        <f t="shared" si="5"/>
        <v>2022</v>
      </c>
      <c r="G364" t="str">
        <f>IF(MONTH(Base_de_Dados[[#This Row],[Semana]])&lt;=6,"1ª Semestre","2ª Semestre")</f>
        <v>2ª Semestre</v>
      </c>
    </row>
    <row r="365" spans="1:7" x14ac:dyDescent="0.25">
      <c r="A365" t="s">
        <v>10</v>
      </c>
      <c r="B365">
        <v>0</v>
      </c>
      <c r="C365" s="3">
        <v>0</v>
      </c>
      <c r="D365" s="58">
        <v>44816</v>
      </c>
      <c r="E365" s="58" t="str">
        <f>TEXT(Base_de_Dados[[#This Row],[Semana]],"Mmmm")</f>
        <v>setembro</v>
      </c>
      <c r="F365">
        <f t="shared" si="5"/>
        <v>2022</v>
      </c>
      <c r="G365" t="str">
        <f>IF(MONTH(Base_de_Dados[[#This Row],[Semana]])&lt;=6,"1ª Semestre","2ª Semestre")</f>
        <v>2ª Semestre</v>
      </c>
    </row>
    <row r="366" spans="1:7" x14ac:dyDescent="0.25">
      <c r="A366" t="s">
        <v>11</v>
      </c>
      <c r="B366">
        <v>0</v>
      </c>
      <c r="C366" s="3">
        <v>0</v>
      </c>
      <c r="D366" s="58">
        <v>44816</v>
      </c>
      <c r="E366" s="58" t="str">
        <f>TEXT(Base_de_Dados[[#This Row],[Semana]],"Mmmm")</f>
        <v>setembro</v>
      </c>
      <c r="F366">
        <f t="shared" si="5"/>
        <v>2022</v>
      </c>
      <c r="G366" t="str">
        <f>IF(MONTH(Base_de_Dados[[#This Row],[Semana]])&lt;=6,"1ª Semestre","2ª Semestre")</f>
        <v>2ª Semestre</v>
      </c>
    </row>
    <row r="367" spans="1:7" x14ac:dyDescent="0.25">
      <c r="A367" t="s">
        <v>12</v>
      </c>
      <c r="B367">
        <v>3</v>
      </c>
      <c r="C367" s="3">
        <v>0.13043478260869565</v>
      </c>
      <c r="D367" s="58">
        <v>44816</v>
      </c>
      <c r="E367" s="58" t="str">
        <f>TEXT(Base_de_Dados[[#This Row],[Semana]],"Mmmm")</f>
        <v>setembro</v>
      </c>
      <c r="F367">
        <f t="shared" si="5"/>
        <v>2022</v>
      </c>
      <c r="G367" t="str">
        <f>IF(MONTH(Base_de_Dados[[#This Row],[Semana]])&lt;=6,"1ª Semestre","2ª Semestre")</f>
        <v>2ª Semestre</v>
      </c>
    </row>
    <row r="368" spans="1:7" x14ac:dyDescent="0.25">
      <c r="A368" t="s">
        <v>13</v>
      </c>
      <c r="B368">
        <v>1</v>
      </c>
      <c r="C368" s="3">
        <v>4.3478260869565216E-2</v>
      </c>
      <c r="D368" s="58">
        <v>44816</v>
      </c>
      <c r="E368" s="58" t="str">
        <f>TEXT(Base_de_Dados[[#This Row],[Semana]],"Mmmm")</f>
        <v>setembro</v>
      </c>
      <c r="F368">
        <f t="shared" si="5"/>
        <v>2022</v>
      </c>
      <c r="G368" t="str">
        <f>IF(MONTH(Base_de_Dados[[#This Row],[Semana]])&lt;=6,"1ª Semestre","2ª Semestre")</f>
        <v>2ª Semestre</v>
      </c>
    </row>
    <row r="369" spans="1:7" x14ac:dyDescent="0.25">
      <c r="A369" t="s">
        <v>121</v>
      </c>
      <c r="B369">
        <v>1</v>
      </c>
      <c r="C369" s="3">
        <v>4.3478260869565216E-2</v>
      </c>
      <c r="D369" s="58">
        <v>44816</v>
      </c>
      <c r="E369" s="58" t="str">
        <f>TEXT(Base_de_Dados[[#This Row],[Semana]],"Mmmm")</f>
        <v>setembro</v>
      </c>
      <c r="F369">
        <f t="shared" si="5"/>
        <v>2022</v>
      </c>
      <c r="G369" t="str">
        <f>IF(MONTH(Base_de_Dados[[#This Row],[Semana]])&lt;=6,"1ª Semestre","2ª Semestre")</f>
        <v>2ª Semestre</v>
      </c>
    </row>
    <row r="370" spans="1:7" x14ac:dyDescent="0.25">
      <c r="A370" t="s">
        <v>15</v>
      </c>
      <c r="B370">
        <v>0</v>
      </c>
      <c r="C370" s="3">
        <v>0</v>
      </c>
      <c r="D370" s="58">
        <v>44816</v>
      </c>
      <c r="E370" s="58" t="str">
        <f>TEXT(Base_de_Dados[[#This Row],[Semana]],"Mmmm")</f>
        <v>setembro</v>
      </c>
      <c r="F370">
        <f t="shared" si="5"/>
        <v>2022</v>
      </c>
      <c r="G370" t="str">
        <f>IF(MONTH(Base_de_Dados[[#This Row],[Semana]])&lt;=6,"1ª Semestre","2ª Semestre")</f>
        <v>2ª Semestre</v>
      </c>
    </row>
    <row r="371" spans="1:7" x14ac:dyDescent="0.25">
      <c r="A371" t="s">
        <v>16</v>
      </c>
      <c r="B371">
        <v>0</v>
      </c>
      <c r="C371" s="3">
        <v>0</v>
      </c>
      <c r="D371" s="58">
        <v>44816</v>
      </c>
      <c r="E371" s="58" t="str">
        <f>TEXT(Base_de_Dados[[#This Row],[Semana]],"Mmmm")</f>
        <v>setembro</v>
      </c>
      <c r="F371">
        <f t="shared" si="5"/>
        <v>2022</v>
      </c>
      <c r="G371" t="str">
        <f>IF(MONTH(Base_de_Dados[[#This Row],[Semana]])&lt;=6,"1ª Semestre","2ª Semestre")</f>
        <v>2ª Semestre</v>
      </c>
    </row>
    <row r="372" spans="1:7" x14ac:dyDescent="0.25">
      <c r="A372" t="s">
        <v>166</v>
      </c>
      <c r="B372">
        <v>0</v>
      </c>
      <c r="C372" s="3">
        <v>0</v>
      </c>
      <c r="D372" s="58">
        <v>44816</v>
      </c>
      <c r="E372" s="58" t="str">
        <f>TEXT(Base_de_Dados[[#This Row],[Semana]],"Mmmm")</f>
        <v>setembro</v>
      </c>
      <c r="F372">
        <f t="shared" si="5"/>
        <v>2022</v>
      </c>
      <c r="G372" t="str">
        <f>IF(MONTH(Base_de_Dados[[#This Row],[Semana]])&lt;=6,"1ª Semestre","2ª Semestre")</f>
        <v>2ª Semestre</v>
      </c>
    </row>
    <row r="373" spans="1:7" x14ac:dyDescent="0.25">
      <c r="A373" t="s">
        <v>168</v>
      </c>
      <c r="B373">
        <v>1</v>
      </c>
      <c r="C373" s="3">
        <v>4.3478260869565216E-2</v>
      </c>
      <c r="D373" s="58">
        <v>44816</v>
      </c>
      <c r="E373" s="58" t="str">
        <f>TEXT(Base_de_Dados[[#This Row],[Semana]],"Mmmm")</f>
        <v>setembro</v>
      </c>
      <c r="F373">
        <f t="shared" si="5"/>
        <v>2022</v>
      </c>
      <c r="G373" t="str">
        <f>IF(MONTH(Base_de_Dados[[#This Row],[Semana]])&lt;=6,"1ª Semestre","2ª Semestre")</f>
        <v>2ª Semestre</v>
      </c>
    </row>
    <row r="374" spans="1:7" x14ac:dyDescent="0.25">
      <c r="A374" t="s">
        <v>176</v>
      </c>
      <c r="B374">
        <v>10</v>
      </c>
      <c r="C374" s="3">
        <v>0.43478260869565216</v>
      </c>
      <c r="D374" s="58">
        <v>44816</v>
      </c>
      <c r="E374" s="58" t="str">
        <f>TEXT(Base_de_Dados[[#This Row],[Semana]],"Mmmm")</f>
        <v>setembro</v>
      </c>
      <c r="F374">
        <f t="shared" si="5"/>
        <v>2022</v>
      </c>
      <c r="G374" t="str">
        <f>IF(MONTH(Base_de_Dados[[#This Row],[Semana]])&lt;=6,"1ª Semestre","2ª Semestre")</f>
        <v>2ª Semestre</v>
      </c>
    </row>
    <row r="375" spans="1:7" x14ac:dyDescent="0.25">
      <c r="A375" t="s">
        <v>173</v>
      </c>
      <c r="B375">
        <v>0</v>
      </c>
      <c r="C375" s="3">
        <v>0</v>
      </c>
      <c r="D375" s="58">
        <v>44816</v>
      </c>
      <c r="E375" s="58" t="str">
        <f>TEXT(Base_de_Dados[[#This Row],[Semana]],"Mmmm")</f>
        <v>setembro</v>
      </c>
      <c r="F375">
        <f t="shared" si="5"/>
        <v>2022</v>
      </c>
      <c r="G375" t="str">
        <f>IF(MONTH(Base_de_Dados[[#This Row],[Semana]])&lt;=6,"1ª Semestre","2ª Semestre")</f>
        <v>2ª Semestre</v>
      </c>
    </row>
    <row r="376" spans="1:7" x14ac:dyDescent="0.25">
      <c r="A376" t="s">
        <v>4</v>
      </c>
      <c r="B376">
        <v>3</v>
      </c>
      <c r="C376" s="3">
        <v>0.13636363636363635</v>
      </c>
      <c r="D376" s="58">
        <v>44823</v>
      </c>
      <c r="E376" s="58" t="str">
        <f>TEXT(Base_de_Dados[[#This Row],[Semana]],"Mmmm")</f>
        <v>setembro</v>
      </c>
      <c r="F376">
        <f t="shared" si="5"/>
        <v>2022</v>
      </c>
      <c r="G376" t="str">
        <f>IF(MONTH(Base_de_Dados[[#This Row],[Semana]])&lt;=6,"1ª Semestre","2ª Semestre")</f>
        <v>2ª Semestre</v>
      </c>
    </row>
    <row r="377" spans="1:7" x14ac:dyDescent="0.25">
      <c r="A377" t="s">
        <v>5</v>
      </c>
      <c r="B377">
        <v>1</v>
      </c>
      <c r="C377" s="3">
        <v>4.5454545454545456E-2</v>
      </c>
      <c r="D377" s="58">
        <v>44823</v>
      </c>
      <c r="E377" s="58" t="str">
        <f>TEXT(Base_de_Dados[[#This Row],[Semana]],"Mmmm")</f>
        <v>setembro</v>
      </c>
      <c r="F377">
        <f t="shared" si="5"/>
        <v>2022</v>
      </c>
      <c r="G377" t="str">
        <f>IF(MONTH(Base_de_Dados[[#This Row],[Semana]])&lt;=6,"1ª Semestre","2ª Semestre")</f>
        <v>2ª Semestre</v>
      </c>
    </row>
    <row r="378" spans="1:7" x14ac:dyDescent="0.25">
      <c r="A378" t="s">
        <v>127</v>
      </c>
      <c r="B378">
        <v>0</v>
      </c>
      <c r="C378" s="3">
        <v>0</v>
      </c>
      <c r="D378" s="58">
        <v>44823</v>
      </c>
      <c r="E378" s="58" t="str">
        <f>TEXT(Base_de_Dados[[#This Row],[Semana]],"Mmmm")</f>
        <v>setembro</v>
      </c>
      <c r="F378">
        <f t="shared" si="5"/>
        <v>2022</v>
      </c>
      <c r="G378" t="str">
        <f>IF(MONTH(Base_de_Dados[[#This Row],[Semana]])&lt;=6,"1ª Semestre","2ª Semestre")</f>
        <v>2ª Semestre</v>
      </c>
    </row>
    <row r="379" spans="1:7" x14ac:dyDescent="0.25">
      <c r="A379" t="s">
        <v>7</v>
      </c>
      <c r="B379">
        <v>1</v>
      </c>
      <c r="C379" s="3">
        <v>4.5454545454545456E-2</v>
      </c>
      <c r="D379" s="58">
        <v>44823</v>
      </c>
      <c r="E379" s="58" t="str">
        <f>TEXT(Base_de_Dados[[#This Row],[Semana]],"Mmmm")</f>
        <v>setembro</v>
      </c>
      <c r="F379">
        <f t="shared" si="5"/>
        <v>2022</v>
      </c>
      <c r="G379" t="str">
        <f>IF(MONTH(Base_de_Dados[[#This Row],[Semana]])&lt;=6,"1ª Semestre","2ª Semestre")</f>
        <v>2ª Semestre</v>
      </c>
    </row>
    <row r="380" spans="1:7" x14ac:dyDescent="0.25">
      <c r="A380" t="s">
        <v>30</v>
      </c>
      <c r="B380">
        <v>0</v>
      </c>
      <c r="C380" s="3">
        <v>0</v>
      </c>
      <c r="D380" s="58">
        <v>44823</v>
      </c>
      <c r="E380" s="58" t="str">
        <f>TEXT(Base_de_Dados[[#This Row],[Semana]],"Mmmm")</f>
        <v>setembro</v>
      </c>
      <c r="F380">
        <f t="shared" si="5"/>
        <v>2022</v>
      </c>
      <c r="G380" t="str">
        <f>IF(MONTH(Base_de_Dados[[#This Row],[Semana]])&lt;=6,"1ª Semestre","2ª Semestre")</f>
        <v>2ª Semestre</v>
      </c>
    </row>
    <row r="381" spans="1:7" x14ac:dyDescent="0.25">
      <c r="A381" t="s">
        <v>118</v>
      </c>
      <c r="B381">
        <v>0</v>
      </c>
      <c r="C381" s="3">
        <v>0</v>
      </c>
      <c r="D381" s="58">
        <v>44823</v>
      </c>
      <c r="E381" s="58" t="str">
        <f>TEXT(Base_de_Dados[[#This Row],[Semana]],"Mmmm")</f>
        <v>setembro</v>
      </c>
      <c r="F381">
        <f t="shared" si="5"/>
        <v>2022</v>
      </c>
      <c r="G381" t="str">
        <f>IF(MONTH(Base_de_Dados[[#This Row],[Semana]])&lt;=6,"1ª Semestre","2ª Semestre")</f>
        <v>2ª Semestre</v>
      </c>
    </row>
    <row r="382" spans="1:7" x14ac:dyDescent="0.25">
      <c r="A382" t="s">
        <v>10</v>
      </c>
      <c r="B382">
        <v>0</v>
      </c>
      <c r="C382" s="3">
        <v>0</v>
      </c>
      <c r="D382" s="58">
        <v>44823</v>
      </c>
      <c r="E382" s="58" t="str">
        <f>TEXT(Base_de_Dados[[#This Row],[Semana]],"Mmmm")</f>
        <v>setembro</v>
      </c>
      <c r="F382">
        <f t="shared" si="5"/>
        <v>2022</v>
      </c>
      <c r="G382" t="str">
        <f>IF(MONTH(Base_de_Dados[[#This Row],[Semana]])&lt;=6,"1ª Semestre","2ª Semestre")</f>
        <v>2ª Semestre</v>
      </c>
    </row>
    <row r="383" spans="1:7" x14ac:dyDescent="0.25">
      <c r="A383" t="s">
        <v>11</v>
      </c>
      <c r="B383">
        <v>0</v>
      </c>
      <c r="C383" s="3">
        <v>0</v>
      </c>
      <c r="D383" s="58">
        <v>44823</v>
      </c>
      <c r="E383" s="58" t="str">
        <f>TEXT(Base_de_Dados[[#This Row],[Semana]],"Mmmm")</f>
        <v>setembro</v>
      </c>
      <c r="F383">
        <f t="shared" si="5"/>
        <v>2022</v>
      </c>
      <c r="G383" t="str">
        <f>IF(MONTH(Base_de_Dados[[#This Row],[Semana]])&lt;=6,"1ª Semestre","2ª Semestre")</f>
        <v>2ª Semestre</v>
      </c>
    </row>
    <row r="384" spans="1:7" x14ac:dyDescent="0.25">
      <c r="A384" t="s">
        <v>12</v>
      </c>
      <c r="B384">
        <v>0</v>
      </c>
      <c r="C384" s="3">
        <v>0</v>
      </c>
      <c r="D384" s="58">
        <v>44823</v>
      </c>
      <c r="E384" s="58" t="str">
        <f>TEXT(Base_de_Dados[[#This Row],[Semana]],"Mmmm")</f>
        <v>setembro</v>
      </c>
      <c r="F384">
        <f t="shared" si="5"/>
        <v>2022</v>
      </c>
      <c r="G384" t="str">
        <f>IF(MONTH(Base_de_Dados[[#This Row],[Semana]])&lt;=6,"1ª Semestre","2ª Semestre")</f>
        <v>2ª Semestre</v>
      </c>
    </row>
    <row r="385" spans="1:7" x14ac:dyDescent="0.25">
      <c r="A385" t="s">
        <v>13</v>
      </c>
      <c r="B385">
        <v>2</v>
      </c>
      <c r="C385" s="3">
        <v>9.0909090909090912E-2</v>
      </c>
      <c r="D385" s="58">
        <v>44823</v>
      </c>
      <c r="E385" s="58" t="str">
        <f>TEXT(Base_de_Dados[[#This Row],[Semana]],"Mmmm")</f>
        <v>setembro</v>
      </c>
      <c r="F385">
        <f t="shared" si="5"/>
        <v>2022</v>
      </c>
      <c r="G385" t="str">
        <f>IF(MONTH(Base_de_Dados[[#This Row],[Semana]])&lt;=6,"1ª Semestre","2ª Semestre")</f>
        <v>2ª Semestre</v>
      </c>
    </row>
    <row r="386" spans="1:7" x14ac:dyDescent="0.25">
      <c r="A386" t="s">
        <v>121</v>
      </c>
      <c r="B386">
        <v>0</v>
      </c>
      <c r="C386" s="3">
        <v>0</v>
      </c>
      <c r="D386" s="58">
        <v>44823</v>
      </c>
      <c r="E386" s="58" t="str">
        <f>TEXT(Base_de_Dados[[#This Row],[Semana]],"Mmmm")</f>
        <v>setembro</v>
      </c>
      <c r="F386">
        <f t="shared" si="5"/>
        <v>2022</v>
      </c>
      <c r="G386" t="str">
        <f>IF(MONTH(Base_de_Dados[[#This Row],[Semana]])&lt;=6,"1ª Semestre","2ª Semestre")</f>
        <v>2ª Semestre</v>
      </c>
    </row>
    <row r="387" spans="1:7" x14ac:dyDescent="0.25">
      <c r="A387" t="s">
        <v>15</v>
      </c>
      <c r="B387">
        <v>0</v>
      </c>
      <c r="C387" s="3">
        <v>0</v>
      </c>
      <c r="D387" s="58">
        <v>44823</v>
      </c>
      <c r="E387" s="58" t="str">
        <f>TEXT(Base_de_Dados[[#This Row],[Semana]],"Mmmm")</f>
        <v>setembro</v>
      </c>
      <c r="F387">
        <f t="shared" ref="F387:F450" si="6">YEAR(D387)</f>
        <v>2022</v>
      </c>
      <c r="G387" t="str">
        <f>IF(MONTH(Base_de_Dados[[#This Row],[Semana]])&lt;=6,"1ª Semestre","2ª Semestre")</f>
        <v>2ª Semestre</v>
      </c>
    </row>
    <row r="388" spans="1:7" x14ac:dyDescent="0.25">
      <c r="A388" t="s">
        <v>16</v>
      </c>
      <c r="B388">
        <v>1</v>
      </c>
      <c r="C388" s="3">
        <v>4.5454545454545456E-2</v>
      </c>
      <c r="D388" s="58">
        <v>44823</v>
      </c>
      <c r="E388" s="58" t="str">
        <f>TEXT(Base_de_Dados[[#This Row],[Semana]],"Mmmm")</f>
        <v>setembro</v>
      </c>
      <c r="F388">
        <f t="shared" si="6"/>
        <v>2022</v>
      </c>
      <c r="G388" t="str">
        <f>IF(MONTH(Base_de_Dados[[#This Row],[Semana]])&lt;=6,"1ª Semestre","2ª Semestre")</f>
        <v>2ª Semestre</v>
      </c>
    </row>
    <row r="389" spans="1:7" x14ac:dyDescent="0.25">
      <c r="A389" t="s">
        <v>166</v>
      </c>
      <c r="B389">
        <v>0</v>
      </c>
      <c r="C389" s="3">
        <v>0</v>
      </c>
      <c r="D389" s="58">
        <v>44823</v>
      </c>
      <c r="E389" s="58" t="str">
        <f>TEXT(Base_de_Dados[[#This Row],[Semana]],"Mmmm")</f>
        <v>setembro</v>
      </c>
      <c r="F389">
        <f t="shared" si="6"/>
        <v>2022</v>
      </c>
      <c r="G389" t="str">
        <f>IF(MONTH(Base_de_Dados[[#This Row],[Semana]])&lt;=6,"1ª Semestre","2ª Semestre")</f>
        <v>2ª Semestre</v>
      </c>
    </row>
    <row r="390" spans="1:7" x14ac:dyDescent="0.25">
      <c r="A390" t="s">
        <v>168</v>
      </c>
      <c r="B390">
        <v>0</v>
      </c>
      <c r="C390" s="3">
        <v>0</v>
      </c>
      <c r="D390" s="58">
        <v>44823</v>
      </c>
      <c r="E390" s="58" t="str">
        <f>TEXT(Base_de_Dados[[#This Row],[Semana]],"Mmmm")</f>
        <v>setembro</v>
      </c>
      <c r="F390">
        <f t="shared" si="6"/>
        <v>2022</v>
      </c>
      <c r="G390" t="str">
        <f>IF(MONTH(Base_de_Dados[[#This Row],[Semana]])&lt;=6,"1ª Semestre","2ª Semestre")</f>
        <v>2ª Semestre</v>
      </c>
    </row>
    <row r="391" spans="1:7" x14ac:dyDescent="0.25">
      <c r="A391" t="s">
        <v>176</v>
      </c>
      <c r="B391">
        <v>14</v>
      </c>
      <c r="C391" s="3">
        <v>0.63636363636363635</v>
      </c>
      <c r="D391" s="58">
        <v>44823</v>
      </c>
      <c r="E391" s="58" t="str">
        <f>TEXT(Base_de_Dados[[#This Row],[Semana]],"Mmmm")</f>
        <v>setembro</v>
      </c>
      <c r="F391">
        <f t="shared" si="6"/>
        <v>2022</v>
      </c>
      <c r="G391" t="str">
        <f>IF(MONTH(Base_de_Dados[[#This Row],[Semana]])&lt;=6,"1ª Semestre","2ª Semestre")</f>
        <v>2ª Semestre</v>
      </c>
    </row>
    <row r="392" spans="1:7" x14ac:dyDescent="0.25">
      <c r="A392" t="s">
        <v>173</v>
      </c>
      <c r="B392">
        <v>0</v>
      </c>
      <c r="C392" s="3">
        <v>0</v>
      </c>
      <c r="D392" s="58">
        <v>44823</v>
      </c>
      <c r="E392" s="58" t="str">
        <f>TEXT(Base_de_Dados[[#This Row],[Semana]],"Mmmm")</f>
        <v>setembro</v>
      </c>
      <c r="F392">
        <f t="shared" si="6"/>
        <v>2022</v>
      </c>
      <c r="G392" t="str">
        <f>IF(MONTH(Base_de_Dados[[#This Row],[Semana]])&lt;=6,"1ª Semestre","2ª Semestre")</f>
        <v>2ª Semestre</v>
      </c>
    </row>
    <row r="393" spans="1:7" x14ac:dyDescent="0.25">
      <c r="A393" t="s">
        <v>4</v>
      </c>
      <c r="B393">
        <v>5</v>
      </c>
      <c r="C393" s="3">
        <v>0.33333333333333331</v>
      </c>
      <c r="D393" s="58">
        <v>44830</v>
      </c>
      <c r="E393" s="58" t="str">
        <f>TEXT(Base_de_Dados[[#This Row],[Semana]],"Mmmm")</f>
        <v>setembro</v>
      </c>
      <c r="F393">
        <f t="shared" si="6"/>
        <v>2022</v>
      </c>
      <c r="G393" t="str">
        <f>IF(MONTH(Base_de_Dados[[#This Row],[Semana]])&lt;=6,"1ª Semestre","2ª Semestre")</f>
        <v>2ª Semestre</v>
      </c>
    </row>
    <row r="394" spans="1:7" x14ac:dyDescent="0.25">
      <c r="A394" t="s">
        <v>5</v>
      </c>
      <c r="B394">
        <v>2</v>
      </c>
      <c r="C394" s="3">
        <v>0.13333333333333333</v>
      </c>
      <c r="D394" s="58">
        <v>44830</v>
      </c>
      <c r="E394" s="58" t="str">
        <f>TEXT(Base_de_Dados[[#This Row],[Semana]],"Mmmm")</f>
        <v>setembro</v>
      </c>
      <c r="F394">
        <f t="shared" si="6"/>
        <v>2022</v>
      </c>
      <c r="G394" t="str">
        <f>IF(MONTH(Base_de_Dados[[#This Row],[Semana]])&lt;=6,"1ª Semestre","2ª Semestre")</f>
        <v>2ª Semestre</v>
      </c>
    </row>
    <row r="395" spans="1:7" x14ac:dyDescent="0.25">
      <c r="A395" t="s">
        <v>127</v>
      </c>
      <c r="B395">
        <v>1</v>
      </c>
      <c r="C395" s="3">
        <v>6.6666666666666666E-2</v>
      </c>
      <c r="D395" s="58">
        <v>44830</v>
      </c>
      <c r="E395" s="58" t="str">
        <f>TEXT(Base_de_Dados[[#This Row],[Semana]],"Mmmm")</f>
        <v>setembro</v>
      </c>
      <c r="F395">
        <f t="shared" si="6"/>
        <v>2022</v>
      </c>
      <c r="G395" t="str">
        <f>IF(MONTH(Base_de_Dados[[#This Row],[Semana]])&lt;=6,"1ª Semestre","2ª Semestre")</f>
        <v>2ª Semestre</v>
      </c>
    </row>
    <row r="396" spans="1:7" x14ac:dyDescent="0.25">
      <c r="A396" t="s">
        <v>7</v>
      </c>
      <c r="B396">
        <v>0</v>
      </c>
      <c r="C396" s="3">
        <v>0</v>
      </c>
      <c r="D396" s="58">
        <v>44830</v>
      </c>
      <c r="E396" s="58" t="str">
        <f>TEXT(Base_de_Dados[[#This Row],[Semana]],"Mmmm")</f>
        <v>setembro</v>
      </c>
      <c r="F396">
        <f t="shared" si="6"/>
        <v>2022</v>
      </c>
      <c r="G396" t="str">
        <f>IF(MONTH(Base_de_Dados[[#This Row],[Semana]])&lt;=6,"1ª Semestre","2ª Semestre")</f>
        <v>2ª Semestre</v>
      </c>
    </row>
    <row r="397" spans="1:7" x14ac:dyDescent="0.25">
      <c r="A397" t="s">
        <v>30</v>
      </c>
      <c r="B397">
        <v>0</v>
      </c>
      <c r="C397" s="3">
        <v>0</v>
      </c>
      <c r="D397" s="58">
        <v>44830</v>
      </c>
      <c r="E397" s="58" t="str">
        <f>TEXT(Base_de_Dados[[#This Row],[Semana]],"Mmmm")</f>
        <v>setembro</v>
      </c>
      <c r="F397">
        <f t="shared" si="6"/>
        <v>2022</v>
      </c>
      <c r="G397" t="str">
        <f>IF(MONTH(Base_de_Dados[[#This Row],[Semana]])&lt;=6,"1ª Semestre","2ª Semestre")</f>
        <v>2ª Semestre</v>
      </c>
    </row>
    <row r="398" spans="1:7" x14ac:dyDescent="0.25">
      <c r="A398" t="s">
        <v>118</v>
      </c>
      <c r="B398">
        <v>2</v>
      </c>
      <c r="C398" s="3">
        <v>0.13333333333333333</v>
      </c>
      <c r="D398" s="58">
        <v>44830</v>
      </c>
      <c r="E398" s="58" t="str">
        <f>TEXT(Base_de_Dados[[#This Row],[Semana]],"Mmmm")</f>
        <v>setembro</v>
      </c>
      <c r="F398">
        <f t="shared" si="6"/>
        <v>2022</v>
      </c>
      <c r="G398" t="str">
        <f>IF(MONTH(Base_de_Dados[[#This Row],[Semana]])&lt;=6,"1ª Semestre","2ª Semestre")</f>
        <v>2ª Semestre</v>
      </c>
    </row>
    <row r="399" spans="1:7" x14ac:dyDescent="0.25">
      <c r="A399" t="s">
        <v>10</v>
      </c>
      <c r="B399">
        <v>0</v>
      </c>
      <c r="C399" s="3">
        <v>0</v>
      </c>
      <c r="D399" s="58">
        <v>44830</v>
      </c>
      <c r="E399" s="58" t="str">
        <f>TEXT(Base_de_Dados[[#This Row],[Semana]],"Mmmm")</f>
        <v>setembro</v>
      </c>
      <c r="F399">
        <f t="shared" si="6"/>
        <v>2022</v>
      </c>
      <c r="G399" t="str">
        <f>IF(MONTH(Base_de_Dados[[#This Row],[Semana]])&lt;=6,"1ª Semestre","2ª Semestre")</f>
        <v>2ª Semestre</v>
      </c>
    </row>
    <row r="400" spans="1:7" x14ac:dyDescent="0.25">
      <c r="A400" t="s">
        <v>11</v>
      </c>
      <c r="B400">
        <v>0</v>
      </c>
      <c r="C400" s="3">
        <v>0</v>
      </c>
      <c r="D400" s="58">
        <v>44830</v>
      </c>
      <c r="E400" s="58" t="str">
        <f>TEXT(Base_de_Dados[[#This Row],[Semana]],"Mmmm")</f>
        <v>setembro</v>
      </c>
      <c r="F400">
        <f t="shared" si="6"/>
        <v>2022</v>
      </c>
      <c r="G400" t="str">
        <f>IF(MONTH(Base_de_Dados[[#This Row],[Semana]])&lt;=6,"1ª Semestre","2ª Semestre")</f>
        <v>2ª Semestre</v>
      </c>
    </row>
    <row r="401" spans="1:7" x14ac:dyDescent="0.25">
      <c r="A401" t="s">
        <v>12</v>
      </c>
      <c r="B401">
        <v>0</v>
      </c>
      <c r="C401" s="3">
        <v>0</v>
      </c>
      <c r="D401" s="58">
        <v>44830</v>
      </c>
      <c r="E401" s="58" t="str">
        <f>TEXT(Base_de_Dados[[#This Row],[Semana]],"Mmmm")</f>
        <v>setembro</v>
      </c>
      <c r="F401">
        <f t="shared" si="6"/>
        <v>2022</v>
      </c>
      <c r="G401" t="str">
        <f>IF(MONTH(Base_de_Dados[[#This Row],[Semana]])&lt;=6,"1ª Semestre","2ª Semestre")</f>
        <v>2ª Semestre</v>
      </c>
    </row>
    <row r="402" spans="1:7" x14ac:dyDescent="0.25">
      <c r="A402" t="s">
        <v>13</v>
      </c>
      <c r="B402">
        <v>2</v>
      </c>
      <c r="C402" s="3">
        <v>0.13333333333333333</v>
      </c>
      <c r="D402" s="58">
        <v>44830</v>
      </c>
      <c r="E402" s="58" t="str">
        <f>TEXT(Base_de_Dados[[#This Row],[Semana]],"Mmmm")</f>
        <v>setembro</v>
      </c>
      <c r="F402">
        <f t="shared" si="6"/>
        <v>2022</v>
      </c>
      <c r="G402" t="str">
        <f>IF(MONTH(Base_de_Dados[[#This Row],[Semana]])&lt;=6,"1ª Semestre","2ª Semestre")</f>
        <v>2ª Semestre</v>
      </c>
    </row>
    <row r="403" spans="1:7" x14ac:dyDescent="0.25">
      <c r="A403" t="s">
        <v>121</v>
      </c>
      <c r="B403">
        <v>0</v>
      </c>
      <c r="C403" s="3">
        <v>0</v>
      </c>
      <c r="D403" s="58">
        <v>44830</v>
      </c>
      <c r="E403" s="58" t="str">
        <f>TEXT(Base_de_Dados[[#This Row],[Semana]],"Mmmm")</f>
        <v>setembro</v>
      </c>
      <c r="F403">
        <f t="shared" si="6"/>
        <v>2022</v>
      </c>
      <c r="G403" t="str">
        <f>IF(MONTH(Base_de_Dados[[#This Row],[Semana]])&lt;=6,"1ª Semestre","2ª Semestre")</f>
        <v>2ª Semestre</v>
      </c>
    </row>
    <row r="404" spans="1:7" x14ac:dyDescent="0.25">
      <c r="A404" t="s">
        <v>15</v>
      </c>
      <c r="B404">
        <v>0</v>
      </c>
      <c r="C404" s="3">
        <v>0</v>
      </c>
      <c r="D404" s="58">
        <v>44830</v>
      </c>
      <c r="E404" s="58" t="str">
        <f>TEXT(Base_de_Dados[[#This Row],[Semana]],"Mmmm")</f>
        <v>setembro</v>
      </c>
      <c r="F404">
        <f t="shared" si="6"/>
        <v>2022</v>
      </c>
      <c r="G404" t="str">
        <f>IF(MONTH(Base_de_Dados[[#This Row],[Semana]])&lt;=6,"1ª Semestre","2ª Semestre")</f>
        <v>2ª Semestre</v>
      </c>
    </row>
    <row r="405" spans="1:7" x14ac:dyDescent="0.25">
      <c r="A405" t="s">
        <v>16</v>
      </c>
      <c r="B405">
        <v>0</v>
      </c>
      <c r="C405" s="3">
        <v>0</v>
      </c>
      <c r="D405" s="58">
        <v>44830</v>
      </c>
      <c r="E405" s="58" t="str">
        <f>TEXT(Base_de_Dados[[#This Row],[Semana]],"Mmmm")</f>
        <v>setembro</v>
      </c>
      <c r="F405">
        <f t="shared" si="6"/>
        <v>2022</v>
      </c>
      <c r="G405" t="str">
        <f>IF(MONTH(Base_de_Dados[[#This Row],[Semana]])&lt;=6,"1ª Semestre","2ª Semestre")</f>
        <v>2ª Semestre</v>
      </c>
    </row>
    <row r="406" spans="1:7" x14ac:dyDescent="0.25">
      <c r="A406" t="s">
        <v>166</v>
      </c>
      <c r="B406">
        <v>0</v>
      </c>
      <c r="C406" s="3">
        <v>0</v>
      </c>
      <c r="D406" s="58">
        <v>44830</v>
      </c>
      <c r="E406" s="58" t="str">
        <f>TEXT(Base_de_Dados[[#This Row],[Semana]],"Mmmm")</f>
        <v>setembro</v>
      </c>
      <c r="F406">
        <f t="shared" si="6"/>
        <v>2022</v>
      </c>
      <c r="G406" t="str">
        <f>IF(MONTH(Base_de_Dados[[#This Row],[Semana]])&lt;=6,"1ª Semestre","2ª Semestre")</f>
        <v>2ª Semestre</v>
      </c>
    </row>
    <row r="407" spans="1:7" x14ac:dyDescent="0.25">
      <c r="A407" t="s">
        <v>168</v>
      </c>
      <c r="B407">
        <v>0</v>
      </c>
      <c r="C407" s="3">
        <v>0</v>
      </c>
      <c r="D407" s="58">
        <v>44830</v>
      </c>
      <c r="E407" s="58" t="str">
        <f>TEXT(Base_de_Dados[[#This Row],[Semana]],"Mmmm")</f>
        <v>setembro</v>
      </c>
      <c r="F407">
        <f t="shared" si="6"/>
        <v>2022</v>
      </c>
      <c r="G407" t="str">
        <f>IF(MONTH(Base_de_Dados[[#This Row],[Semana]])&lt;=6,"1ª Semestre","2ª Semestre")</f>
        <v>2ª Semestre</v>
      </c>
    </row>
    <row r="408" spans="1:7" x14ac:dyDescent="0.25">
      <c r="A408" t="s">
        <v>176</v>
      </c>
      <c r="B408">
        <v>2</v>
      </c>
      <c r="C408" s="3">
        <v>0.13333333333333333</v>
      </c>
      <c r="D408" s="58">
        <v>44830</v>
      </c>
      <c r="E408" s="58" t="str">
        <f>TEXT(Base_de_Dados[[#This Row],[Semana]],"Mmmm")</f>
        <v>setembro</v>
      </c>
      <c r="F408">
        <f t="shared" si="6"/>
        <v>2022</v>
      </c>
      <c r="G408" t="str">
        <f>IF(MONTH(Base_de_Dados[[#This Row],[Semana]])&lt;=6,"1ª Semestre","2ª Semestre")</f>
        <v>2ª Semestre</v>
      </c>
    </row>
    <row r="409" spans="1:7" x14ac:dyDescent="0.25">
      <c r="A409" t="s">
        <v>173</v>
      </c>
      <c r="B409">
        <v>1</v>
      </c>
      <c r="C409" s="3">
        <v>6.6666666666666666E-2</v>
      </c>
      <c r="D409" s="58">
        <v>44830</v>
      </c>
      <c r="E409" s="58" t="str">
        <f>TEXT(Base_de_Dados[[#This Row],[Semana]],"Mmmm")</f>
        <v>setembro</v>
      </c>
      <c r="F409">
        <f t="shared" si="6"/>
        <v>2022</v>
      </c>
      <c r="G409" t="str">
        <f>IF(MONTH(Base_de_Dados[[#This Row],[Semana]])&lt;=6,"1ª Semestre","2ª Semestre")</f>
        <v>2ª Semestre</v>
      </c>
    </row>
    <row r="410" spans="1:7" x14ac:dyDescent="0.25">
      <c r="A410" t="s">
        <v>4</v>
      </c>
      <c r="B410">
        <v>6</v>
      </c>
      <c r="C410" s="3">
        <v>0.3</v>
      </c>
      <c r="D410" s="58">
        <v>44837</v>
      </c>
      <c r="E410" s="58" t="str">
        <f>TEXT(Base_de_Dados[[#This Row],[Semana]],"Mmmm")</f>
        <v>outubro</v>
      </c>
      <c r="F410">
        <f t="shared" si="6"/>
        <v>2022</v>
      </c>
      <c r="G410" t="str">
        <f>IF(MONTH(Base_de_Dados[[#This Row],[Semana]])&lt;=6,"1ª Semestre","2ª Semestre")</f>
        <v>2ª Semestre</v>
      </c>
    </row>
    <row r="411" spans="1:7" x14ac:dyDescent="0.25">
      <c r="A411" t="s">
        <v>5</v>
      </c>
      <c r="B411">
        <v>1</v>
      </c>
      <c r="C411" s="3">
        <v>0.05</v>
      </c>
      <c r="D411" s="58">
        <v>44837</v>
      </c>
      <c r="E411" s="58" t="str">
        <f>TEXT(Base_de_Dados[[#This Row],[Semana]],"Mmmm")</f>
        <v>outubro</v>
      </c>
      <c r="F411">
        <f t="shared" si="6"/>
        <v>2022</v>
      </c>
      <c r="G411" t="str">
        <f>IF(MONTH(Base_de_Dados[[#This Row],[Semana]])&lt;=6,"1ª Semestre","2ª Semestre")</f>
        <v>2ª Semestre</v>
      </c>
    </row>
    <row r="412" spans="1:7" x14ac:dyDescent="0.25">
      <c r="A412" t="s">
        <v>127</v>
      </c>
      <c r="B412">
        <v>0</v>
      </c>
      <c r="C412" s="3">
        <v>0</v>
      </c>
      <c r="D412" s="58">
        <v>44837</v>
      </c>
      <c r="E412" s="58" t="str">
        <f>TEXT(Base_de_Dados[[#This Row],[Semana]],"Mmmm")</f>
        <v>outubro</v>
      </c>
      <c r="F412">
        <f t="shared" si="6"/>
        <v>2022</v>
      </c>
      <c r="G412" t="str">
        <f>IF(MONTH(Base_de_Dados[[#This Row],[Semana]])&lt;=6,"1ª Semestre","2ª Semestre")</f>
        <v>2ª Semestre</v>
      </c>
    </row>
    <row r="413" spans="1:7" x14ac:dyDescent="0.25">
      <c r="A413" t="s">
        <v>7</v>
      </c>
      <c r="B413">
        <v>1</v>
      </c>
      <c r="C413" s="3">
        <v>0.05</v>
      </c>
      <c r="D413" s="58">
        <v>44837</v>
      </c>
      <c r="E413" s="58" t="str">
        <f>TEXT(Base_de_Dados[[#This Row],[Semana]],"Mmmm")</f>
        <v>outubro</v>
      </c>
      <c r="F413">
        <f t="shared" si="6"/>
        <v>2022</v>
      </c>
      <c r="G413" t="str">
        <f>IF(MONTH(Base_de_Dados[[#This Row],[Semana]])&lt;=6,"1ª Semestre","2ª Semestre")</f>
        <v>2ª Semestre</v>
      </c>
    </row>
    <row r="414" spans="1:7" x14ac:dyDescent="0.25">
      <c r="A414" t="s">
        <v>30</v>
      </c>
      <c r="B414">
        <v>0</v>
      </c>
      <c r="C414" s="3">
        <v>0</v>
      </c>
      <c r="D414" s="58">
        <v>44837</v>
      </c>
      <c r="E414" s="58" t="str">
        <f>TEXT(Base_de_Dados[[#This Row],[Semana]],"Mmmm")</f>
        <v>outubro</v>
      </c>
      <c r="F414">
        <f t="shared" si="6"/>
        <v>2022</v>
      </c>
      <c r="G414" t="str">
        <f>IF(MONTH(Base_de_Dados[[#This Row],[Semana]])&lt;=6,"1ª Semestre","2ª Semestre")</f>
        <v>2ª Semestre</v>
      </c>
    </row>
    <row r="415" spans="1:7" x14ac:dyDescent="0.25">
      <c r="A415" t="s">
        <v>118</v>
      </c>
      <c r="B415">
        <v>0</v>
      </c>
      <c r="C415" s="3">
        <v>0</v>
      </c>
      <c r="D415" s="58">
        <v>44837</v>
      </c>
      <c r="E415" s="58" t="str">
        <f>TEXT(Base_de_Dados[[#This Row],[Semana]],"Mmmm")</f>
        <v>outubro</v>
      </c>
      <c r="F415">
        <f t="shared" si="6"/>
        <v>2022</v>
      </c>
      <c r="G415" t="str">
        <f>IF(MONTH(Base_de_Dados[[#This Row],[Semana]])&lt;=6,"1ª Semestre","2ª Semestre")</f>
        <v>2ª Semestre</v>
      </c>
    </row>
    <row r="416" spans="1:7" x14ac:dyDescent="0.25">
      <c r="A416" t="s">
        <v>10</v>
      </c>
      <c r="B416">
        <v>1</v>
      </c>
      <c r="C416" s="3">
        <v>0.05</v>
      </c>
      <c r="D416" s="58">
        <v>44837</v>
      </c>
      <c r="E416" s="58" t="str">
        <f>TEXT(Base_de_Dados[[#This Row],[Semana]],"Mmmm")</f>
        <v>outubro</v>
      </c>
      <c r="F416">
        <f t="shared" si="6"/>
        <v>2022</v>
      </c>
      <c r="G416" t="str">
        <f>IF(MONTH(Base_de_Dados[[#This Row],[Semana]])&lt;=6,"1ª Semestre","2ª Semestre")</f>
        <v>2ª Semestre</v>
      </c>
    </row>
    <row r="417" spans="1:7" x14ac:dyDescent="0.25">
      <c r="A417" t="s">
        <v>11</v>
      </c>
      <c r="B417">
        <v>0</v>
      </c>
      <c r="C417" s="3">
        <v>0</v>
      </c>
      <c r="D417" s="58">
        <v>44837</v>
      </c>
      <c r="E417" s="58" t="str">
        <f>TEXT(Base_de_Dados[[#This Row],[Semana]],"Mmmm")</f>
        <v>outubro</v>
      </c>
      <c r="F417">
        <f t="shared" si="6"/>
        <v>2022</v>
      </c>
      <c r="G417" t="str">
        <f>IF(MONTH(Base_de_Dados[[#This Row],[Semana]])&lt;=6,"1ª Semestre","2ª Semestre")</f>
        <v>2ª Semestre</v>
      </c>
    </row>
    <row r="418" spans="1:7" x14ac:dyDescent="0.25">
      <c r="A418" t="s">
        <v>12</v>
      </c>
      <c r="B418">
        <v>0</v>
      </c>
      <c r="C418" s="3">
        <v>0</v>
      </c>
      <c r="D418" s="58">
        <v>44837</v>
      </c>
      <c r="E418" s="58" t="str">
        <f>TEXT(Base_de_Dados[[#This Row],[Semana]],"Mmmm")</f>
        <v>outubro</v>
      </c>
      <c r="F418">
        <f t="shared" si="6"/>
        <v>2022</v>
      </c>
      <c r="G418" t="str">
        <f>IF(MONTH(Base_de_Dados[[#This Row],[Semana]])&lt;=6,"1ª Semestre","2ª Semestre")</f>
        <v>2ª Semestre</v>
      </c>
    </row>
    <row r="419" spans="1:7" x14ac:dyDescent="0.25">
      <c r="A419" t="s">
        <v>13</v>
      </c>
      <c r="B419">
        <v>0</v>
      </c>
      <c r="C419" s="3">
        <v>0</v>
      </c>
      <c r="D419" s="58">
        <v>44837</v>
      </c>
      <c r="E419" s="58" t="str">
        <f>TEXT(Base_de_Dados[[#This Row],[Semana]],"Mmmm")</f>
        <v>outubro</v>
      </c>
      <c r="F419">
        <f t="shared" si="6"/>
        <v>2022</v>
      </c>
      <c r="G419" t="str">
        <f>IF(MONTH(Base_de_Dados[[#This Row],[Semana]])&lt;=6,"1ª Semestre","2ª Semestre")</f>
        <v>2ª Semestre</v>
      </c>
    </row>
    <row r="420" spans="1:7" x14ac:dyDescent="0.25">
      <c r="A420" t="s">
        <v>121</v>
      </c>
      <c r="B420">
        <v>0</v>
      </c>
      <c r="C420" s="3">
        <v>0</v>
      </c>
      <c r="D420" s="58">
        <v>44837</v>
      </c>
      <c r="E420" s="58" t="str">
        <f>TEXT(Base_de_Dados[[#This Row],[Semana]],"Mmmm")</f>
        <v>outubro</v>
      </c>
      <c r="F420">
        <f t="shared" si="6"/>
        <v>2022</v>
      </c>
      <c r="G420" t="str">
        <f>IF(MONTH(Base_de_Dados[[#This Row],[Semana]])&lt;=6,"1ª Semestre","2ª Semestre")</f>
        <v>2ª Semestre</v>
      </c>
    </row>
    <row r="421" spans="1:7" x14ac:dyDescent="0.25">
      <c r="A421" t="s">
        <v>15</v>
      </c>
      <c r="B421">
        <v>5</v>
      </c>
      <c r="C421" s="3">
        <v>0.25</v>
      </c>
      <c r="D421" s="58">
        <v>44837</v>
      </c>
      <c r="E421" s="58" t="str">
        <f>TEXT(Base_de_Dados[[#This Row],[Semana]],"Mmmm")</f>
        <v>outubro</v>
      </c>
      <c r="F421">
        <f t="shared" si="6"/>
        <v>2022</v>
      </c>
      <c r="G421" t="str">
        <f>IF(MONTH(Base_de_Dados[[#This Row],[Semana]])&lt;=6,"1ª Semestre","2ª Semestre")</f>
        <v>2ª Semestre</v>
      </c>
    </row>
    <row r="422" spans="1:7" x14ac:dyDescent="0.25">
      <c r="A422" t="s">
        <v>16</v>
      </c>
      <c r="B422">
        <v>0</v>
      </c>
      <c r="C422" s="3">
        <v>0</v>
      </c>
      <c r="D422" s="58">
        <v>44837</v>
      </c>
      <c r="E422" s="58" t="str">
        <f>TEXT(Base_de_Dados[[#This Row],[Semana]],"Mmmm")</f>
        <v>outubro</v>
      </c>
      <c r="F422">
        <f t="shared" si="6"/>
        <v>2022</v>
      </c>
      <c r="G422" t="str">
        <f>IF(MONTH(Base_de_Dados[[#This Row],[Semana]])&lt;=6,"1ª Semestre","2ª Semestre")</f>
        <v>2ª Semestre</v>
      </c>
    </row>
    <row r="423" spans="1:7" x14ac:dyDescent="0.25">
      <c r="A423" t="s">
        <v>166</v>
      </c>
      <c r="B423">
        <v>0</v>
      </c>
      <c r="C423" s="3">
        <v>0</v>
      </c>
      <c r="D423" s="58">
        <v>44837</v>
      </c>
      <c r="E423" s="58" t="str">
        <f>TEXT(Base_de_Dados[[#This Row],[Semana]],"Mmmm")</f>
        <v>outubro</v>
      </c>
      <c r="F423">
        <f t="shared" si="6"/>
        <v>2022</v>
      </c>
      <c r="G423" t="str">
        <f>IF(MONTH(Base_de_Dados[[#This Row],[Semana]])&lt;=6,"1ª Semestre","2ª Semestre")</f>
        <v>2ª Semestre</v>
      </c>
    </row>
    <row r="424" spans="1:7" x14ac:dyDescent="0.25">
      <c r="A424" t="s">
        <v>168</v>
      </c>
      <c r="B424">
        <v>0</v>
      </c>
      <c r="C424" s="3">
        <v>0</v>
      </c>
      <c r="D424" s="58">
        <v>44837</v>
      </c>
      <c r="E424" s="58" t="str">
        <f>TEXT(Base_de_Dados[[#This Row],[Semana]],"Mmmm")</f>
        <v>outubro</v>
      </c>
      <c r="F424">
        <f t="shared" si="6"/>
        <v>2022</v>
      </c>
      <c r="G424" t="str">
        <f>IF(MONTH(Base_de_Dados[[#This Row],[Semana]])&lt;=6,"1ª Semestre","2ª Semestre")</f>
        <v>2ª Semestre</v>
      </c>
    </row>
    <row r="425" spans="1:7" x14ac:dyDescent="0.25">
      <c r="A425" t="s">
        <v>176</v>
      </c>
      <c r="B425">
        <v>5</v>
      </c>
      <c r="C425" s="3">
        <v>0.25</v>
      </c>
      <c r="D425" s="58">
        <v>44837</v>
      </c>
      <c r="E425" s="58" t="str">
        <f>TEXT(Base_de_Dados[[#This Row],[Semana]],"Mmmm")</f>
        <v>outubro</v>
      </c>
      <c r="F425">
        <f t="shared" si="6"/>
        <v>2022</v>
      </c>
      <c r="G425" t="str">
        <f>IF(MONTH(Base_de_Dados[[#This Row],[Semana]])&lt;=6,"1ª Semestre","2ª Semestre")</f>
        <v>2ª Semestre</v>
      </c>
    </row>
    <row r="426" spans="1:7" x14ac:dyDescent="0.25">
      <c r="A426" t="s">
        <v>173</v>
      </c>
      <c r="B426">
        <v>1</v>
      </c>
      <c r="C426" s="3">
        <v>0.05</v>
      </c>
      <c r="D426" s="58">
        <v>44837</v>
      </c>
      <c r="E426" s="58" t="str">
        <f>TEXT(Base_de_Dados[[#This Row],[Semana]],"Mmmm")</f>
        <v>outubro</v>
      </c>
      <c r="F426">
        <f t="shared" si="6"/>
        <v>2022</v>
      </c>
      <c r="G426" t="str">
        <f>IF(MONTH(Base_de_Dados[[#This Row],[Semana]])&lt;=6,"1ª Semestre","2ª Semestre")</f>
        <v>2ª Semestre</v>
      </c>
    </row>
    <row r="427" spans="1:7" x14ac:dyDescent="0.25">
      <c r="A427" t="s">
        <v>4</v>
      </c>
      <c r="B427">
        <v>3</v>
      </c>
      <c r="C427" s="3">
        <v>8.8235294117647065E-2</v>
      </c>
      <c r="D427" s="58">
        <v>44844</v>
      </c>
      <c r="E427" s="58" t="str">
        <f>TEXT(Base_de_Dados[[#This Row],[Semana]],"Mmmm")</f>
        <v>outubro</v>
      </c>
      <c r="F427">
        <f t="shared" si="6"/>
        <v>2022</v>
      </c>
      <c r="G427" t="str">
        <f>IF(MONTH(Base_de_Dados[[#This Row],[Semana]])&lt;=6,"1ª Semestre","2ª Semestre")</f>
        <v>2ª Semestre</v>
      </c>
    </row>
    <row r="428" spans="1:7" x14ac:dyDescent="0.25">
      <c r="A428" t="s">
        <v>5</v>
      </c>
      <c r="B428">
        <v>0</v>
      </c>
      <c r="C428" s="3">
        <v>0</v>
      </c>
      <c r="D428" s="58">
        <v>44844</v>
      </c>
      <c r="E428" s="58" t="str">
        <f>TEXT(Base_de_Dados[[#This Row],[Semana]],"Mmmm")</f>
        <v>outubro</v>
      </c>
      <c r="F428">
        <f t="shared" si="6"/>
        <v>2022</v>
      </c>
      <c r="G428" t="str">
        <f>IF(MONTH(Base_de_Dados[[#This Row],[Semana]])&lt;=6,"1ª Semestre","2ª Semestre")</f>
        <v>2ª Semestre</v>
      </c>
    </row>
    <row r="429" spans="1:7" x14ac:dyDescent="0.25">
      <c r="A429" t="s">
        <v>127</v>
      </c>
      <c r="B429">
        <v>0</v>
      </c>
      <c r="C429" s="3">
        <v>0</v>
      </c>
      <c r="D429" s="58">
        <v>44844</v>
      </c>
      <c r="E429" s="58" t="str">
        <f>TEXT(Base_de_Dados[[#This Row],[Semana]],"Mmmm")</f>
        <v>outubro</v>
      </c>
      <c r="F429">
        <f t="shared" si="6"/>
        <v>2022</v>
      </c>
      <c r="G429" t="str">
        <f>IF(MONTH(Base_de_Dados[[#This Row],[Semana]])&lt;=6,"1ª Semestre","2ª Semestre")</f>
        <v>2ª Semestre</v>
      </c>
    </row>
    <row r="430" spans="1:7" x14ac:dyDescent="0.25">
      <c r="A430" t="s">
        <v>7</v>
      </c>
      <c r="B430">
        <v>2</v>
      </c>
      <c r="C430" s="3">
        <v>5.8823529411764705E-2</v>
      </c>
      <c r="D430" s="58">
        <v>44844</v>
      </c>
      <c r="E430" s="58" t="str">
        <f>TEXT(Base_de_Dados[[#This Row],[Semana]],"Mmmm")</f>
        <v>outubro</v>
      </c>
      <c r="F430">
        <f t="shared" si="6"/>
        <v>2022</v>
      </c>
      <c r="G430" t="str">
        <f>IF(MONTH(Base_de_Dados[[#This Row],[Semana]])&lt;=6,"1ª Semestre","2ª Semestre")</f>
        <v>2ª Semestre</v>
      </c>
    </row>
    <row r="431" spans="1:7" x14ac:dyDescent="0.25">
      <c r="A431" t="s">
        <v>30</v>
      </c>
      <c r="B431">
        <v>0</v>
      </c>
      <c r="C431" s="3">
        <v>0</v>
      </c>
      <c r="D431" s="58">
        <v>44844</v>
      </c>
      <c r="E431" s="58" t="str">
        <f>TEXT(Base_de_Dados[[#This Row],[Semana]],"Mmmm")</f>
        <v>outubro</v>
      </c>
      <c r="F431">
        <f t="shared" si="6"/>
        <v>2022</v>
      </c>
      <c r="G431" t="str">
        <f>IF(MONTH(Base_de_Dados[[#This Row],[Semana]])&lt;=6,"1ª Semestre","2ª Semestre")</f>
        <v>2ª Semestre</v>
      </c>
    </row>
    <row r="432" spans="1:7" x14ac:dyDescent="0.25">
      <c r="A432" t="s">
        <v>118</v>
      </c>
      <c r="B432">
        <v>2</v>
      </c>
      <c r="C432" s="3">
        <v>5.8823529411764705E-2</v>
      </c>
      <c r="D432" s="58">
        <v>44844</v>
      </c>
      <c r="E432" s="58" t="str">
        <f>TEXT(Base_de_Dados[[#This Row],[Semana]],"Mmmm")</f>
        <v>outubro</v>
      </c>
      <c r="F432">
        <f t="shared" si="6"/>
        <v>2022</v>
      </c>
      <c r="G432" t="str">
        <f>IF(MONTH(Base_de_Dados[[#This Row],[Semana]])&lt;=6,"1ª Semestre","2ª Semestre")</f>
        <v>2ª Semestre</v>
      </c>
    </row>
    <row r="433" spans="1:7" x14ac:dyDescent="0.25">
      <c r="A433" t="s">
        <v>10</v>
      </c>
      <c r="B433">
        <v>0</v>
      </c>
      <c r="C433" s="3">
        <v>0</v>
      </c>
      <c r="D433" s="58">
        <v>44844</v>
      </c>
      <c r="E433" s="58" t="str">
        <f>TEXT(Base_de_Dados[[#This Row],[Semana]],"Mmmm")</f>
        <v>outubro</v>
      </c>
      <c r="F433">
        <f t="shared" si="6"/>
        <v>2022</v>
      </c>
      <c r="G433" t="str">
        <f>IF(MONTH(Base_de_Dados[[#This Row],[Semana]])&lt;=6,"1ª Semestre","2ª Semestre")</f>
        <v>2ª Semestre</v>
      </c>
    </row>
    <row r="434" spans="1:7" x14ac:dyDescent="0.25">
      <c r="A434" t="s">
        <v>11</v>
      </c>
      <c r="B434">
        <v>0</v>
      </c>
      <c r="C434" s="3">
        <v>0</v>
      </c>
      <c r="D434" s="58">
        <v>44844</v>
      </c>
      <c r="E434" s="58" t="str">
        <f>TEXT(Base_de_Dados[[#This Row],[Semana]],"Mmmm")</f>
        <v>outubro</v>
      </c>
      <c r="F434">
        <f t="shared" si="6"/>
        <v>2022</v>
      </c>
      <c r="G434" t="str">
        <f>IF(MONTH(Base_de_Dados[[#This Row],[Semana]])&lt;=6,"1ª Semestre","2ª Semestre")</f>
        <v>2ª Semestre</v>
      </c>
    </row>
    <row r="435" spans="1:7" x14ac:dyDescent="0.25">
      <c r="A435" t="s">
        <v>12</v>
      </c>
      <c r="B435">
        <v>1</v>
      </c>
      <c r="C435" s="3">
        <v>2.9411764705882353E-2</v>
      </c>
      <c r="D435" s="58">
        <v>44844</v>
      </c>
      <c r="E435" s="58" t="str">
        <f>TEXT(Base_de_Dados[[#This Row],[Semana]],"Mmmm")</f>
        <v>outubro</v>
      </c>
      <c r="F435">
        <f t="shared" si="6"/>
        <v>2022</v>
      </c>
      <c r="G435" t="str">
        <f>IF(MONTH(Base_de_Dados[[#This Row],[Semana]])&lt;=6,"1ª Semestre","2ª Semestre")</f>
        <v>2ª Semestre</v>
      </c>
    </row>
    <row r="436" spans="1:7" x14ac:dyDescent="0.25">
      <c r="A436" t="s">
        <v>13</v>
      </c>
      <c r="B436">
        <v>0</v>
      </c>
      <c r="C436" s="3">
        <v>0</v>
      </c>
      <c r="D436" s="58">
        <v>44844</v>
      </c>
      <c r="E436" s="58" t="str">
        <f>TEXT(Base_de_Dados[[#This Row],[Semana]],"Mmmm")</f>
        <v>outubro</v>
      </c>
      <c r="F436">
        <f t="shared" si="6"/>
        <v>2022</v>
      </c>
      <c r="G436" t="str">
        <f>IF(MONTH(Base_de_Dados[[#This Row],[Semana]])&lt;=6,"1ª Semestre","2ª Semestre")</f>
        <v>2ª Semestre</v>
      </c>
    </row>
    <row r="437" spans="1:7" x14ac:dyDescent="0.25">
      <c r="A437" t="s">
        <v>121</v>
      </c>
      <c r="B437">
        <v>0</v>
      </c>
      <c r="C437" s="3">
        <v>0</v>
      </c>
      <c r="D437" s="58">
        <v>44844</v>
      </c>
      <c r="E437" s="58" t="str">
        <f>TEXT(Base_de_Dados[[#This Row],[Semana]],"Mmmm")</f>
        <v>outubro</v>
      </c>
      <c r="F437">
        <f t="shared" si="6"/>
        <v>2022</v>
      </c>
      <c r="G437" t="str">
        <f>IF(MONTH(Base_de_Dados[[#This Row],[Semana]])&lt;=6,"1ª Semestre","2ª Semestre")</f>
        <v>2ª Semestre</v>
      </c>
    </row>
    <row r="438" spans="1:7" x14ac:dyDescent="0.25">
      <c r="A438" t="s">
        <v>15</v>
      </c>
      <c r="B438">
        <v>16</v>
      </c>
      <c r="C438" s="3">
        <v>0.47058823529411764</v>
      </c>
      <c r="D438" s="58">
        <v>44844</v>
      </c>
      <c r="E438" s="58" t="str">
        <f>TEXT(Base_de_Dados[[#This Row],[Semana]],"Mmmm")</f>
        <v>outubro</v>
      </c>
      <c r="F438">
        <f t="shared" si="6"/>
        <v>2022</v>
      </c>
      <c r="G438" t="str">
        <f>IF(MONTH(Base_de_Dados[[#This Row],[Semana]])&lt;=6,"1ª Semestre","2ª Semestre")</f>
        <v>2ª Semestre</v>
      </c>
    </row>
    <row r="439" spans="1:7" x14ac:dyDescent="0.25">
      <c r="A439" t="s">
        <v>16</v>
      </c>
      <c r="B439">
        <v>1</v>
      </c>
      <c r="C439" s="3">
        <v>2.9411764705882353E-2</v>
      </c>
      <c r="D439" s="58">
        <v>44844</v>
      </c>
      <c r="E439" s="58" t="str">
        <f>TEXT(Base_de_Dados[[#This Row],[Semana]],"Mmmm")</f>
        <v>outubro</v>
      </c>
      <c r="F439">
        <f t="shared" si="6"/>
        <v>2022</v>
      </c>
      <c r="G439" t="str">
        <f>IF(MONTH(Base_de_Dados[[#This Row],[Semana]])&lt;=6,"1ª Semestre","2ª Semestre")</f>
        <v>2ª Semestre</v>
      </c>
    </row>
    <row r="440" spans="1:7" x14ac:dyDescent="0.25">
      <c r="A440" t="s">
        <v>166</v>
      </c>
      <c r="B440">
        <v>0</v>
      </c>
      <c r="C440" s="3">
        <v>0</v>
      </c>
      <c r="D440" s="58">
        <v>44844</v>
      </c>
      <c r="E440" s="58" t="str">
        <f>TEXT(Base_de_Dados[[#This Row],[Semana]],"Mmmm")</f>
        <v>outubro</v>
      </c>
      <c r="F440">
        <f t="shared" si="6"/>
        <v>2022</v>
      </c>
      <c r="G440" t="str">
        <f>IF(MONTH(Base_de_Dados[[#This Row],[Semana]])&lt;=6,"1ª Semestre","2ª Semestre")</f>
        <v>2ª Semestre</v>
      </c>
    </row>
    <row r="441" spans="1:7" x14ac:dyDescent="0.25">
      <c r="A441" t="s">
        <v>168</v>
      </c>
      <c r="B441">
        <v>0</v>
      </c>
      <c r="C441" s="3">
        <v>0</v>
      </c>
      <c r="D441" s="58">
        <v>44844</v>
      </c>
      <c r="E441" s="58" t="str">
        <f>TEXT(Base_de_Dados[[#This Row],[Semana]],"Mmmm")</f>
        <v>outubro</v>
      </c>
      <c r="F441">
        <f t="shared" si="6"/>
        <v>2022</v>
      </c>
      <c r="G441" t="str">
        <f>IF(MONTH(Base_de_Dados[[#This Row],[Semana]])&lt;=6,"1ª Semestre","2ª Semestre")</f>
        <v>2ª Semestre</v>
      </c>
    </row>
    <row r="442" spans="1:7" x14ac:dyDescent="0.25">
      <c r="A442" t="s">
        <v>176</v>
      </c>
      <c r="B442">
        <v>9</v>
      </c>
      <c r="C442" s="3">
        <v>0.26470588235294118</v>
      </c>
      <c r="D442" s="58">
        <v>44844</v>
      </c>
      <c r="E442" s="58" t="str">
        <f>TEXT(Base_de_Dados[[#This Row],[Semana]],"Mmmm")</f>
        <v>outubro</v>
      </c>
      <c r="F442">
        <f t="shared" si="6"/>
        <v>2022</v>
      </c>
      <c r="G442" t="str">
        <f>IF(MONTH(Base_de_Dados[[#This Row],[Semana]])&lt;=6,"1ª Semestre","2ª Semestre")</f>
        <v>2ª Semestre</v>
      </c>
    </row>
    <row r="443" spans="1:7" x14ac:dyDescent="0.25">
      <c r="A443" t="s">
        <v>173</v>
      </c>
      <c r="B443">
        <v>0</v>
      </c>
      <c r="C443" s="3">
        <v>0</v>
      </c>
      <c r="D443" s="58">
        <v>44844</v>
      </c>
      <c r="E443" s="58" t="str">
        <f>TEXT(Base_de_Dados[[#This Row],[Semana]],"Mmmm")</f>
        <v>outubro</v>
      </c>
      <c r="F443">
        <f t="shared" si="6"/>
        <v>2022</v>
      </c>
      <c r="G443" t="str">
        <f>IF(MONTH(Base_de_Dados[[#This Row],[Semana]])&lt;=6,"1ª Semestre","2ª Semestre")</f>
        <v>2ª Semestre</v>
      </c>
    </row>
    <row r="444" spans="1:7" x14ac:dyDescent="0.25">
      <c r="A444" t="s">
        <v>4</v>
      </c>
      <c r="B444">
        <v>0</v>
      </c>
      <c r="C444" s="3">
        <v>0</v>
      </c>
      <c r="D444" s="58">
        <v>44851</v>
      </c>
      <c r="E444" s="58" t="str">
        <f>TEXT(Base_de_Dados[[#This Row],[Semana]],"Mmmm")</f>
        <v>outubro</v>
      </c>
      <c r="F444">
        <f t="shared" si="6"/>
        <v>2022</v>
      </c>
      <c r="G444" t="str">
        <f>IF(MONTH(Base_de_Dados[[#This Row],[Semana]])&lt;=6,"1ª Semestre","2ª Semestre")</f>
        <v>2ª Semestre</v>
      </c>
    </row>
    <row r="445" spans="1:7" x14ac:dyDescent="0.25">
      <c r="A445" t="s">
        <v>5</v>
      </c>
      <c r="B445">
        <v>1</v>
      </c>
      <c r="C445" s="3">
        <v>3.0303030303030304E-2</v>
      </c>
      <c r="D445" s="58">
        <v>44851</v>
      </c>
      <c r="E445" s="58" t="str">
        <f>TEXT(Base_de_Dados[[#This Row],[Semana]],"Mmmm")</f>
        <v>outubro</v>
      </c>
      <c r="F445">
        <f t="shared" si="6"/>
        <v>2022</v>
      </c>
      <c r="G445" t="str">
        <f>IF(MONTH(Base_de_Dados[[#This Row],[Semana]])&lt;=6,"1ª Semestre","2ª Semestre")</f>
        <v>2ª Semestre</v>
      </c>
    </row>
    <row r="446" spans="1:7" x14ac:dyDescent="0.25">
      <c r="A446" t="s">
        <v>127</v>
      </c>
      <c r="B446">
        <v>0</v>
      </c>
      <c r="C446" s="3">
        <v>0</v>
      </c>
      <c r="D446" s="58">
        <v>44851</v>
      </c>
      <c r="E446" s="58" t="str">
        <f>TEXT(Base_de_Dados[[#This Row],[Semana]],"Mmmm")</f>
        <v>outubro</v>
      </c>
      <c r="F446">
        <f t="shared" si="6"/>
        <v>2022</v>
      </c>
      <c r="G446" t="str">
        <f>IF(MONTH(Base_de_Dados[[#This Row],[Semana]])&lt;=6,"1ª Semestre","2ª Semestre")</f>
        <v>2ª Semestre</v>
      </c>
    </row>
    <row r="447" spans="1:7" x14ac:dyDescent="0.25">
      <c r="A447" t="s">
        <v>7</v>
      </c>
      <c r="B447">
        <v>3</v>
      </c>
      <c r="C447" s="3">
        <v>9.0909090909090912E-2</v>
      </c>
      <c r="D447" s="58">
        <v>44851</v>
      </c>
      <c r="E447" s="58" t="str">
        <f>TEXT(Base_de_Dados[[#This Row],[Semana]],"Mmmm")</f>
        <v>outubro</v>
      </c>
      <c r="F447">
        <f t="shared" si="6"/>
        <v>2022</v>
      </c>
      <c r="G447" t="str">
        <f>IF(MONTH(Base_de_Dados[[#This Row],[Semana]])&lt;=6,"1ª Semestre","2ª Semestre")</f>
        <v>2ª Semestre</v>
      </c>
    </row>
    <row r="448" spans="1:7" x14ac:dyDescent="0.25">
      <c r="A448" t="s">
        <v>30</v>
      </c>
      <c r="B448">
        <v>0</v>
      </c>
      <c r="C448" s="3">
        <v>0</v>
      </c>
      <c r="D448" s="58">
        <v>44851</v>
      </c>
      <c r="E448" s="58" t="str">
        <f>TEXT(Base_de_Dados[[#This Row],[Semana]],"Mmmm")</f>
        <v>outubro</v>
      </c>
      <c r="F448">
        <f t="shared" si="6"/>
        <v>2022</v>
      </c>
      <c r="G448" t="str">
        <f>IF(MONTH(Base_de_Dados[[#This Row],[Semana]])&lt;=6,"1ª Semestre","2ª Semestre")</f>
        <v>2ª Semestre</v>
      </c>
    </row>
    <row r="449" spans="1:7" x14ac:dyDescent="0.25">
      <c r="A449" t="s">
        <v>118</v>
      </c>
      <c r="B449">
        <v>2</v>
      </c>
      <c r="C449" s="3">
        <v>6.0606060606060608E-2</v>
      </c>
      <c r="D449" s="58">
        <v>44851</v>
      </c>
      <c r="E449" s="58" t="str">
        <f>TEXT(Base_de_Dados[[#This Row],[Semana]],"Mmmm")</f>
        <v>outubro</v>
      </c>
      <c r="F449">
        <f t="shared" si="6"/>
        <v>2022</v>
      </c>
      <c r="G449" t="str">
        <f>IF(MONTH(Base_de_Dados[[#This Row],[Semana]])&lt;=6,"1ª Semestre","2ª Semestre")</f>
        <v>2ª Semestre</v>
      </c>
    </row>
    <row r="450" spans="1:7" x14ac:dyDescent="0.25">
      <c r="A450" t="s">
        <v>10</v>
      </c>
      <c r="B450">
        <v>0</v>
      </c>
      <c r="C450" s="3">
        <v>0</v>
      </c>
      <c r="D450" s="58">
        <v>44851</v>
      </c>
      <c r="E450" s="58" t="str">
        <f>TEXT(Base_de_Dados[[#This Row],[Semana]],"Mmmm")</f>
        <v>outubro</v>
      </c>
      <c r="F450">
        <f t="shared" si="6"/>
        <v>2022</v>
      </c>
      <c r="G450" t="str">
        <f>IF(MONTH(Base_de_Dados[[#This Row],[Semana]])&lt;=6,"1ª Semestre","2ª Semestre")</f>
        <v>2ª Semestre</v>
      </c>
    </row>
    <row r="451" spans="1:7" x14ac:dyDescent="0.25">
      <c r="A451" t="s">
        <v>11</v>
      </c>
      <c r="B451">
        <v>0</v>
      </c>
      <c r="C451" s="3">
        <v>0</v>
      </c>
      <c r="D451" s="58">
        <v>44851</v>
      </c>
      <c r="E451" s="58" t="str">
        <f>TEXT(Base_de_Dados[[#This Row],[Semana]],"Mmmm")</f>
        <v>outubro</v>
      </c>
      <c r="F451">
        <f t="shared" ref="F451:F514" si="7">YEAR(D451)</f>
        <v>2022</v>
      </c>
      <c r="G451" t="str">
        <f>IF(MONTH(Base_de_Dados[[#This Row],[Semana]])&lt;=6,"1ª Semestre","2ª Semestre")</f>
        <v>2ª Semestre</v>
      </c>
    </row>
    <row r="452" spans="1:7" x14ac:dyDescent="0.25">
      <c r="A452" t="s">
        <v>12</v>
      </c>
      <c r="B452">
        <v>0</v>
      </c>
      <c r="C452" s="3">
        <v>0</v>
      </c>
      <c r="D452" s="58">
        <v>44851</v>
      </c>
      <c r="E452" s="58" t="str">
        <f>TEXT(Base_de_Dados[[#This Row],[Semana]],"Mmmm")</f>
        <v>outubro</v>
      </c>
      <c r="F452">
        <f t="shared" si="7"/>
        <v>2022</v>
      </c>
      <c r="G452" t="str">
        <f>IF(MONTH(Base_de_Dados[[#This Row],[Semana]])&lt;=6,"1ª Semestre","2ª Semestre")</f>
        <v>2ª Semestre</v>
      </c>
    </row>
    <row r="453" spans="1:7" x14ac:dyDescent="0.25">
      <c r="A453" t="s">
        <v>13</v>
      </c>
      <c r="B453">
        <v>5</v>
      </c>
      <c r="C453" s="3">
        <v>0.15151515151515152</v>
      </c>
      <c r="D453" s="58">
        <v>44851</v>
      </c>
      <c r="E453" s="58" t="str">
        <f>TEXT(Base_de_Dados[[#This Row],[Semana]],"Mmmm")</f>
        <v>outubro</v>
      </c>
      <c r="F453">
        <f t="shared" si="7"/>
        <v>2022</v>
      </c>
      <c r="G453" t="str">
        <f>IF(MONTH(Base_de_Dados[[#This Row],[Semana]])&lt;=6,"1ª Semestre","2ª Semestre")</f>
        <v>2ª Semestre</v>
      </c>
    </row>
    <row r="454" spans="1:7" x14ac:dyDescent="0.25">
      <c r="A454" t="s">
        <v>121</v>
      </c>
      <c r="B454">
        <v>0</v>
      </c>
      <c r="C454" s="3">
        <v>0</v>
      </c>
      <c r="D454" s="58">
        <v>44851</v>
      </c>
      <c r="E454" s="58" t="str">
        <f>TEXT(Base_de_Dados[[#This Row],[Semana]],"Mmmm")</f>
        <v>outubro</v>
      </c>
      <c r="F454">
        <f t="shared" si="7"/>
        <v>2022</v>
      </c>
      <c r="G454" t="str">
        <f>IF(MONTH(Base_de_Dados[[#This Row],[Semana]])&lt;=6,"1ª Semestre","2ª Semestre")</f>
        <v>2ª Semestre</v>
      </c>
    </row>
    <row r="455" spans="1:7" x14ac:dyDescent="0.25">
      <c r="A455" t="s">
        <v>15</v>
      </c>
      <c r="B455">
        <v>14</v>
      </c>
      <c r="C455" s="3">
        <v>0.42424242424242425</v>
      </c>
      <c r="D455" s="58">
        <v>44851</v>
      </c>
      <c r="E455" s="58" t="str">
        <f>TEXT(Base_de_Dados[[#This Row],[Semana]],"Mmmm")</f>
        <v>outubro</v>
      </c>
      <c r="F455">
        <f t="shared" si="7"/>
        <v>2022</v>
      </c>
      <c r="G455" t="str">
        <f>IF(MONTH(Base_de_Dados[[#This Row],[Semana]])&lt;=6,"1ª Semestre","2ª Semestre")</f>
        <v>2ª Semestre</v>
      </c>
    </row>
    <row r="456" spans="1:7" x14ac:dyDescent="0.25">
      <c r="A456" t="s">
        <v>16</v>
      </c>
      <c r="B456">
        <v>0</v>
      </c>
      <c r="C456" s="3">
        <v>0</v>
      </c>
      <c r="D456" s="58">
        <v>44851</v>
      </c>
      <c r="E456" s="58" t="str">
        <f>TEXT(Base_de_Dados[[#This Row],[Semana]],"Mmmm")</f>
        <v>outubro</v>
      </c>
      <c r="F456">
        <f t="shared" si="7"/>
        <v>2022</v>
      </c>
      <c r="G456" t="str">
        <f>IF(MONTH(Base_de_Dados[[#This Row],[Semana]])&lt;=6,"1ª Semestre","2ª Semestre")</f>
        <v>2ª Semestre</v>
      </c>
    </row>
    <row r="457" spans="1:7" x14ac:dyDescent="0.25">
      <c r="A457" t="s">
        <v>166</v>
      </c>
      <c r="B457">
        <v>0</v>
      </c>
      <c r="C457" s="3">
        <v>0</v>
      </c>
      <c r="D457" s="58">
        <v>44851</v>
      </c>
      <c r="E457" s="58" t="str">
        <f>TEXT(Base_de_Dados[[#This Row],[Semana]],"Mmmm")</f>
        <v>outubro</v>
      </c>
      <c r="F457">
        <f t="shared" si="7"/>
        <v>2022</v>
      </c>
      <c r="G457" t="str">
        <f>IF(MONTH(Base_de_Dados[[#This Row],[Semana]])&lt;=6,"1ª Semestre","2ª Semestre")</f>
        <v>2ª Semestre</v>
      </c>
    </row>
    <row r="458" spans="1:7" x14ac:dyDescent="0.25">
      <c r="A458" t="s">
        <v>168</v>
      </c>
      <c r="B458">
        <v>0</v>
      </c>
      <c r="C458" s="3">
        <v>0</v>
      </c>
      <c r="D458" s="58">
        <v>44851</v>
      </c>
      <c r="E458" s="58" t="str">
        <f>TEXT(Base_de_Dados[[#This Row],[Semana]],"Mmmm")</f>
        <v>outubro</v>
      </c>
      <c r="F458">
        <f t="shared" si="7"/>
        <v>2022</v>
      </c>
      <c r="G458" t="str">
        <f>IF(MONTH(Base_de_Dados[[#This Row],[Semana]])&lt;=6,"1ª Semestre","2ª Semestre")</f>
        <v>2ª Semestre</v>
      </c>
    </row>
    <row r="459" spans="1:7" x14ac:dyDescent="0.25">
      <c r="A459" t="s">
        <v>176</v>
      </c>
      <c r="B459">
        <v>8</v>
      </c>
      <c r="C459" s="3">
        <v>0.24242424242424243</v>
      </c>
      <c r="D459" s="58">
        <v>44851</v>
      </c>
      <c r="E459" s="58" t="str">
        <f>TEXT(Base_de_Dados[[#This Row],[Semana]],"Mmmm")</f>
        <v>outubro</v>
      </c>
      <c r="F459">
        <f t="shared" si="7"/>
        <v>2022</v>
      </c>
      <c r="G459" t="str">
        <f>IF(MONTH(Base_de_Dados[[#This Row],[Semana]])&lt;=6,"1ª Semestre","2ª Semestre")</f>
        <v>2ª Semestre</v>
      </c>
    </row>
    <row r="460" spans="1:7" x14ac:dyDescent="0.25">
      <c r="A460" t="s">
        <v>173</v>
      </c>
      <c r="B460">
        <v>0</v>
      </c>
      <c r="C460" s="3">
        <v>0</v>
      </c>
      <c r="D460" s="58">
        <v>44851</v>
      </c>
      <c r="E460" s="58" t="str">
        <f>TEXT(Base_de_Dados[[#This Row],[Semana]],"Mmmm")</f>
        <v>outubro</v>
      </c>
      <c r="F460">
        <f t="shared" si="7"/>
        <v>2022</v>
      </c>
      <c r="G460" t="str">
        <f>IF(MONTH(Base_de_Dados[[#This Row],[Semana]])&lt;=6,"1ª Semestre","2ª Semestre")</f>
        <v>2ª Semestre</v>
      </c>
    </row>
    <row r="461" spans="1:7" x14ac:dyDescent="0.25">
      <c r="A461" t="s">
        <v>4</v>
      </c>
      <c r="B461">
        <v>1</v>
      </c>
      <c r="C461" s="3">
        <v>4.3478260869565216E-2</v>
      </c>
      <c r="D461" s="58">
        <v>44858</v>
      </c>
      <c r="E461" s="58" t="str">
        <f>TEXT(Base_de_Dados[[#This Row],[Semana]],"Mmmm")</f>
        <v>outubro</v>
      </c>
      <c r="F461">
        <f t="shared" si="7"/>
        <v>2022</v>
      </c>
      <c r="G461" t="str">
        <f>IF(MONTH(Base_de_Dados[[#This Row],[Semana]])&lt;=6,"1ª Semestre","2ª Semestre")</f>
        <v>2ª Semestre</v>
      </c>
    </row>
    <row r="462" spans="1:7" x14ac:dyDescent="0.25">
      <c r="A462" t="s">
        <v>5</v>
      </c>
      <c r="B462">
        <v>5</v>
      </c>
      <c r="C462" s="3">
        <v>0.21739130434782608</v>
      </c>
      <c r="D462" s="58">
        <v>44858</v>
      </c>
      <c r="E462" s="58" t="str">
        <f>TEXT(Base_de_Dados[[#This Row],[Semana]],"Mmmm")</f>
        <v>outubro</v>
      </c>
      <c r="F462">
        <f t="shared" si="7"/>
        <v>2022</v>
      </c>
      <c r="G462" t="str">
        <f>IF(MONTH(Base_de_Dados[[#This Row],[Semana]])&lt;=6,"1ª Semestre","2ª Semestre")</f>
        <v>2ª Semestre</v>
      </c>
    </row>
    <row r="463" spans="1:7" x14ac:dyDescent="0.25">
      <c r="A463" t="s">
        <v>127</v>
      </c>
      <c r="B463">
        <v>0</v>
      </c>
      <c r="C463" s="3">
        <v>0</v>
      </c>
      <c r="D463" s="58">
        <v>44858</v>
      </c>
      <c r="E463" s="58" t="str">
        <f>TEXT(Base_de_Dados[[#This Row],[Semana]],"Mmmm")</f>
        <v>outubro</v>
      </c>
      <c r="F463">
        <f t="shared" si="7"/>
        <v>2022</v>
      </c>
      <c r="G463" t="str">
        <f>IF(MONTH(Base_de_Dados[[#This Row],[Semana]])&lt;=6,"1ª Semestre","2ª Semestre")</f>
        <v>2ª Semestre</v>
      </c>
    </row>
    <row r="464" spans="1:7" x14ac:dyDescent="0.25">
      <c r="A464" t="s">
        <v>7</v>
      </c>
      <c r="B464">
        <v>1</v>
      </c>
      <c r="C464" s="3">
        <v>4.3478260869565216E-2</v>
      </c>
      <c r="D464" s="58">
        <v>44858</v>
      </c>
      <c r="E464" s="58" t="str">
        <f>TEXT(Base_de_Dados[[#This Row],[Semana]],"Mmmm")</f>
        <v>outubro</v>
      </c>
      <c r="F464">
        <f t="shared" si="7"/>
        <v>2022</v>
      </c>
      <c r="G464" t="str">
        <f>IF(MONTH(Base_de_Dados[[#This Row],[Semana]])&lt;=6,"1ª Semestre","2ª Semestre")</f>
        <v>2ª Semestre</v>
      </c>
    </row>
    <row r="465" spans="1:7" x14ac:dyDescent="0.25">
      <c r="A465" t="s">
        <v>30</v>
      </c>
      <c r="B465">
        <v>0</v>
      </c>
      <c r="C465" s="3">
        <v>0</v>
      </c>
      <c r="D465" s="58">
        <v>44858</v>
      </c>
      <c r="E465" s="58" t="str">
        <f>TEXT(Base_de_Dados[[#This Row],[Semana]],"Mmmm")</f>
        <v>outubro</v>
      </c>
      <c r="F465">
        <f t="shared" si="7"/>
        <v>2022</v>
      </c>
      <c r="G465" t="str">
        <f>IF(MONTH(Base_de_Dados[[#This Row],[Semana]])&lt;=6,"1ª Semestre","2ª Semestre")</f>
        <v>2ª Semestre</v>
      </c>
    </row>
    <row r="466" spans="1:7" x14ac:dyDescent="0.25">
      <c r="A466" t="s">
        <v>118</v>
      </c>
      <c r="B466">
        <v>0</v>
      </c>
      <c r="C466" s="3">
        <v>0</v>
      </c>
      <c r="D466" s="58">
        <v>44858</v>
      </c>
      <c r="E466" s="58" t="str">
        <f>TEXT(Base_de_Dados[[#This Row],[Semana]],"Mmmm")</f>
        <v>outubro</v>
      </c>
      <c r="F466">
        <f t="shared" si="7"/>
        <v>2022</v>
      </c>
      <c r="G466" t="str">
        <f>IF(MONTH(Base_de_Dados[[#This Row],[Semana]])&lt;=6,"1ª Semestre","2ª Semestre")</f>
        <v>2ª Semestre</v>
      </c>
    </row>
    <row r="467" spans="1:7" x14ac:dyDescent="0.25">
      <c r="A467" t="s">
        <v>10</v>
      </c>
      <c r="B467">
        <v>0</v>
      </c>
      <c r="C467" s="3">
        <v>0</v>
      </c>
      <c r="D467" s="58">
        <v>44858</v>
      </c>
      <c r="E467" s="58" t="str">
        <f>TEXT(Base_de_Dados[[#This Row],[Semana]],"Mmmm")</f>
        <v>outubro</v>
      </c>
      <c r="F467">
        <f t="shared" si="7"/>
        <v>2022</v>
      </c>
      <c r="G467" t="str">
        <f>IF(MONTH(Base_de_Dados[[#This Row],[Semana]])&lt;=6,"1ª Semestre","2ª Semestre")</f>
        <v>2ª Semestre</v>
      </c>
    </row>
    <row r="468" spans="1:7" x14ac:dyDescent="0.25">
      <c r="A468" t="s">
        <v>11</v>
      </c>
      <c r="B468">
        <v>0</v>
      </c>
      <c r="C468" s="3">
        <v>0</v>
      </c>
      <c r="D468" s="58">
        <v>44858</v>
      </c>
      <c r="E468" s="58" t="str">
        <f>TEXT(Base_de_Dados[[#This Row],[Semana]],"Mmmm")</f>
        <v>outubro</v>
      </c>
      <c r="F468">
        <f t="shared" si="7"/>
        <v>2022</v>
      </c>
      <c r="G468" t="str">
        <f>IF(MONTH(Base_de_Dados[[#This Row],[Semana]])&lt;=6,"1ª Semestre","2ª Semestre")</f>
        <v>2ª Semestre</v>
      </c>
    </row>
    <row r="469" spans="1:7" x14ac:dyDescent="0.25">
      <c r="A469" t="s">
        <v>12</v>
      </c>
      <c r="B469">
        <v>0</v>
      </c>
      <c r="C469" s="3">
        <v>0</v>
      </c>
      <c r="D469" s="58">
        <v>44858</v>
      </c>
      <c r="E469" s="58" t="str">
        <f>TEXT(Base_de_Dados[[#This Row],[Semana]],"Mmmm")</f>
        <v>outubro</v>
      </c>
      <c r="F469">
        <f t="shared" si="7"/>
        <v>2022</v>
      </c>
      <c r="G469" t="str">
        <f>IF(MONTH(Base_de_Dados[[#This Row],[Semana]])&lt;=6,"1ª Semestre","2ª Semestre")</f>
        <v>2ª Semestre</v>
      </c>
    </row>
    <row r="470" spans="1:7" x14ac:dyDescent="0.25">
      <c r="A470" t="s">
        <v>13</v>
      </c>
      <c r="B470">
        <v>3</v>
      </c>
      <c r="C470" s="3">
        <v>0.13043478260869565</v>
      </c>
      <c r="D470" s="58">
        <v>44858</v>
      </c>
      <c r="E470" s="58" t="str">
        <f>TEXT(Base_de_Dados[[#This Row],[Semana]],"Mmmm")</f>
        <v>outubro</v>
      </c>
      <c r="F470">
        <f t="shared" si="7"/>
        <v>2022</v>
      </c>
      <c r="G470" t="str">
        <f>IF(MONTH(Base_de_Dados[[#This Row],[Semana]])&lt;=6,"1ª Semestre","2ª Semestre")</f>
        <v>2ª Semestre</v>
      </c>
    </row>
    <row r="471" spans="1:7" x14ac:dyDescent="0.25">
      <c r="A471" t="s">
        <v>121</v>
      </c>
      <c r="B471">
        <v>0</v>
      </c>
      <c r="C471" s="3">
        <v>0</v>
      </c>
      <c r="D471" s="58">
        <v>44858</v>
      </c>
      <c r="E471" s="58" t="str">
        <f>TEXT(Base_de_Dados[[#This Row],[Semana]],"Mmmm")</f>
        <v>outubro</v>
      </c>
      <c r="F471">
        <f t="shared" si="7"/>
        <v>2022</v>
      </c>
      <c r="G471" t="str">
        <f>IF(MONTH(Base_de_Dados[[#This Row],[Semana]])&lt;=6,"1ª Semestre","2ª Semestre")</f>
        <v>2ª Semestre</v>
      </c>
    </row>
    <row r="472" spans="1:7" x14ac:dyDescent="0.25">
      <c r="A472" t="s">
        <v>15</v>
      </c>
      <c r="B472">
        <v>7</v>
      </c>
      <c r="C472" s="3">
        <v>0.30434782608695654</v>
      </c>
      <c r="D472" s="58">
        <v>44858</v>
      </c>
      <c r="E472" s="58" t="str">
        <f>TEXT(Base_de_Dados[[#This Row],[Semana]],"Mmmm")</f>
        <v>outubro</v>
      </c>
      <c r="F472">
        <f t="shared" si="7"/>
        <v>2022</v>
      </c>
      <c r="G472" t="str">
        <f>IF(MONTH(Base_de_Dados[[#This Row],[Semana]])&lt;=6,"1ª Semestre","2ª Semestre")</f>
        <v>2ª Semestre</v>
      </c>
    </row>
    <row r="473" spans="1:7" x14ac:dyDescent="0.25">
      <c r="A473" t="s">
        <v>16</v>
      </c>
      <c r="B473">
        <v>0</v>
      </c>
      <c r="C473" s="3">
        <v>0</v>
      </c>
      <c r="D473" s="58">
        <v>44858</v>
      </c>
      <c r="E473" s="58" t="str">
        <f>TEXT(Base_de_Dados[[#This Row],[Semana]],"Mmmm")</f>
        <v>outubro</v>
      </c>
      <c r="F473">
        <f t="shared" si="7"/>
        <v>2022</v>
      </c>
      <c r="G473" t="str">
        <f>IF(MONTH(Base_de_Dados[[#This Row],[Semana]])&lt;=6,"1ª Semestre","2ª Semestre")</f>
        <v>2ª Semestre</v>
      </c>
    </row>
    <row r="474" spans="1:7" x14ac:dyDescent="0.25">
      <c r="A474" t="s">
        <v>166</v>
      </c>
      <c r="B474">
        <v>0</v>
      </c>
      <c r="C474" s="3">
        <v>0</v>
      </c>
      <c r="D474" s="58">
        <v>44858</v>
      </c>
      <c r="E474" s="58" t="str">
        <f>TEXT(Base_de_Dados[[#This Row],[Semana]],"Mmmm")</f>
        <v>outubro</v>
      </c>
      <c r="F474">
        <f t="shared" si="7"/>
        <v>2022</v>
      </c>
      <c r="G474" t="str">
        <f>IF(MONTH(Base_de_Dados[[#This Row],[Semana]])&lt;=6,"1ª Semestre","2ª Semestre")</f>
        <v>2ª Semestre</v>
      </c>
    </row>
    <row r="475" spans="1:7" x14ac:dyDescent="0.25">
      <c r="A475" t="s">
        <v>168</v>
      </c>
      <c r="B475">
        <v>0</v>
      </c>
      <c r="C475" s="3">
        <v>0</v>
      </c>
      <c r="D475" s="58">
        <v>44858</v>
      </c>
      <c r="E475" s="58" t="str">
        <f>TEXT(Base_de_Dados[[#This Row],[Semana]],"Mmmm")</f>
        <v>outubro</v>
      </c>
      <c r="F475">
        <f t="shared" si="7"/>
        <v>2022</v>
      </c>
      <c r="G475" t="str">
        <f>IF(MONTH(Base_de_Dados[[#This Row],[Semana]])&lt;=6,"1ª Semestre","2ª Semestre")</f>
        <v>2ª Semestre</v>
      </c>
    </row>
    <row r="476" spans="1:7" x14ac:dyDescent="0.25">
      <c r="A476" t="s">
        <v>176</v>
      </c>
      <c r="B476">
        <v>6</v>
      </c>
      <c r="C476" s="3">
        <v>0.2608695652173913</v>
      </c>
      <c r="D476" s="58">
        <v>44858</v>
      </c>
      <c r="E476" s="58" t="str">
        <f>TEXT(Base_de_Dados[[#This Row],[Semana]],"Mmmm")</f>
        <v>outubro</v>
      </c>
      <c r="F476">
        <f t="shared" si="7"/>
        <v>2022</v>
      </c>
      <c r="G476" t="str">
        <f>IF(MONTH(Base_de_Dados[[#This Row],[Semana]])&lt;=6,"1ª Semestre","2ª Semestre")</f>
        <v>2ª Semestre</v>
      </c>
    </row>
    <row r="477" spans="1:7" x14ac:dyDescent="0.25">
      <c r="A477" t="s">
        <v>173</v>
      </c>
      <c r="B477">
        <v>0</v>
      </c>
      <c r="C477" s="3">
        <v>0</v>
      </c>
      <c r="D477" s="58">
        <v>44858</v>
      </c>
      <c r="E477" s="58" t="str">
        <f>TEXT(Base_de_Dados[[#This Row],[Semana]],"Mmmm")</f>
        <v>outubro</v>
      </c>
      <c r="F477">
        <f t="shared" si="7"/>
        <v>2022</v>
      </c>
      <c r="G477" t="str">
        <f>IF(MONTH(Base_de_Dados[[#This Row],[Semana]])&lt;=6,"1ª Semestre","2ª Semestre")</f>
        <v>2ª Semestre</v>
      </c>
    </row>
    <row r="478" spans="1:7" x14ac:dyDescent="0.25">
      <c r="A478" t="s">
        <v>4</v>
      </c>
      <c r="B478">
        <v>4</v>
      </c>
      <c r="C478" s="3">
        <v>0.66666666666666663</v>
      </c>
      <c r="D478" s="58">
        <v>44865</v>
      </c>
      <c r="E478" s="58" t="str">
        <f>TEXT(Base_de_Dados[[#This Row],[Semana]],"Mmmm")</f>
        <v>outubro</v>
      </c>
      <c r="F478">
        <f t="shared" si="7"/>
        <v>2022</v>
      </c>
      <c r="G478" t="str">
        <f>IF(MONTH(Base_de_Dados[[#This Row],[Semana]])&lt;=6,"1ª Semestre","2ª Semestre")</f>
        <v>2ª Semestre</v>
      </c>
    </row>
    <row r="479" spans="1:7" x14ac:dyDescent="0.25">
      <c r="A479" t="s">
        <v>5</v>
      </c>
      <c r="B479">
        <v>0</v>
      </c>
      <c r="C479" s="3">
        <v>0</v>
      </c>
      <c r="D479" s="58">
        <v>44865</v>
      </c>
      <c r="E479" s="58" t="str">
        <f>TEXT(Base_de_Dados[[#This Row],[Semana]],"Mmmm")</f>
        <v>outubro</v>
      </c>
      <c r="F479">
        <f t="shared" si="7"/>
        <v>2022</v>
      </c>
      <c r="G479" t="str">
        <f>IF(MONTH(Base_de_Dados[[#This Row],[Semana]])&lt;=6,"1ª Semestre","2ª Semestre")</f>
        <v>2ª Semestre</v>
      </c>
    </row>
    <row r="480" spans="1:7" x14ac:dyDescent="0.25">
      <c r="A480" t="s">
        <v>127</v>
      </c>
      <c r="B480">
        <v>0</v>
      </c>
      <c r="C480" s="3">
        <v>0</v>
      </c>
      <c r="D480" s="58">
        <v>44865</v>
      </c>
      <c r="E480" s="58" t="str">
        <f>TEXT(Base_de_Dados[[#This Row],[Semana]],"Mmmm")</f>
        <v>outubro</v>
      </c>
      <c r="F480">
        <f t="shared" si="7"/>
        <v>2022</v>
      </c>
      <c r="G480" t="str">
        <f>IF(MONTH(Base_de_Dados[[#This Row],[Semana]])&lt;=6,"1ª Semestre","2ª Semestre")</f>
        <v>2ª Semestre</v>
      </c>
    </row>
    <row r="481" spans="1:7" x14ac:dyDescent="0.25">
      <c r="A481" t="s">
        <v>7</v>
      </c>
      <c r="B481">
        <v>0</v>
      </c>
      <c r="C481" s="3">
        <v>0</v>
      </c>
      <c r="D481" s="58">
        <v>44865</v>
      </c>
      <c r="E481" s="58" t="str">
        <f>TEXT(Base_de_Dados[[#This Row],[Semana]],"Mmmm")</f>
        <v>outubro</v>
      </c>
      <c r="F481">
        <f t="shared" si="7"/>
        <v>2022</v>
      </c>
      <c r="G481" t="str">
        <f>IF(MONTH(Base_de_Dados[[#This Row],[Semana]])&lt;=6,"1ª Semestre","2ª Semestre")</f>
        <v>2ª Semestre</v>
      </c>
    </row>
    <row r="482" spans="1:7" x14ac:dyDescent="0.25">
      <c r="A482" t="s">
        <v>30</v>
      </c>
      <c r="B482">
        <v>0</v>
      </c>
      <c r="C482" s="3">
        <v>0</v>
      </c>
      <c r="D482" s="58">
        <v>44865</v>
      </c>
      <c r="E482" s="58" t="str">
        <f>TEXT(Base_de_Dados[[#This Row],[Semana]],"Mmmm")</f>
        <v>outubro</v>
      </c>
      <c r="F482">
        <f t="shared" si="7"/>
        <v>2022</v>
      </c>
      <c r="G482" t="str">
        <f>IF(MONTH(Base_de_Dados[[#This Row],[Semana]])&lt;=6,"1ª Semestre","2ª Semestre")</f>
        <v>2ª Semestre</v>
      </c>
    </row>
    <row r="483" spans="1:7" x14ac:dyDescent="0.25">
      <c r="A483" t="s">
        <v>118</v>
      </c>
      <c r="B483">
        <v>0</v>
      </c>
      <c r="C483" s="3">
        <v>0</v>
      </c>
      <c r="D483" s="58">
        <v>44865</v>
      </c>
      <c r="E483" s="58" t="str">
        <f>TEXT(Base_de_Dados[[#This Row],[Semana]],"Mmmm")</f>
        <v>outubro</v>
      </c>
      <c r="F483">
        <f t="shared" si="7"/>
        <v>2022</v>
      </c>
      <c r="G483" t="str">
        <f>IF(MONTH(Base_de_Dados[[#This Row],[Semana]])&lt;=6,"1ª Semestre","2ª Semestre")</f>
        <v>2ª Semestre</v>
      </c>
    </row>
    <row r="484" spans="1:7" x14ac:dyDescent="0.25">
      <c r="A484" t="s">
        <v>10</v>
      </c>
      <c r="B484">
        <v>0</v>
      </c>
      <c r="C484" s="3">
        <v>0</v>
      </c>
      <c r="D484" s="58">
        <v>44865</v>
      </c>
      <c r="E484" s="58" t="str">
        <f>TEXT(Base_de_Dados[[#This Row],[Semana]],"Mmmm")</f>
        <v>outubro</v>
      </c>
      <c r="F484">
        <f t="shared" si="7"/>
        <v>2022</v>
      </c>
      <c r="G484" t="str">
        <f>IF(MONTH(Base_de_Dados[[#This Row],[Semana]])&lt;=6,"1ª Semestre","2ª Semestre")</f>
        <v>2ª Semestre</v>
      </c>
    </row>
    <row r="485" spans="1:7" x14ac:dyDescent="0.25">
      <c r="A485" t="s">
        <v>11</v>
      </c>
      <c r="B485">
        <v>0</v>
      </c>
      <c r="C485" s="3">
        <v>0</v>
      </c>
      <c r="D485" s="58">
        <v>44865</v>
      </c>
      <c r="E485" s="58" t="str">
        <f>TEXT(Base_de_Dados[[#This Row],[Semana]],"Mmmm")</f>
        <v>outubro</v>
      </c>
      <c r="F485">
        <f t="shared" si="7"/>
        <v>2022</v>
      </c>
      <c r="G485" t="str">
        <f>IF(MONTH(Base_de_Dados[[#This Row],[Semana]])&lt;=6,"1ª Semestre","2ª Semestre")</f>
        <v>2ª Semestre</v>
      </c>
    </row>
    <row r="486" spans="1:7" x14ac:dyDescent="0.25">
      <c r="A486" t="s">
        <v>12</v>
      </c>
      <c r="B486">
        <v>0</v>
      </c>
      <c r="C486" s="3">
        <v>0</v>
      </c>
      <c r="D486" s="58">
        <v>44865</v>
      </c>
      <c r="E486" s="58" t="str">
        <f>TEXT(Base_de_Dados[[#This Row],[Semana]],"Mmmm")</f>
        <v>outubro</v>
      </c>
      <c r="F486">
        <f t="shared" si="7"/>
        <v>2022</v>
      </c>
      <c r="G486" t="str">
        <f>IF(MONTH(Base_de_Dados[[#This Row],[Semana]])&lt;=6,"1ª Semestre","2ª Semestre")</f>
        <v>2ª Semestre</v>
      </c>
    </row>
    <row r="487" spans="1:7" x14ac:dyDescent="0.25">
      <c r="A487" t="s">
        <v>13</v>
      </c>
      <c r="B487">
        <v>0</v>
      </c>
      <c r="C487" s="3">
        <v>0</v>
      </c>
      <c r="D487" s="58">
        <v>44865</v>
      </c>
      <c r="E487" s="58" t="str">
        <f>TEXT(Base_de_Dados[[#This Row],[Semana]],"Mmmm")</f>
        <v>outubro</v>
      </c>
      <c r="F487">
        <f t="shared" si="7"/>
        <v>2022</v>
      </c>
      <c r="G487" t="str">
        <f>IF(MONTH(Base_de_Dados[[#This Row],[Semana]])&lt;=6,"1ª Semestre","2ª Semestre")</f>
        <v>2ª Semestre</v>
      </c>
    </row>
    <row r="488" spans="1:7" x14ac:dyDescent="0.25">
      <c r="A488" t="s">
        <v>121</v>
      </c>
      <c r="B488">
        <v>0</v>
      </c>
      <c r="C488" s="3">
        <v>0</v>
      </c>
      <c r="D488" s="58">
        <v>44865</v>
      </c>
      <c r="E488" s="58" t="str">
        <f>TEXT(Base_de_Dados[[#This Row],[Semana]],"Mmmm")</f>
        <v>outubro</v>
      </c>
      <c r="F488">
        <f t="shared" si="7"/>
        <v>2022</v>
      </c>
      <c r="G488" t="str">
        <f>IF(MONTH(Base_de_Dados[[#This Row],[Semana]])&lt;=6,"1ª Semestre","2ª Semestre")</f>
        <v>2ª Semestre</v>
      </c>
    </row>
    <row r="489" spans="1:7" x14ac:dyDescent="0.25">
      <c r="A489" t="s">
        <v>15</v>
      </c>
      <c r="B489">
        <v>0</v>
      </c>
      <c r="C489" s="3">
        <v>0</v>
      </c>
      <c r="D489" s="58">
        <v>44865</v>
      </c>
      <c r="E489" s="58" t="str">
        <f>TEXT(Base_de_Dados[[#This Row],[Semana]],"Mmmm")</f>
        <v>outubro</v>
      </c>
      <c r="F489">
        <f t="shared" si="7"/>
        <v>2022</v>
      </c>
      <c r="G489" t="str">
        <f>IF(MONTH(Base_de_Dados[[#This Row],[Semana]])&lt;=6,"1ª Semestre","2ª Semestre")</f>
        <v>2ª Semestre</v>
      </c>
    </row>
    <row r="490" spans="1:7" x14ac:dyDescent="0.25">
      <c r="A490" t="s">
        <v>16</v>
      </c>
      <c r="B490">
        <v>0</v>
      </c>
      <c r="C490" s="3">
        <v>0</v>
      </c>
      <c r="D490" s="58">
        <v>44865</v>
      </c>
      <c r="E490" s="58" t="str">
        <f>TEXT(Base_de_Dados[[#This Row],[Semana]],"Mmmm")</f>
        <v>outubro</v>
      </c>
      <c r="F490">
        <f t="shared" si="7"/>
        <v>2022</v>
      </c>
      <c r="G490" t="str">
        <f>IF(MONTH(Base_de_Dados[[#This Row],[Semana]])&lt;=6,"1ª Semestre","2ª Semestre")</f>
        <v>2ª Semestre</v>
      </c>
    </row>
    <row r="491" spans="1:7" x14ac:dyDescent="0.25">
      <c r="A491" t="s">
        <v>166</v>
      </c>
      <c r="B491">
        <v>0</v>
      </c>
      <c r="C491" s="3">
        <v>0</v>
      </c>
      <c r="D491" s="58">
        <v>44865</v>
      </c>
      <c r="E491" s="58" t="str">
        <f>TEXT(Base_de_Dados[[#This Row],[Semana]],"Mmmm")</f>
        <v>outubro</v>
      </c>
      <c r="F491">
        <f t="shared" si="7"/>
        <v>2022</v>
      </c>
      <c r="G491" t="str">
        <f>IF(MONTH(Base_de_Dados[[#This Row],[Semana]])&lt;=6,"1ª Semestre","2ª Semestre")</f>
        <v>2ª Semestre</v>
      </c>
    </row>
    <row r="492" spans="1:7" x14ac:dyDescent="0.25">
      <c r="A492" t="s">
        <v>168</v>
      </c>
      <c r="B492">
        <v>0</v>
      </c>
      <c r="C492" s="3">
        <v>0</v>
      </c>
      <c r="D492" s="58">
        <v>44865</v>
      </c>
      <c r="E492" s="58" t="str">
        <f>TEXT(Base_de_Dados[[#This Row],[Semana]],"Mmmm")</f>
        <v>outubro</v>
      </c>
      <c r="F492">
        <f t="shared" si="7"/>
        <v>2022</v>
      </c>
      <c r="G492" t="str">
        <f>IF(MONTH(Base_de_Dados[[#This Row],[Semana]])&lt;=6,"1ª Semestre","2ª Semestre")</f>
        <v>2ª Semestre</v>
      </c>
    </row>
    <row r="493" spans="1:7" x14ac:dyDescent="0.25">
      <c r="A493" t="s">
        <v>176</v>
      </c>
      <c r="B493">
        <v>2</v>
      </c>
      <c r="C493" s="3">
        <v>0.33333333333333331</v>
      </c>
      <c r="D493" s="58">
        <v>44865</v>
      </c>
      <c r="E493" s="58" t="str">
        <f>TEXT(Base_de_Dados[[#This Row],[Semana]],"Mmmm")</f>
        <v>outubro</v>
      </c>
      <c r="F493">
        <f t="shared" si="7"/>
        <v>2022</v>
      </c>
      <c r="G493" t="str">
        <f>IF(MONTH(Base_de_Dados[[#This Row],[Semana]])&lt;=6,"1ª Semestre","2ª Semestre")</f>
        <v>2ª Semestre</v>
      </c>
    </row>
    <row r="494" spans="1:7" x14ac:dyDescent="0.25">
      <c r="A494" t="s">
        <v>173</v>
      </c>
      <c r="B494">
        <v>0</v>
      </c>
      <c r="C494" s="3">
        <v>0</v>
      </c>
      <c r="D494" s="58">
        <v>44865</v>
      </c>
      <c r="E494" s="58" t="str">
        <f>TEXT(Base_de_Dados[[#This Row],[Semana]],"Mmmm")</f>
        <v>outubro</v>
      </c>
      <c r="F494">
        <f t="shared" si="7"/>
        <v>2022</v>
      </c>
      <c r="G494" t="str">
        <f>IF(MONTH(Base_de_Dados[[#This Row],[Semana]])&lt;=6,"1ª Semestre","2ª Semestre")</f>
        <v>2ª Semestre</v>
      </c>
    </row>
    <row r="495" spans="1:7" x14ac:dyDescent="0.25">
      <c r="A495" t="s">
        <v>4</v>
      </c>
      <c r="B495">
        <v>0</v>
      </c>
      <c r="C495" s="3">
        <v>0</v>
      </c>
      <c r="D495" s="58">
        <v>44872</v>
      </c>
      <c r="E495" s="58" t="str">
        <f>TEXT(Base_de_Dados[[#This Row],[Semana]],"Mmmm")</f>
        <v>novembro</v>
      </c>
      <c r="F495">
        <f t="shared" si="7"/>
        <v>2022</v>
      </c>
      <c r="G495" t="str">
        <f>IF(MONTH(Base_de_Dados[[#This Row],[Semana]])&lt;=6,"1ª Semestre","2ª Semestre")</f>
        <v>2ª Semestre</v>
      </c>
    </row>
    <row r="496" spans="1:7" x14ac:dyDescent="0.25">
      <c r="A496" t="s">
        <v>5</v>
      </c>
      <c r="B496">
        <v>0</v>
      </c>
      <c r="C496" s="3">
        <v>0</v>
      </c>
      <c r="D496" s="58">
        <v>44872</v>
      </c>
      <c r="E496" s="58" t="str">
        <f>TEXT(Base_de_Dados[[#This Row],[Semana]],"Mmmm")</f>
        <v>novembro</v>
      </c>
      <c r="F496">
        <f t="shared" si="7"/>
        <v>2022</v>
      </c>
      <c r="G496" t="str">
        <f>IF(MONTH(Base_de_Dados[[#This Row],[Semana]])&lt;=6,"1ª Semestre","2ª Semestre")</f>
        <v>2ª Semestre</v>
      </c>
    </row>
    <row r="497" spans="1:7" x14ac:dyDescent="0.25">
      <c r="A497" t="s">
        <v>127</v>
      </c>
      <c r="B497">
        <v>0</v>
      </c>
      <c r="C497" s="3">
        <v>0</v>
      </c>
      <c r="D497" s="58">
        <v>44872</v>
      </c>
      <c r="E497" s="58" t="str">
        <f>TEXT(Base_de_Dados[[#This Row],[Semana]],"Mmmm")</f>
        <v>novembro</v>
      </c>
      <c r="F497">
        <f t="shared" si="7"/>
        <v>2022</v>
      </c>
      <c r="G497" t="str">
        <f>IF(MONTH(Base_de_Dados[[#This Row],[Semana]])&lt;=6,"1ª Semestre","2ª Semestre")</f>
        <v>2ª Semestre</v>
      </c>
    </row>
    <row r="498" spans="1:7" x14ac:dyDescent="0.25">
      <c r="A498" t="s">
        <v>7</v>
      </c>
      <c r="B498">
        <v>0</v>
      </c>
      <c r="C498" s="3">
        <v>0</v>
      </c>
      <c r="D498" s="58">
        <v>44872</v>
      </c>
      <c r="E498" s="58" t="str">
        <f>TEXT(Base_de_Dados[[#This Row],[Semana]],"Mmmm")</f>
        <v>novembro</v>
      </c>
      <c r="F498">
        <f t="shared" si="7"/>
        <v>2022</v>
      </c>
      <c r="G498" t="str">
        <f>IF(MONTH(Base_de_Dados[[#This Row],[Semana]])&lt;=6,"1ª Semestre","2ª Semestre")</f>
        <v>2ª Semestre</v>
      </c>
    </row>
    <row r="499" spans="1:7" x14ac:dyDescent="0.25">
      <c r="A499" t="s">
        <v>30</v>
      </c>
      <c r="B499">
        <v>0</v>
      </c>
      <c r="C499" s="3">
        <v>0</v>
      </c>
      <c r="D499" s="58">
        <v>44872</v>
      </c>
      <c r="E499" s="58" t="str">
        <f>TEXT(Base_de_Dados[[#This Row],[Semana]],"Mmmm")</f>
        <v>novembro</v>
      </c>
      <c r="F499">
        <f t="shared" si="7"/>
        <v>2022</v>
      </c>
      <c r="G499" t="str">
        <f>IF(MONTH(Base_de_Dados[[#This Row],[Semana]])&lt;=6,"1ª Semestre","2ª Semestre")</f>
        <v>2ª Semestre</v>
      </c>
    </row>
    <row r="500" spans="1:7" x14ac:dyDescent="0.25">
      <c r="A500" t="s">
        <v>118</v>
      </c>
      <c r="B500">
        <v>5</v>
      </c>
      <c r="C500" s="3">
        <v>0.38461538461538464</v>
      </c>
      <c r="D500" s="58">
        <v>44872</v>
      </c>
      <c r="E500" s="58" t="str">
        <f>TEXT(Base_de_Dados[[#This Row],[Semana]],"Mmmm")</f>
        <v>novembro</v>
      </c>
      <c r="F500">
        <f t="shared" si="7"/>
        <v>2022</v>
      </c>
      <c r="G500" t="str">
        <f>IF(MONTH(Base_de_Dados[[#This Row],[Semana]])&lt;=6,"1ª Semestre","2ª Semestre")</f>
        <v>2ª Semestre</v>
      </c>
    </row>
    <row r="501" spans="1:7" x14ac:dyDescent="0.25">
      <c r="A501" t="s">
        <v>10</v>
      </c>
      <c r="B501">
        <v>0</v>
      </c>
      <c r="C501" s="3">
        <v>0</v>
      </c>
      <c r="D501" s="58">
        <v>44872</v>
      </c>
      <c r="E501" s="58" t="str">
        <f>TEXT(Base_de_Dados[[#This Row],[Semana]],"Mmmm")</f>
        <v>novembro</v>
      </c>
      <c r="F501">
        <f t="shared" si="7"/>
        <v>2022</v>
      </c>
      <c r="G501" t="str">
        <f>IF(MONTH(Base_de_Dados[[#This Row],[Semana]])&lt;=6,"1ª Semestre","2ª Semestre")</f>
        <v>2ª Semestre</v>
      </c>
    </row>
    <row r="502" spans="1:7" x14ac:dyDescent="0.25">
      <c r="A502" t="s">
        <v>11</v>
      </c>
      <c r="B502">
        <v>0</v>
      </c>
      <c r="C502" s="3">
        <v>0</v>
      </c>
      <c r="D502" s="58">
        <v>44872</v>
      </c>
      <c r="E502" s="58" t="str">
        <f>TEXT(Base_de_Dados[[#This Row],[Semana]],"Mmmm")</f>
        <v>novembro</v>
      </c>
      <c r="F502">
        <f t="shared" si="7"/>
        <v>2022</v>
      </c>
      <c r="G502" t="str">
        <f>IF(MONTH(Base_de_Dados[[#This Row],[Semana]])&lt;=6,"1ª Semestre","2ª Semestre")</f>
        <v>2ª Semestre</v>
      </c>
    </row>
    <row r="503" spans="1:7" x14ac:dyDescent="0.25">
      <c r="A503" t="s">
        <v>12</v>
      </c>
      <c r="B503">
        <v>1</v>
      </c>
      <c r="C503" s="3">
        <v>7.6923076923076927E-2</v>
      </c>
      <c r="D503" s="58">
        <v>44872</v>
      </c>
      <c r="E503" s="58" t="str">
        <f>TEXT(Base_de_Dados[[#This Row],[Semana]],"Mmmm")</f>
        <v>novembro</v>
      </c>
      <c r="F503">
        <f t="shared" si="7"/>
        <v>2022</v>
      </c>
      <c r="G503" t="str">
        <f>IF(MONTH(Base_de_Dados[[#This Row],[Semana]])&lt;=6,"1ª Semestre","2ª Semestre")</f>
        <v>2ª Semestre</v>
      </c>
    </row>
    <row r="504" spans="1:7" x14ac:dyDescent="0.25">
      <c r="A504" t="s">
        <v>13</v>
      </c>
      <c r="B504">
        <v>2</v>
      </c>
      <c r="C504" s="3">
        <v>0.15384615384615385</v>
      </c>
      <c r="D504" s="58">
        <v>44872</v>
      </c>
      <c r="E504" s="58" t="str">
        <f>TEXT(Base_de_Dados[[#This Row],[Semana]],"Mmmm")</f>
        <v>novembro</v>
      </c>
      <c r="F504">
        <f t="shared" si="7"/>
        <v>2022</v>
      </c>
      <c r="G504" t="str">
        <f>IF(MONTH(Base_de_Dados[[#This Row],[Semana]])&lt;=6,"1ª Semestre","2ª Semestre")</f>
        <v>2ª Semestre</v>
      </c>
    </row>
    <row r="505" spans="1:7" x14ac:dyDescent="0.25">
      <c r="A505" t="s">
        <v>121</v>
      </c>
      <c r="B505">
        <v>0</v>
      </c>
      <c r="C505" s="3">
        <v>0</v>
      </c>
      <c r="D505" s="58">
        <v>44872</v>
      </c>
      <c r="E505" s="58" t="str">
        <f>TEXT(Base_de_Dados[[#This Row],[Semana]],"Mmmm")</f>
        <v>novembro</v>
      </c>
      <c r="F505">
        <f t="shared" si="7"/>
        <v>2022</v>
      </c>
      <c r="G505" t="str">
        <f>IF(MONTH(Base_de_Dados[[#This Row],[Semana]])&lt;=6,"1ª Semestre","2ª Semestre")</f>
        <v>2ª Semestre</v>
      </c>
    </row>
    <row r="506" spans="1:7" x14ac:dyDescent="0.25">
      <c r="A506" t="s">
        <v>15</v>
      </c>
      <c r="B506">
        <v>2</v>
      </c>
      <c r="C506" s="3">
        <v>0.15384615384615385</v>
      </c>
      <c r="D506" s="58">
        <v>44872</v>
      </c>
      <c r="E506" s="58" t="str">
        <f>TEXT(Base_de_Dados[[#This Row],[Semana]],"Mmmm")</f>
        <v>novembro</v>
      </c>
      <c r="F506">
        <f t="shared" si="7"/>
        <v>2022</v>
      </c>
      <c r="G506" t="str">
        <f>IF(MONTH(Base_de_Dados[[#This Row],[Semana]])&lt;=6,"1ª Semestre","2ª Semestre")</f>
        <v>2ª Semestre</v>
      </c>
    </row>
    <row r="507" spans="1:7" x14ac:dyDescent="0.25">
      <c r="A507" t="s">
        <v>16</v>
      </c>
      <c r="B507">
        <v>1</v>
      </c>
      <c r="C507" s="3">
        <v>7.6923076923076927E-2</v>
      </c>
      <c r="D507" s="58">
        <v>44872</v>
      </c>
      <c r="E507" s="58" t="str">
        <f>TEXT(Base_de_Dados[[#This Row],[Semana]],"Mmmm")</f>
        <v>novembro</v>
      </c>
      <c r="F507">
        <f t="shared" si="7"/>
        <v>2022</v>
      </c>
      <c r="G507" t="str">
        <f>IF(MONTH(Base_de_Dados[[#This Row],[Semana]])&lt;=6,"1ª Semestre","2ª Semestre")</f>
        <v>2ª Semestre</v>
      </c>
    </row>
    <row r="508" spans="1:7" x14ac:dyDescent="0.25">
      <c r="A508" t="s">
        <v>166</v>
      </c>
      <c r="B508">
        <v>0</v>
      </c>
      <c r="C508" s="3">
        <v>0</v>
      </c>
      <c r="D508" s="58">
        <v>44872</v>
      </c>
      <c r="E508" s="58" t="str">
        <f>TEXT(Base_de_Dados[[#This Row],[Semana]],"Mmmm")</f>
        <v>novembro</v>
      </c>
      <c r="F508">
        <f t="shared" si="7"/>
        <v>2022</v>
      </c>
      <c r="G508" t="str">
        <f>IF(MONTH(Base_de_Dados[[#This Row],[Semana]])&lt;=6,"1ª Semestre","2ª Semestre")</f>
        <v>2ª Semestre</v>
      </c>
    </row>
    <row r="509" spans="1:7" x14ac:dyDescent="0.25">
      <c r="A509" t="s">
        <v>168</v>
      </c>
      <c r="B509">
        <v>0</v>
      </c>
      <c r="C509" s="3">
        <v>0</v>
      </c>
      <c r="D509" s="58">
        <v>44872</v>
      </c>
      <c r="E509" s="58" t="str">
        <f>TEXT(Base_de_Dados[[#This Row],[Semana]],"Mmmm")</f>
        <v>novembro</v>
      </c>
      <c r="F509">
        <f t="shared" si="7"/>
        <v>2022</v>
      </c>
      <c r="G509" t="str">
        <f>IF(MONTH(Base_de_Dados[[#This Row],[Semana]])&lt;=6,"1ª Semestre","2ª Semestre")</f>
        <v>2ª Semestre</v>
      </c>
    </row>
    <row r="510" spans="1:7" x14ac:dyDescent="0.25">
      <c r="A510" t="s">
        <v>176</v>
      </c>
      <c r="B510">
        <v>2</v>
      </c>
      <c r="C510" s="3">
        <v>0.15384615384615385</v>
      </c>
      <c r="D510" s="58">
        <v>44872</v>
      </c>
      <c r="E510" s="58" t="str">
        <f>TEXT(Base_de_Dados[[#This Row],[Semana]],"Mmmm")</f>
        <v>novembro</v>
      </c>
      <c r="F510">
        <f t="shared" si="7"/>
        <v>2022</v>
      </c>
      <c r="G510" t="str">
        <f>IF(MONTH(Base_de_Dados[[#This Row],[Semana]])&lt;=6,"1ª Semestre","2ª Semestre")</f>
        <v>2ª Semestre</v>
      </c>
    </row>
    <row r="511" spans="1:7" x14ac:dyDescent="0.25">
      <c r="A511" t="s">
        <v>173</v>
      </c>
      <c r="B511">
        <v>0</v>
      </c>
      <c r="C511" s="3">
        <v>0</v>
      </c>
      <c r="D511" s="58">
        <v>44872</v>
      </c>
      <c r="E511" s="58" t="str">
        <f>TEXT(Base_de_Dados[[#This Row],[Semana]],"Mmmm")</f>
        <v>novembro</v>
      </c>
      <c r="F511">
        <f t="shared" si="7"/>
        <v>2022</v>
      </c>
      <c r="G511" t="str">
        <f>IF(MONTH(Base_de_Dados[[#This Row],[Semana]])&lt;=6,"1ª Semestre","2ª Semestre")</f>
        <v>2ª Semestre</v>
      </c>
    </row>
    <row r="512" spans="1:7" x14ac:dyDescent="0.25">
      <c r="A512" t="s">
        <v>4</v>
      </c>
      <c r="B512">
        <v>0</v>
      </c>
      <c r="C512" s="3">
        <v>0</v>
      </c>
      <c r="D512" s="58">
        <v>44879</v>
      </c>
      <c r="E512" s="58" t="str">
        <f>TEXT(Base_de_Dados[[#This Row],[Semana]],"Mmmm")</f>
        <v>novembro</v>
      </c>
      <c r="F512">
        <f t="shared" si="7"/>
        <v>2022</v>
      </c>
      <c r="G512" t="str">
        <f>IF(MONTH(Base_de_Dados[[#This Row],[Semana]])&lt;=6,"1ª Semestre","2ª Semestre")</f>
        <v>2ª Semestre</v>
      </c>
    </row>
    <row r="513" spans="1:7" x14ac:dyDescent="0.25">
      <c r="A513" t="s">
        <v>5</v>
      </c>
      <c r="B513">
        <v>0</v>
      </c>
      <c r="C513" s="3">
        <v>0</v>
      </c>
      <c r="D513" s="58">
        <v>44879</v>
      </c>
      <c r="E513" s="58" t="str">
        <f>TEXT(Base_de_Dados[[#This Row],[Semana]],"Mmmm")</f>
        <v>novembro</v>
      </c>
      <c r="F513">
        <f t="shared" si="7"/>
        <v>2022</v>
      </c>
      <c r="G513" t="str">
        <f>IF(MONTH(Base_de_Dados[[#This Row],[Semana]])&lt;=6,"1ª Semestre","2ª Semestre")</f>
        <v>2ª Semestre</v>
      </c>
    </row>
    <row r="514" spans="1:7" x14ac:dyDescent="0.25">
      <c r="A514" t="s">
        <v>127</v>
      </c>
      <c r="B514">
        <v>0</v>
      </c>
      <c r="C514" s="3">
        <v>0</v>
      </c>
      <c r="D514" s="58">
        <v>44879</v>
      </c>
      <c r="E514" s="58" t="str">
        <f>TEXT(Base_de_Dados[[#This Row],[Semana]],"Mmmm")</f>
        <v>novembro</v>
      </c>
      <c r="F514">
        <f t="shared" si="7"/>
        <v>2022</v>
      </c>
      <c r="G514" t="str">
        <f>IF(MONTH(Base_de_Dados[[#This Row],[Semana]])&lt;=6,"1ª Semestre","2ª Semestre")</f>
        <v>2ª Semestre</v>
      </c>
    </row>
    <row r="515" spans="1:7" x14ac:dyDescent="0.25">
      <c r="A515" t="s">
        <v>7</v>
      </c>
      <c r="B515">
        <v>0</v>
      </c>
      <c r="C515" s="3">
        <v>0</v>
      </c>
      <c r="D515" s="58">
        <v>44879</v>
      </c>
      <c r="E515" s="58" t="str">
        <f>TEXT(Base_de_Dados[[#This Row],[Semana]],"Mmmm")</f>
        <v>novembro</v>
      </c>
      <c r="F515">
        <f t="shared" ref="F515:F578" si="8">YEAR(D515)</f>
        <v>2022</v>
      </c>
      <c r="G515" t="str">
        <f>IF(MONTH(Base_de_Dados[[#This Row],[Semana]])&lt;=6,"1ª Semestre","2ª Semestre")</f>
        <v>2ª Semestre</v>
      </c>
    </row>
    <row r="516" spans="1:7" x14ac:dyDescent="0.25">
      <c r="A516" t="s">
        <v>30</v>
      </c>
      <c r="B516">
        <v>0</v>
      </c>
      <c r="C516" s="3">
        <v>0</v>
      </c>
      <c r="D516" s="58">
        <v>44879</v>
      </c>
      <c r="E516" s="58" t="str">
        <f>TEXT(Base_de_Dados[[#This Row],[Semana]],"Mmmm")</f>
        <v>novembro</v>
      </c>
      <c r="F516">
        <f t="shared" si="8"/>
        <v>2022</v>
      </c>
      <c r="G516" t="str">
        <f>IF(MONTH(Base_de_Dados[[#This Row],[Semana]])&lt;=6,"1ª Semestre","2ª Semestre")</f>
        <v>2ª Semestre</v>
      </c>
    </row>
    <row r="517" spans="1:7" x14ac:dyDescent="0.25">
      <c r="A517" t="s">
        <v>118</v>
      </c>
      <c r="B517">
        <v>1</v>
      </c>
      <c r="C517" s="3">
        <v>0.5</v>
      </c>
      <c r="D517" s="58">
        <v>44879</v>
      </c>
      <c r="E517" s="58" t="str">
        <f>TEXT(Base_de_Dados[[#This Row],[Semana]],"Mmmm")</f>
        <v>novembro</v>
      </c>
      <c r="F517">
        <f t="shared" si="8"/>
        <v>2022</v>
      </c>
      <c r="G517" t="str">
        <f>IF(MONTH(Base_de_Dados[[#This Row],[Semana]])&lt;=6,"1ª Semestre","2ª Semestre")</f>
        <v>2ª Semestre</v>
      </c>
    </row>
    <row r="518" spans="1:7" x14ac:dyDescent="0.25">
      <c r="A518" t="s">
        <v>10</v>
      </c>
      <c r="B518">
        <v>0</v>
      </c>
      <c r="C518" s="3">
        <v>0</v>
      </c>
      <c r="D518" s="58">
        <v>44879</v>
      </c>
      <c r="E518" s="58" t="str">
        <f>TEXT(Base_de_Dados[[#This Row],[Semana]],"Mmmm")</f>
        <v>novembro</v>
      </c>
      <c r="F518">
        <f t="shared" si="8"/>
        <v>2022</v>
      </c>
      <c r="G518" t="str">
        <f>IF(MONTH(Base_de_Dados[[#This Row],[Semana]])&lt;=6,"1ª Semestre","2ª Semestre")</f>
        <v>2ª Semestre</v>
      </c>
    </row>
    <row r="519" spans="1:7" x14ac:dyDescent="0.25">
      <c r="A519" t="s">
        <v>11</v>
      </c>
      <c r="B519">
        <v>0</v>
      </c>
      <c r="C519" s="3">
        <v>0</v>
      </c>
      <c r="D519" s="58">
        <v>44879</v>
      </c>
      <c r="E519" s="58" t="str">
        <f>TEXT(Base_de_Dados[[#This Row],[Semana]],"Mmmm")</f>
        <v>novembro</v>
      </c>
      <c r="F519">
        <f t="shared" si="8"/>
        <v>2022</v>
      </c>
      <c r="G519" t="str">
        <f>IF(MONTH(Base_de_Dados[[#This Row],[Semana]])&lt;=6,"1ª Semestre","2ª Semestre")</f>
        <v>2ª Semestre</v>
      </c>
    </row>
    <row r="520" spans="1:7" x14ac:dyDescent="0.25">
      <c r="A520" t="s">
        <v>12</v>
      </c>
      <c r="B520">
        <v>1</v>
      </c>
      <c r="C520" s="3">
        <v>0.5</v>
      </c>
      <c r="D520" s="58">
        <v>44879</v>
      </c>
      <c r="E520" s="58" t="str">
        <f>TEXT(Base_de_Dados[[#This Row],[Semana]],"Mmmm")</f>
        <v>novembro</v>
      </c>
      <c r="F520">
        <f t="shared" si="8"/>
        <v>2022</v>
      </c>
      <c r="G520" t="str">
        <f>IF(MONTH(Base_de_Dados[[#This Row],[Semana]])&lt;=6,"1ª Semestre","2ª Semestre")</f>
        <v>2ª Semestre</v>
      </c>
    </row>
    <row r="521" spans="1:7" x14ac:dyDescent="0.25">
      <c r="A521" t="s">
        <v>13</v>
      </c>
      <c r="B521">
        <v>0</v>
      </c>
      <c r="C521" s="3">
        <v>0</v>
      </c>
      <c r="D521" s="58">
        <v>44879</v>
      </c>
      <c r="E521" s="58" t="str">
        <f>TEXT(Base_de_Dados[[#This Row],[Semana]],"Mmmm")</f>
        <v>novembro</v>
      </c>
      <c r="F521">
        <f t="shared" si="8"/>
        <v>2022</v>
      </c>
      <c r="G521" t="str">
        <f>IF(MONTH(Base_de_Dados[[#This Row],[Semana]])&lt;=6,"1ª Semestre","2ª Semestre")</f>
        <v>2ª Semestre</v>
      </c>
    </row>
    <row r="522" spans="1:7" x14ac:dyDescent="0.25">
      <c r="A522" t="s">
        <v>121</v>
      </c>
      <c r="B522">
        <v>0</v>
      </c>
      <c r="C522" s="3">
        <v>0</v>
      </c>
      <c r="D522" s="58">
        <v>44879</v>
      </c>
      <c r="E522" s="58" t="str">
        <f>TEXT(Base_de_Dados[[#This Row],[Semana]],"Mmmm")</f>
        <v>novembro</v>
      </c>
      <c r="F522">
        <f t="shared" si="8"/>
        <v>2022</v>
      </c>
      <c r="G522" t="str">
        <f>IF(MONTH(Base_de_Dados[[#This Row],[Semana]])&lt;=6,"1ª Semestre","2ª Semestre")</f>
        <v>2ª Semestre</v>
      </c>
    </row>
    <row r="523" spans="1:7" x14ac:dyDescent="0.25">
      <c r="A523" t="s">
        <v>15</v>
      </c>
      <c r="B523">
        <v>0</v>
      </c>
      <c r="C523" s="3">
        <v>0</v>
      </c>
      <c r="D523" s="58">
        <v>44879</v>
      </c>
      <c r="E523" s="58" t="str">
        <f>TEXT(Base_de_Dados[[#This Row],[Semana]],"Mmmm")</f>
        <v>novembro</v>
      </c>
      <c r="F523">
        <f t="shared" si="8"/>
        <v>2022</v>
      </c>
      <c r="G523" t="str">
        <f>IF(MONTH(Base_de_Dados[[#This Row],[Semana]])&lt;=6,"1ª Semestre","2ª Semestre")</f>
        <v>2ª Semestre</v>
      </c>
    </row>
    <row r="524" spans="1:7" x14ac:dyDescent="0.25">
      <c r="A524" t="s">
        <v>16</v>
      </c>
      <c r="B524">
        <v>0</v>
      </c>
      <c r="C524" s="3">
        <v>0</v>
      </c>
      <c r="D524" s="58">
        <v>44879</v>
      </c>
      <c r="E524" s="58" t="str">
        <f>TEXT(Base_de_Dados[[#This Row],[Semana]],"Mmmm")</f>
        <v>novembro</v>
      </c>
      <c r="F524">
        <f t="shared" si="8"/>
        <v>2022</v>
      </c>
      <c r="G524" t="str">
        <f>IF(MONTH(Base_de_Dados[[#This Row],[Semana]])&lt;=6,"1ª Semestre","2ª Semestre")</f>
        <v>2ª Semestre</v>
      </c>
    </row>
    <row r="525" spans="1:7" x14ac:dyDescent="0.25">
      <c r="A525" t="s">
        <v>166</v>
      </c>
      <c r="B525">
        <v>0</v>
      </c>
      <c r="C525" s="3">
        <v>0</v>
      </c>
      <c r="D525" s="58">
        <v>44879</v>
      </c>
      <c r="E525" s="58" t="str">
        <f>TEXT(Base_de_Dados[[#This Row],[Semana]],"Mmmm")</f>
        <v>novembro</v>
      </c>
      <c r="F525">
        <f t="shared" si="8"/>
        <v>2022</v>
      </c>
      <c r="G525" t="str">
        <f>IF(MONTH(Base_de_Dados[[#This Row],[Semana]])&lt;=6,"1ª Semestre","2ª Semestre")</f>
        <v>2ª Semestre</v>
      </c>
    </row>
    <row r="526" spans="1:7" x14ac:dyDescent="0.25">
      <c r="A526" t="s">
        <v>168</v>
      </c>
      <c r="B526">
        <v>0</v>
      </c>
      <c r="C526" s="3">
        <v>0</v>
      </c>
      <c r="D526" s="58">
        <v>44879</v>
      </c>
      <c r="E526" s="58" t="str">
        <f>TEXT(Base_de_Dados[[#This Row],[Semana]],"Mmmm")</f>
        <v>novembro</v>
      </c>
      <c r="F526">
        <f t="shared" si="8"/>
        <v>2022</v>
      </c>
      <c r="G526" t="str">
        <f>IF(MONTH(Base_de_Dados[[#This Row],[Semana]])&lt;=6,"1ª Semestre","2ª Semestre")</f>
        <v>2ª Semestre</v>
      </c>
    </row>
    <row r="527" spans="1:7" x14ac:dyDescent="0.25">
      <c r="A527" t="s">
        <v>176</v>
      </c>
      <c r="B527">
        <v>0</v>
      </c>
      <c r="C527" s="3">
        <v>0</v>
      </c>
      <c r="D527" s="58">
        <v>44879</v>
      </c>
      <c r="E527" s="58" t="str">
        <f>TEXT(Base_de_Dados[[#This Row],[Semana]],"Mmmm")</f>
        <v>novembro</v>
      </c>
      <c r="F527">
        <f t="shared" si="8"/>
        <v>2022</v>
      </c>
      <c r="G527" t="str">
        <f>IF(MONTH(Base_de_Dados[[#This Row],[Semana]])&lt;=6,"1ª Semestre","2ª Semestre")</f>
        <v>2ª Semestre</v>
      </c>
    </row>
    <row r="528" spans="1:7" x14ac:dyDescent="0.25">
      <c r="A528" t="s">
        <v>173</v>
      </c>
      <c r="B528">
        <v>0</v>
      </c>
      <c r="C528" s="3">
        <v>0</v>
      </c>
      <c r="D528" s="58">
        <v>44879</v>
      </c>
      <c r="E528" s="58" t="str">
        <f>TEXT(Base_de_Dados[[#This Row],[Semana]],"Mmmm")</f>
        <v>novembro</v>
      </c>
      <c r="F528">
        <f t="shared" si="8"/>
        <v>2022</v>
      </c>
      <c r="G528" t="str">
        <f>IF(MONTH(Base_de_Dados[[#This Row],[Semana]])&lt;=6,"1ª Semestre","2ª Semestre")</f>
        <v>2ª Semestre</v>
      </c>
    </row>
    <row r="529" spans="1:7" x14ac:dyDescent="0.25">
      <c r="A529" t="s">
        <v>4</v>
      </c>
      <c r="B529">
        <v>0</v>
      </c>
      <c r="C529" s="3">
        <v>0</v>
      </c>
      <c r="D529" s="58">
        <v>44893</v>
      </c>
      <c r="E529" s="58" t="str">
        <f>TEXT(Base_de_Dados[[#This Row],[Semana]],"Mmmm")</f>
        <v>novembro</v>
      </c>
      <c r="F529">
        <f t="shared" si="8"/>
        <v>2022</v>
      </c>
      <c r="G529" t="str">
        <f>IF(MONTH(Base_de_Dados[[#This Row],[Semana]])&lt;=6,"1ª Semestre","2ª Semestre")</f>
        <v>2ª Semestre</v>
      </c>
    </row>
    <row r="530" spans="1:7" x14ac:dyDescent="0.25">
      <c r="A530" t="s">
        <v>5</v>
      </c>
      <c r="B530">
        <v>0</v>
      </c>
      <c r="C530" s="3">
        <v>0</v>
      </c>
      <c r="D530" s="58">
        <v>44893</v>
      </c>
      <c r="E530" s="58" t="str">
        <f>TEXT(Base_de_Dados[[#This Row],[Semana]],"Mmmm")</f>
        <v>novembro</v>
      </c>
      <c r="F530">
        <f t="shared" si="8"/>
        <v>2022</v>
      </c>
      <c r="G530" t="str">
        <f>IF(MONTH(Base_de_Dados[[#This Row],[Semana]])&lt;=6,"1ª Semestre","2ª Semestre")</f>
        <v>2ª Semestre</v>
      </c>
    </row>
    <row r="531" spans="1:7" x14ac:dyDescent="0.25">
      <c r="A531" t="s">
        <v>127</v>
      </c>
      <c r="B531">
        <v>0</v>
      </c>
      <c r="C531" s="3">
        <v>0</v>
      </c>
      <c r="D531" s="58">
        <v>44893</v>
      </c>
      <c r="E531" s="58" t="str">
        <f>TEXT(Base_de_Dados[[#This Row],[Semana]],"Mmmm")</f>
        <v>novembro</v>
      </c>
      <c r="F531">
        <f t="shared" si="8"/>
        <v>2022</v>
      </c>
      <c r="G531" t="str">
        <f>IF(MONTH(Base_de_Dados[[#This Row],[Semana]])&lt;=6,"1ª Semestre","2ª Semestre")</f>
        <v>2ª Semestre</v>
      </c>
    </row>
    <row r="532" spans="1:7" x14ac:dyDescent="0.25">
      <c r="A532" t="s">
        <v>7</v>
      </c>
      <c r="B532">
        <v>0</v>
      </c>
      <c r="C532" s="3">
        <v>0</v>
      </c>
      <c r="D532" s="58">
        <v>44893</v>
      </c>
      <c r="E532" s="58" t="str">
        <f>TEXT(Base_de_Dados[[#This Row],[Semana]],"Mmmm")</f>
        <v>novembro</v>
      </c>
      <c r="F532">
        <f t="shared" si="8"/>
        <v>2022</v>
      </c>
      <c r="G532" t="str">
        <f>IF(MONTH(Base_de_Dados[[#This Row],[Semana]])&lt;=6,"1ª Semestre","2ª Semestre")</f>
        <v>2ª Semestre</v>
      </c>
    </row>
    <row r="533" spans="1:7" x14ac:dyDescent="0.25">
      <c r="A533" t="s">
        <v>30</v>
      </c>
      <c r="B533">
        <v>0</v>
      </c>
      <c r="C533" s="3">
        <v>0</v>
      </c>
      <c r="D533" s="58">
        <v>44893</v>
      </c>
      <c r="E533" s="58" t="str">
        <f>TEXT(Base_de_Dados[[#This Row],[Semana]],"Mmmm")</f>
        <v>novembro</v>
      </c>
      <c r="F533">
        <f t="shared" si="8"/>
        <v>2022</v>
      </c>
      <c r="G533" t="str">
        <f>IF(MONTH(Base_de_Dados[[#This Row],[Semana]])&lt;=6,"1ª Semestre","2ª Semestre")</f>
        <v>2ª Semestre</v>
      </c>
    </row>
    <row r="534" spans="1:7" x14ac:dyDescent="0.25">
      <c r="A534" t="s">
        <v>118</v>
      </c>
      <c r="B534">
        <v>0</v>
      </c>
      <c r="C534" s="3">
        <v>0</v>
      </c>
      <c r="D534" s="58">
        <v>44893</v>
      </c>
      <c r="E534" s="58" t="str">
        <f>TEXT(Base_de_Dados[[#This Row],[Semana]],"Mmmm")</f>
        <v>novembro</v>
      </c>
      <c r="F534">
        <f t="shared" si="8"/>
        <v>2022</v>
      </c>
      <c r="G534" t="str">
        <f>IF(MONTH(Base_de_Dados[[#This Row],[Semana]])&lt;=6,"1ª Semestre","2ª Semestre")</f>
        <v>2ª Semestre</v>
      </c>
    </row>
    <row r="535" spans="1:7" x14ac:dyDescent="0.25">
      <c r="A535" t="s">
        <v>10</v>
      </c>
      <c r="B535">
        <v>0</v>
      </c>
      <c r="C535" s="3">
        <v>0</v>
      </c>
      <c r="D535" s="58">
        <v>44893</v>
      </c>
      <c r="E535" s="58" t="str">
        <f>TEXT(Base_de_Dados[[#This Row],[Semana]],"Mmmm")</f>
        <v>novembro</v>
      </c>
      <c r="F535">
        <f t="shared" si="8"/>
        <v>2022</v>
      </c>
      <c r="G535" t="str">
        <f>IF(MONTH(Base_de_Dados[[#This Row],[Semana]])&lt;=6,"1ª Semestre","2ª Semestre")</f>
        <v>2ª Semestre</v>
      </c>
    </row>
    <row r="536" spans="1:7" x14ac:dyDescent="0.25">
      <c r="A536" t="s">
        <v>11</v>
      </c>
      <c r="B536">
        <v>0</v>
      </c>
      <c r="C536" s="3">
        <v>0</v>
      </c>
      <c r="D536" s="58">
        <v>44893</v>
      </c>
      <c r="E536" s="58" t="str">
        <f>TEXT(Base_de_Dados[[#This Row],[Semana]],"Mmmm")</f>
        <v>novembro</v>
      </c>
      <c r="F536">
        <f t="shared" si="8"/>
        <v>2022</v>
      </c>
      <c r="G536" t="str">
        <f>IF(MONTH(Base_de_Dados[[#This Row],[Semana]])&lt;=6,"1ª Semestre","2ª Semestre")</f>
        <v>2ª Semestre</v>
      </c>
    </row>
    <row r="537" spans="1:7" x14ac:dyDescent="0.25">
      <c r="A537" t="s">
        <v>12</v>
      </c>
      <c r="B537">
        <v>0</v>
      </c>
      <c r="C537" s="3">
        <v>0</v>
      </c>
      <c r="D537" s="58">
        <v>44893</v>
      </c>
      <c r="E537" s="58" t="str">
        <f>TEXT(Base_de_Dados[[#This Row],[Semana]],"Mmmm")</f>
        <v>novembro</v>
      </c>
      <c r="F537">
        <f t="shared" si="8"/>
        <v>2022</v>
      </c>
      <c r="G537" t="str">
        <f>IF(MONTH(Base_de_Dados[[#This Row],[Semana]])&lt;=6,"1ª Semestre","2ª Semestre")</f>
        <v>2ª Semestre</v>
      </c>
    </row>
    <row r="538" spans="1:7" x14ac:dyDescent="0.25">
      <c r="A538" t="s">
        <v>13</v>
      </c>
      <c r="B538">
        <v>1</v>
      </c>
      <c r="C538" s="3">
        <v>1</v>
      </c>
      <c r="D538" s="58">
        <v>44893</v>
      </c>
      <c r="E538" s="58" t="str">
        <f>TEXT(Base_de_Dados[[#This Row],[Semana]],"Mmmm")</f>
        <v>novembro</v>
      </c>
      <c r="F538">
        <f t="shared" si="8"/>
        <v>2022</v>
      </c>
      <c r="G538" t="str">
        <f>IF(MONTH(Base_de_Dados[[#This Row],[Semana]])&lt;=6,"1ª Semestre","2ª Semestre")</f>
        <v>2ª Semestre</v>
      </c>
    </row>
    <row r="539" spans="1:7" x14ac:dyDescent="0.25">
      <c r="A539" t="s">
        <v>121</v>
      </c>
      <c r="B539">
        <v>0</v>
      </c>
      <c r="C539" s="3">
        <v>0</v>
      </c>
      <c r="D539" s="58">
        <v>44893</v>
      </c>
      <c r="E539" s="58" t="str">
        <f>TEXT(Base_de_Dados[[#This Row],[Semana]],"Mmmm")</f>
        <v>novembro</v>
      </c>
      <c r="F539">
        <f t="shared" si="8"/>
        <v>2022</v>
      </c>
      <c r="G539" t="str">
        <f>IF(MONTH(Base_de_Dados[[#This Row],[Semana]])&lt;=6,"1ª Semestre","2ª Semestre")</f>
        <v>2ª Semestre</v>
      </c>
    </row>
    <row r="540" spans="1:7" x14ac:dyDescent="0.25">
      <c r="A540" t="s">
        <v>15</v>
      </c>
      <c r="B540">
        <v>0</v>
      </c>
      <c r="C540" s="3">
        <v>0</v>
      </c>
      <c r="D540" s="58">
        <v>44893</v>
      </c>
      <c r="E540" s="58" t="str">
        <f>TEXT(Base_de_Dados[[#This Row],[Semana]],"Mmmm")</f>
        <v>novembro</v>
      </c>
      <c r="F540">
        <f t="shared" si="8"/>
        <v>2022</v>
      </c>
      <c r="G540" t="str">
        <f>IF(MONTH(Base_de_Dados[[#This Row],[Semana]])&lt;=6,"1ª Semestre","2ª Semestre")</f>
        <v>2ª Semestre</v>
      </c>
    </row>
    <row r="541" spans="1:7" x14ac:dyDescent="0.25">
      <c r="A541" t="s">
        <v>16</v>
      </c>
      <c r="B541">
        <v>0</v>
      </c>
      <c r="C541" s="3">
        <v>0</v>
      </c>
      <c r="D541" s="58">
        <v>44893</v>
      </c>
      <c r="E541" s="58" t="str">
        <f>TEXT(Base_de_Dados[[#This Row],[Semana]],"Mmmm")</f>
        <v>novembro</v>
      </c>
      <c r="F541">
        <f t="shared" si="8"/>
        <v>2022</v>
      </c>
      <c r="G541" t="str">
        <f>IF(MONTH(Base_de_Dados[[#This Row],[Semana]])&lt;=6,"1ª Semestre","2ª Semestre")</f>
        <v>2ª Semestre</v>
      </c>
    </row>
    <row r="542" spans="1:7" x14ac:dyDescent="0.25">
      <c r="A542" t="s">
        <v>166</v>
      </c>
      <c r="B542">
        <v>0</v>
      </c>
      <c r="C542" s="3">
        <v>0</v>
      </c>
      <c r="D542" s="58">
        <v>44893</v>
      </c>
      <c r="E542" s="58" t="str">
        <f>TEXT(Base_de_Dados[[#This Row],[Semana]],"Mmmm")</f>
        <v>novembro</v>
      </c>
      <c r="F542">
        <f t="shared" si="8"/>
        <v>2022</v>
      </c>
      <c r="G542" t="str">
        <f>IF(MONTH(Base_de_Dados[[#This Row],[Semana]])&lt;=6,"1ª Semestre","2ª Semestre")</f>
        <v>2ª Semestre</v>
      </c>
    </row>
    <row r="543" spans="1:7" x14ac:dyDescent="0.25">
      <c r="A543" t="s">
        <v>168</v>
      </c>
      <c r="B543">
        <v>0</v>
      </c>
      <c r="C543" s="3">
        <v>0</v>
      </c>
      <c r="D543" s="58">
        <v>44893</v>
      </c>
      <c r="E543" s="58" t="str">
        <f>TEXT(Base_de_Dados[[#This Row],[Semana]],"Mmmm")</f>
        <v>novembro</v>
      </c>
      <c r="F543">
        <f t="shared" si="8"/>
        <v>2022</v>
      </c>
      <c r="G543" t="str">
        <f>IF(MONTH(Base_de_Dados[[#This Row],[Semana]])&lt;=6,"1ª Semestre","2ª Semestre")</f>
        <v>2ª Semestre</v>
      </c>
    </row>
    <row r="544" spans="1:7" x14ac:dyDescent="0.25">
      <c r="A544" t="s">
        <v>176</v>
      </c>
      <c r="B544">
        <v>0</v>
      </c>
      <c r="C544" s="3">
        <v>0</v>
      </c>
      <c r="D544" s="58">
        <v>44893</v>
      </c>
      <c r="E544" s="58" t="str">
        <f>TEXT(Base_de_Dados[[#This Row],[Semana]],"Mmmm")</f>
        <v>novembro</v>
      </c>
      <c r="F544">
        <f t="shared" si="8"/>
        <v>2022</v>
      </c>
      <c r="G544" t="str">
        <f>IF(MONTH(Base_de_Dados[[#This Row],[Semana]])&lt;=6,"1ª Semestre","2ª Semestre")</f>
        <v>2ª Semestre</v>
      </c>
    </row>
    <row r="545" spans="1:7" x14ac:dyDescent="0.25">
      <c r="A545" t="s">
        <v>173</v>
      </c>
      <c r="B545">
        <v>0</v>
      </c>
      <c r="C545" s="3">
        <v>0</v>
      </c>
      <c r="D545" s="58">
        <v>44893</v>
      </c>
      <c r="E545" s="58" t="str">
        <f>TEXT(Base_de_Dados[[#This Row],[Semana]],"Mmmm")</f>
        <v>novembro</v>
      </c>
      <c r="F545">
        <f t="shared" si="8"/>
        <v>2022</v>
      </c>
      <c r="G545" t="str">
        <f>IF(MONTH(Base_de_Dados[[#This Row],[Semana]])&lt;=6,"1ª Semestre","2ª Semestre")</f>
        <v>2ª Semestre</v>
      </c>
    </row>
    <row r="546" spans="1:7" x14ac:dyDescent="0.25">
      <c r="A546" t="s">
        <v>4</v>
      </c>
      <c r="B546">
        <v>1</v>
      </c>
      <c r="C546" s="3">
        <v>0.25</v>
      </c>
      <c r="D546" s="58">
        <v>44900</v>
      </c>
      <c r="E546" s="58" t="str">
        <f>TEXT(Base_de_Dados[[#This Row],[Semana]],"Mmmm")</f>
        <v>dezembro</v>
      </c>
      <c r="F546">
        <f t="shared" si="8"/>
        <v>2022</v>
      </c>
      <c r="G546" t="str">
        <f>IF(MONTH(Base_de_Dados[[#This Row],[Semana]])&lt;=6,"1ª Semestre","2ª Semestre")</f>
        <v>2ª Semestre</v>
      </c>
    </row>
    <row r="547" spans="1:7" x14ac:dyDescent="0.25">
      <c r="A547" t="s">
        <v>5</v>
      </c>
      <c r="B547">
        <v>0</v>
      </c>
      <c r="C547" s="3">
        <v>0</v>
      </c>
      <c r="D547" s="58">
        <v>44900</v>
      </c>
      <c r="E547" s="58" t="str">
        <f>TEXT(Base_de_Dados[[#This Row],[Semana]],"Mmmm")</f>
        <v>dezembro</v>
      </c>
      <c r="F547">
        <f t="shared" si="8"/>
        <v>2022</v>
      </c>
      <c r="G547" t="str">
        <f>IF(MONTH(Base_de_Dados[[#This Row],[Semana]])&lt;=6,"1ª Semestre","2ª Semestre")</f>
        <v>2ª Semestre</v>
      </c>
    </row>
    <row r="548" spans="1:7" x14ac:dyDescent="0.25">
      <c r="A548" t="s">
        <v>127</v>
      </c>
      <c r="B548">
        <v>0</v>
      </c>
      <c r="C548" s="3">
        <v>0</v>
      </c>
      <c r="D548" s="58">
        <v>44900</v>
      </c>
      <c r="E548" s="58" t="str">
        <f>TEXT(Base_de_Dados[[#This Row],[Semana]],"Mmmm")</f>
        <v>dezembro</v>
      </c>
      <c r="F548">
        <f t="shared" si="8"/>
        <v>2022</v>
      </c>
      <c r="G548" t="str">
        <f>IF(MONTH(Base_de_Dados[[#This Row],[Semana]])&lt;=6,"1ª Semestre","2ª Semestre")</f>
        <v>2ª Semestre</v>
      </c>
    </row>
    <row r="549" spans="1:7" x14ac:dyDescent="0.25">
      <c r="A549" t="s">
        <v>7</v>
      </c>
      <c r="B549">
        <v>0</v>
      </c>
      <c r="C549" s="3">
        <v>0</v>
      </c>
      <c r="D549" s="58">
        <v>44900</v>
      </c>
      <c r="E549" s="58" t="str">
        <f>TEXT(Base_de_Dados[[#This Row],[Semana]],"Mmmm")</f>
        <v>dezembro</v>
      </c>
      <c r="F549">
        <f t="shared" si="8"/>
        <v>2022</v>
      </c>
      <c r="G549" t="str">
        <f>IF(MONTH(Base_de_Dados[[#This Row],[Semana]])&lt;=6,"1ª Semestre","2ª Semestre")</f>
        <v>2ª Semestre</v>
      </c>
    </row>
    <row r="550" spans="1:7" x14ac:dyDescent="0.25">
      <c r="A550" t="s">
        <v>30</v>
      </c>
      <c r="B550">
        <v>0</v>
      </c>
      <c r="C550" s="3">
        <v>0</v>
      </c>
      <c r="D550" s="58">
        <v>44900</v>
      </c>
      <c r="E550" s="58" t="str">
        <f>TEXT(Base_de_Dados[[#This Row],[Semana]],"Mmmm")</f>
        <v>dezembro</v>
      </c>
      <c r="F550">
        <f t="shared" si="8"/>
        <v>2022</v>
      </c>
      <c r="G550" t="str">
        <f>IF(MONTH(Base_de_Dados[[#This Row],[Semana]])&lt;=6,"1ª Semestre","2ª Semestre")</f>
        <v>2ª Semestre</v>
      </c>
    </row>
    <row r="551" spans="1:7" x14ac:dyDescent="0.25">
      <c r="A551" t="s">
        <v>118</v>
      </c>
      <c r="B551">
        <v>0</v>
      </c>
      <c r="C551" s="3">
        <v>0</v>
      </c>
      <c r="D551" s="58">
        <v>44900</v>
      </c>
      <c r="E551" s="58" t="str">
        <f>TEXT(Base_de_Dados[[#This Row],[Semana]],"Mmmm")</f>
        <v>dezembro</v>
      </c>
      <c r="F551">
        <f t="shared" si="8"/>
        <v>2022</v>
      </c>
      <c r="G551" t="str">
        <f>IF(MONTH(Base_de_Dados[[#This Row],[Semana]])&lt;=6,"1ª Semestre","2ª Semestre")</f>
        <v>2ª Semestre</v>
      </c>
    </row>
    <row r="552" spans="1:7" x14ac:dyDescent="0.25">
      <c r="A552" t="s">
        <v>10</v>
      </c>
      <c r="B552">
        <v>1</v>
      </c>
      <c r="C552" s="3">
        <v>0.25</v>
      </c>
      <c r="D552" s="58">
        <v>44900</v>
      </c>
      <c r="E552" s="58" t="str">
        <f>TEXT(Base_de_Dados[[#This Row],[Semana]],"Mmmm")</f>
        <v>dezembro</v>
      </c>
      <c r="F552">
        <f t="shared" si="8"/>
        <v>2022</v>
      </c>
      <c r="G552" t="str">
        <f>IF(MONTH(Base_de_Dados[[#This Row],[Semana]])&lt;=6,"1ª Semestre","2ª Semestre")</f>
        <v>2ª Semestre</v>
      </c>
    </row>
    <row r="553" spans="1:7" x14ac:dyDescent="0.25">
      <c r="A553" t="s">
        <v>11</v>
      </c>
      <c r="B553">
        <v>0</v>
      </c>
      <c r="C553" s="3">
        <v>0</v>
      </c>
      <c r="D553" s="58">
        <v>44900</v>
      </c>
      <c r="E553" s="58" t="str">
        <f>TEXT(Base_de_Dados[[#This Row],[Semana]],"Mmmm")</f>
        <v>dezembro</v>
      </c>
      <c r="F553">
        <f t="shared" si="8"/>
        <v>2022</v>
      </c>
      <c r="G553" t="str">
        <f>IF(MONTH(Base_de_Dados[[#This Row],[Semana]])&lt;=6,"1ª Semestre","2ª Semestre")</f>
        <v>2ª Semestre</v>
      </c>
    </row>
    <row r="554" spans="1:7" x14ac:dyDescent="0.25">
      <c r="A554" t="s">
        <v>12</v>
      </c>
      <c r="B554">
        <v>1</v>
      </c>
      <c r="C554" s="3">
        <v>0.25</v>
      </c>
      <c r="D554" s="58">
        <v>44900</v>
      </c>
      <c r="E554" s="58" t="str">
        <f>TEXT(Base_de_Dados[[#This Row],[Semana]],"Mmmm")</f>
        <v>dezembro</v>
      </c>
      <c r="F554">
        <f t="shared" si="8"/>
        <v>2022</v>
      </c>
      <c r="G554" t="str">
        <f>IF(MONTH(Base_de_Dados[[#This Row],[Semana]])&lt;=6,"1ª Semestre","2ª Semestre")</f>
        <v>2ª Semestre</v>
      </c>
    </row>
    <row r="555" spans="1:7" x14ac:dyDescent="0.25">
      <c r="A555" t="s">
        <v>13</v>
      </c>
      <c r="B555">
        <v>1</v>
      </c>
      <c r="C555" s="3">
        <v>0.25</v>
      </c>
      <c r="D555" s="58">
        <v>44900</v>
      </c>
      <c r="E555" s="58" t="str">
        <f>TEXT(Base_de_Dados[[#This Row],[Semana]],"Mmmm")</f>
        <v>dezembro</v>
      </c>
      <c r="F555">
        <f t="shared" si="8"/>
        <v>2022</v>
      </c>
      <c r="G555" t="str">
        <f>IF(MONTH(Base_de_Dados[[#This Row],[Semana]])&lt;=6,"1ª Semestre","2ª Semestre")</f>
        <v>2ª Semestre</v>
      </c>
    </row>
    <row r="556" spans="1:7" x14ac:dyDescent="0.25">
      <c r="A556" t="s">
        <v>121</v>
      </c>
      <c r="B556">
        <v>0</v>
      </c>
      <c r="C556" s="3">
        <v>0</v>
      </c>
      <c r="D556" s="58">
        <v>44900</v>
      </c>
      <c r="E556" s="58" t="str">
        <f>TEXT(Base_de_Dados[[#This Row],[Semana]],"Mmmm")</f>
        <v>dezembro</v>
      </c>
      <c r="F556">
        <f t="shared" si="8"/>
        <v>2022</v>
      </c>
      <c r="G556" t="str">
        <f>IF(MONTH(Base_de_Dados[[#This Row],[Semana]])&lt;=6,"1ª Semestre","2ª Semestre")</f>
        <v>2ª Semestre</v>
      </c>
    </row>
    <row r="557" spans="1:7" x14ac:dyDescent="0.25">
      <c r="A557" t="s">
        <v>15</v>
      </c>
      <c r="B557">
        <v>0</v>
      </c>
      <c r="C557" s="3">
        <v>0</v>
      </c>
      <c r="D557" s="58">
        <v>44900</v>
      </c>
      <c r="E557" s="58" t="str">
        <f>TEXT(Base_de_Dados[[#This Row],[Semana]],"Mmmm")</f>
        <v>dezembro</v>
      </c>
      <c r="F557">
        <f t="shared" si="8"/>
        <v>2022</v>
      </c>
      <c r="G557" t="str">
        <f>IF(MONTH(Base_de_Dados[[#This Row],[Semana]])&lt;=6,"1ª Semestre","2ª Semestre")</f>
        <v>2ª Semestre</v>
      </c>
    </row>
    <row r="558" spans="1:7" x14ac:dyDescent="0.25">
      <c r="A558" t="s">
        <v>16</v>
      </c>
      <c r="B558">
        <v>0</v>
      </c>
      <c r="C558" s="3">
        <v>0</v>
      </c>
      <c r="D558" s="58">
        <v>44900</v>
      </c>
      <c r="E558" s="58" t="str">
        <f>TEXT(Base_de_Dados[[#This Row],[Semana]],"Mmmm")</f>
        <v>dezembro</v>
      </c>
      <c r="F558">
        <f t="shared" si="8"/>
        <v>2022</v>
      </c>
      <c r="G558" t="str">
        <f>IF(MONTH(Base_de_Dados[[#This Row],[Semana]])&lt;=6,"1ª Semestre","2ª Semestre")</f>
        <v>2ª Semestre</v>
      </c>
    </row>
    <row r="559" spans="1:7" x14ac:dyDescent="0.25">
      <c r="A559" t="s">
        <v>166</v>
      </c>
      <c r="B559">
        <v>0</v>
      </c>
      <c r="C559" s="3">
        <v>0</v>
      </c>
      <c r="D559" s="58">
        <v>44900</v>
      </c>
      <c r="E559" s="58" t="str">
        <f>TEXT(Base_de_Dados[[#This Row],[Semana]],"Mmmm")</f>
        <v>dezembro</v>
      </c>
      <c r="F559">
        <f t="shared" si="8"/>
        <v>2022</v>
      </c>
      <c r="G559" t="str">
        <f>IF(MONTH(Base_de_Dados[[#This Row],[Semana]])&lt;=6,"1ª Semestre","2ª Semestre")</f>
        <v>2ª Semestre</v>
      </c>
    </row>
    <row r="560" spans="1:7" x14ac:dyDescent="0.25">
      <c r="A560" t="s">
        <v>168</v>
      </c>
      <c r="B560">
        <v>0</v>
      </c>
      <c r="C560" s="3">
        <v>0</v>
      </c>
      <c r="D560" s="58">
        <v>44900</v>
      </c>
      <c r="E560" s="58" t="str">
        <f>TEXT(Base_de_Dados[[#This Row],[Semana]],"Mmmm")</f>
        <v>dezembro</v>
      </c>
      <c r="F560">
        <f t="shared" si="8"/>
        <v>2022</v>
      </c>
      <c r="G560" t="str">
        <f>IF(MONTH(Base_de_Dados[[#This Row],[Semana]])&lt;=6,"1ª Semestre","2ª Semestre")</f>
        <v>2ª Semestre</v>
      </c>
    </row>
    <row r="561" spans="1:7" x14ac:dyDescent="0.25">
      <c r="A561" t="s">
        <v>176</v>
      </c>
      <c r="B561">
        <v>0</v>
      </c>
      <c r="C561" s="3">
        <v>0</v>
      </c>
      <c r="D561" s="58">
        <v>44900</v>
      </c>
      <c r="E561" s="58" t="str">
        <f>TEXT(Base_de_Dados[[#This Row],[Semana]],"Mmmm")</f>
        <v>dezembro</v>
      </c>
      <c r="F561">
        <f t="shared" si="8"/>
        <v>2022</v>
      </c>
      <c r="G561" t="str">
        <f>IF(MONTH(Base_de_Dados[[#This Row],[Semana]])&lt;=6,"1ª Semestre","2ª Semestre")</f>
        <v>2ª Semestre</v>
      </c>
    </row>
    <row r="562" spans="1:7" x14ac:dyDescent="0.25">
      <c r="A562" t="s">
        <v>173</v>
      </c>
      <c r="B562">
        <v>0</v>
      </c>
      <c r="C562" s="3">
        <v>0</v>
      </c>
      <c r="D562" s="58">
        <v>44900</v>
      </c>
      <c r="E562" s="58" t="str">
        <f>TEXT(Base_de_Dados[[#This Row],[Semana]],"Mmmm")</f>
        <v>dezembro</v>
      </c>
      <c r="F562">
        <f t="shared" si="8"/>
        <v>2022</v>
      </c>
      <c r="G562" t="str">
        <f>IF(MONTH(Base_de_Dados[[#This Row],[Semana]])&lt;=6,"1ª Semestre","2ª Semestre")</f>
        <v>2ª Semestre</v>
      </c>
    </row>
    <row r="563" spans="1:7" x14ac:dyDescent="0.25">
      <c r="A563" t="s">
        <v>4</v>
      </c>
      <c r="B563">
        <v>2</v>
      </c>
      <c r="C563" s="3">
        <v>0.22222222222222221</v>
      </c>
      <c r="D563" s="58">
        <v>44928</v>
      </c>
      <c r="E563" s="58" t="str">
        <f>TEXT(Base_de_Dados[[#This Row],[Semana]],"Mmmm")</f>
        <v>janeiro</v>
      </c>
      <c r="F563">
        <f t="shared" si="8"/>
        <v>2023</v>
      </c>
      <c r="G563" t="str">
        <f>IF(MONTH(Base_de_Dados[[#This Row],[Semana]])&lt;=6,"1ª Semestre","2ª Semestre")</f>
        <v>1ª Semestre</v>
      </c>
    </row>
    <row r="564" spans="1:7" x14ac:dyDescent="0.25">
      <c r="A564" t="s">
        <v>5</v>
      </c>
      <c r="B564">
        <v>0</v>
      </c>
      <c r="C564" s="3">
        <v>0</v>
      </c>
      <c r="D564" s="58">
        <v>44928</v>
      </c>
      <c r="E564" s="58" t="str">
        <f>TEXT(Base_de_Dados[[#This Row],[Semana]],"Mmmm")</f>
        <v>janeiro</v>
      </c>
      <c r="F564">
        <f t="shared" si="8"/>
        <v>2023</v>
      </c>
      <c r="G564" t="str">
        <f>IF(MONTH(Base_de_Dados[[#This Row],[Semana]])&lt;=6,"1ª Semestre","2ª Semestre")</f>
        <v>1ª Semestre</v>
      </c>
    </row>
    <row r="565" spans="1:7" x14ac:dyDescent="0.25">
      <c r="A565" t="s">
        <v>127</v>
      </c>
      <c r="B565">
        <v>0</v>
      </c>
      <c r="C565" s="3">
        <v>0</v>
      </c>
      <c r="D565" s="58">
        <v>44928</v>
      </c>
      <c r="E565" s="58" t="str">
        <f>TEXT(Base_de_Dados[[#This Row],[Semana]],"Mmmm")</f>
        <v>janeiro</v>
      </c>
      <c r="F565">
        <f t="shared" si="8"/>
        <v>2023</v>
      </c>
      <c r="G565" t="str">
        <f>IF(MONTH(Base_de_Dados[[#This Row],[Semana]])&lt;=6,"1ª Semestre","2ª Semestre")</f>
        <v>1ª Semestre</v>
      </c>
    </row>
    <row r="566" spans="1:7" x14ac:dyDescent="0.25">
      <c r="A566" t="s">
        <v>7</v>
      </c>
      <c r="B566">
        <v>0</v>
      </c>
      <c r="C566" s="3">
        <v>0</v>
      </c>
      <c r="D566" s="58">
        <v>44928</v>
      </c>
      <c r="E566" s="58" t="str">
        <f>TEXT(Base_de_Dados[[#This Row],[Semana]],"Mmmm")</f>
        <v>janeiro</v>
      </c>
      <c r="F566">
        <f t="shared" si="8"/>
        <v>2023</v>
      </c>
      <c r="G566" t="str">
        <f>IF(MONTH(Base_de_Dados[[#This Row],[Semana]])&lt;=6,"1ª Semestre","2ª Semestre")</f>
        <v>1ª Semestre</v>
      </c>
    </row>
    <row r="567" spans="1:7" x14ac:dyDescent="0.25">
      <c r="A567" t="s">
        <v>30</v>
      </c>
      <c r="B567">
        <v>1</v>
      </c>
      <c r="C567" s="3">
        <v>0.1111111111111111</v>
      </c>
      <c r="D567" s="58">
        <v>44928</v>
      </c>
      <c r="E567" s="58" t="str">
        <f>TEXT(Base_de_Dados[[#This Row],[Semana]],"Mmmm")</f>
        <v>janeiro</v>
      </c>
      <c r="F567">
        <f t="shared" si="8"/>
        <v>2023</v>
      </c>
      <c r="G567" t="str">
        <f>IF(MONTH(Base_de_Dados[[#This Row],[Semana]])&lt;=6,"1ª Semestre","2ª Semestre")</f>
        <v>1ª Semestre</v>
      </c>
    </row>
    <row r="568" spans="1:7" x14ac:dyDescent="0.25">
      <c r="A568" t="s">
        <v>118</v>
      </c>
      <c r="B568">
        <v>4</v>
      </c>
      <c r="C568" s="3">
        <v>0.44444444444444442</v>
      </c>
      <c r="D568" s="58">
        <v>44928</v>
      </c>
      <c r="E568" s="58" t="str">
        <f>TEXT(Base_de_Dados[[#This Row],[Semana]],"Mmmm")</f>
        <v>janeiro</v>
      </c>
      <c r="F568">
        <f t="shared" si="8"/>
        <v>2023</v>
      </c>
      <c r="G568" t="str">
        <f>IF(MONTH(Base_de_Dados[[#This Row],[Semana]])&lt;=6,"1ª Semestre","2ª Semestre")</f>
        <v>1ª Semestre</v>
      </c>
    </row>
    <row r="569" spans="1:7" x14ac:dyDescent="0.25">
      <c r="A569" t="s">
        <v>10</v>
      </c>
      <c r="B569">
        <v>0</v>
      </c>
      <c r="C569" s="3">
        <v>0</v>
      </c>
      <c r="D569" s="58">
        <v>44928</v>
      </c>
      <c r="E569" s="58" t="str">
        <f>TEXT(Base_de_Dados[[#This Row],[Semana]],"Mmmm")</f>
        <v>janeiro</v>
      </c>
      <c r="F569">
        <f t="shared" si="8"/>
        <v>2023</v>
      </c>
      <c r="G569" t="str">
        <f>IF(MONTH(Base_de_Dados[[#This Row],[Semana]])&lt;=6,"1ª Semestre","2ª Semestre")</f>
        <v>1ª Semestre</v>
      </c>
    </row>
    <row r="570" spans="1:7" x14ac:dyDescent="0.25">
      <c r="A570" t="s">
        <v>11</v>
      </c>
      <c r="B570">
        <v>0</v>
      </c>
      <c r="C570" s="3">
        <v>0</v>
      </c>
      <c r="D570" s="58">
        <v>44928</v>
      </c>
      <c r="E570" s="58" t="str">
        <f>TEXT(Base_de_Dados[[#This Row],[Semana]],"Mmmm")</f>
        <v>janeiro</v>
      </c>
      <c r="F570">
        <f t="shared" si="8"/>
        <v>2023</v>
      </c>
      <c r="G570" t="str">
        <f>IF(MONTH(Base_de_Dados[[#This Row],[Semana]])&lt;=6,"1ª Semestre","2ª Semestre")</f>
        <v>1ª Semestre</v>
      </c>
    </row>
    <row r="571" spans="1:7" x14ac:dyDescent="0.25">
      <c r="A571" t="s">
        <v>12</v>
      </c>
      <c r="B571">
        <v>0</v>
      </c>
      <c r="C571" s="3">
        <v>0</v>
      </c>
      <c r="D571" s="58">
        <v>44928</v>
      </c>
      <c r="E571" s="58" t="str">
        <f>TEXT(Base_de_Dados[[#This Row],[Semana]],"Mmmm")</f>
        <v>janeiro</v>
      </c>
      <c r="F571">
        <f t="shared" si="8"/>
        <v>2023</v>
      </c>
      <c r="G571" t="str">
        <f>IF(MONTH(Base_de_Dados[[#This Row],[Semana]])&lt;=6,"1ª Semestre","2ª Semestre")</f>
        <v>1ª Semestre</v>
      </c>
    </row>
    <row r="572" spans="1:7" x14ac:dyDescent="0.25">
      <c r="A572" t="s">
        <v>13</v>
      </c>
      <c r="B572">
        <v>1</v>
      </c>
      <c r="C572" s="3">
        <v>0.1111111111111111</v>
      </c>
      <c r="D572" s="58">
        <v>44928</v>
      </c>
      <c r="E572" s="58" t="str">
        <f>TEXT(Base_de_Dados[[#This Row],[Semana]],"Mmmm")</f>
        <v>janeiro</v>
      </c>
      <c r="F572">
        <f t="shared" si="8"/>
        <v>2023</v>
      </c>
      <c r="G572" t="str">
        <f>IF(MONTH(Base_de_Dados[[#This Row],[Semana]])&lt;=6,"1ª Semestre","2ª Semestre")</f>
        <v>1ª Semestre</v>
      </c>
    </row>
    <row r="573" spans="1:7" x14ac:dyDescent="0.25">
      <c r="A573" t="s">
        <v>121</v>
      </c>
      <c r="B573">
        <v>0</v>
      </c>
      <c r="C573" s="3">
        <v>0</v>
      </c>
      <c r="D573" s="58">
        <v>44928</v>
      </c>
      <c r="E573" s="58" t="str">
        <f>TEXT(Base_de_Dados[[#This Row],[Semana]],"Mmmm")</f>
        <v>janeiro</v>
      </c>
      <c r="F573">
        <f t="shared" si="8"/>
        <v>2023</v>
      </c>
      <c r="G573" t="str">
        <f>IF(MONTH(Base_de_Dados[[#This Row],[Semana]])&lt;=6,"1ª Semestre","2ª Semestre")</f>
        <v>1ª Semestre</v>
      </c>
    </row>
    <row r="574" spans="1:7" x14ac:dyDescent="0.25">
      <c r="A574" t="s">
        <v>15</v>
      </c>
      <c r="B574">
        <v>0</v>
      </c>
      <c r="C574" s="3">
        <v>0</v>
      </c>
      <c r="D574" s="58">
        <v>44928</v>
      </c>
      <c r="E574" s="58" t="str">
        <f>TEXT(Base_de_Dados[[#This Row],[Semana]],"Mmmm")</f>
        <v>janeiro</v>
      </c>
      <c r="F574">
        <f t="shared" si="8"/>
        <v>2023</v>
      </c>
      <c r="G574" t="str">
        <f>IF(MONTH(Base_de_Dados[[#This Row],[Semana]])&lt;=6,"1ª Semestre","2ª Semestre")</f>
        <v>1ª Semestre</v>
      </c>
    </row>
    <row r="575" spans="1:7" x14ac:dyDescent="0.25">
      <c r="A575" t="s">
        <v>16</v>
      </c>
      <c r="B575">
        <v>0</v>
      </c>
      <c r="C575" s="3">
        <v>0</v>
      </c>
      <c r="D575" s="58">
        <v>44928</v>
      </c>
      <c r="E575" s="58" t="str">
        <f>TEXT(Base_de_Dados[[#This Row],[Semana]],"Mmmm")</f>
        <v>janeiro</v>
      </c>
      <c r="F575">
        <f t="shared" si="8"/>
        <v>2023</v>
      </c>
      <c r="G575" t="str">
        <f>IF(MONTH(Base_de_Dados[[#This Row],[Semana]])&lt;=6,"1ª Semestre","2ª Semestre")</f>
        <v>1ª Semestre</v>
      </c>
    </row>
    <row r="576" spans="1:7" x14ac:dyDescent="0.25">
      <c r="A576" t="s">
        <v>166</v>
      </c>
      <c r="B576">
        <v>1</v>
      </c>
      <c r="C576" s="3">
        <v>0.1111111111111111</v>
      </c>
      <c r="D576" s="58">
        <v>44928</v>
      </c>
      <c r="E576" s="58" t="str">
        <f>TEXT(Base_de_Dados[[#This Row],[Semana]],"Mmmm")</f>
        <v>janeiro</v>
      </c>
      <c r="F576">
        <f t="shared" si="8"/>
        <v>2023</v>
      </c>
      <c r="G576" t="str">
        <f>IF(MONTH(Base_de_Dados[[#This Row],[Semana]])&lt;=6,"1ª Semestre","2ª Semestre")</f>
        <v>1ª Semestre</v>
      </c>
    </row>
    <row r="577" spans="1:7" x14ac:dyDescent="0.25">
      <c r="A577" t="s">
        <v>168</v>
      </c>
      <c r="B577">
        <v>0</v>
      </c>
      <c r="C577" s="3">
        <v>0</v>
      </c>
      <c r="D577" s="58">
        <v>44928</v>
      </c>
      <c r="E577" s="58" t="str">
        <f>TEXT(Base_de_Dados[[#This Row],[Semana]],"Mmmm")</f>
        <v>janeiro</v>
      </c>
      <c r="F577">
        <f t="shared" si="8"/>
        <v>2023</v>
      </c>
      <c r="G577" t="str">
        <f>IF(MONTH(Base_de_Dados[[#This Row],[Semana]])&lt;=6,"1ª Semestre","2ª Semestre")</f>
        <v>1ª Semestre</v>
      </c>
    </row>
    <row r="578" spans="1:7" x14ac:dyDescent="0.25">
      <c r="A578" t="s">
        <v>176</v>
      </c>
      <c r="B578">
        <v>0</v>
      </c>
      <c r="C578" s="3">
        <v>0</v>
      </c>
      <c r="D578" s="58">
        <v>44928</v>
      </c>
      <c r="E578" s="58" t="str">
        <f>TEXT(Base_de_Dados[[#This Row],[Semana]],"Mmmm")</f>
        <v>janeiro</v>
      </c>
      <c r="F578">
        <f t="shared" si="8"/>
        <v>2023</v>
      </c>
      <c r="G578" t="str">
        <f>IF(MONTH(Base_de_Dados[[#This Row],[Semana]])&lt;=6,"1ª Semestre","2ª Semestre")</f>
        <v>1ª Semestre</v>
      </c>
    </row>
    <row r="579" spans="1:7" x14ac:dyDescent="0.25">
      <c r="A579" t="s">
        <v>173</v>
      </c>
      <c r="B579">
        <v>0</v>
      </c>
      <c r="C579" s="3">
        <v>0</v>
      </c>
      <c r="D579" s="58">
        <v>44928</v>
      </c>
      <c r="E579" s="58" t="str">
        <f>TEXT(Base_de_Dados[[#This Row],[Semana]],"Mmmm")</f>
        <v>janeiro</v>
      </c>
      <c r="F579">
        <f t="shared" ref="F579:F642" si="9">YEAR(D579)</f>
        <v>2023</v>
      </c>
      <c r="G579" t="str">
        <f>IF(MONTH(Base_de_Dados[[#This Row],[Semana]])&lt;=6,"1ª Semestre","2ª Semestre")</f>
        <v>1ª Semestre</v>
      </c>
    </row>
    <row r="580" spans="1:7" x14ac:dyDescent="0.25">
      <c r="A580" t="s">
        <v>4</v>
      </c>
      <c r="B580">
        <v>3</v>
      </c>
      <c r="C580" s="3">
        <v>0.25</v>
      </c>
      <c r="D580" s="58">
        <v>44942</v>
      </c>
      <c r="E580" s="58" t="str">
        <f>TEXT(Base_de_Dados[[#This Row],[Semana]],"Mmmm")</f>
        <v>janeiro</v>
      </c>
      <c r="F580">
        <f t="shared" si="9"/>
        <v>2023</v>
      </c>
      <c r="G580" t="str">
        <f>IF(MONTH(Base_de_Dados[[#This Row],[Semana]])&lt;=6,"1ª Semestre","2ª Semestre")</f>
        <v>1ª Semestre</v>
      </c>
    </row>
    <row r="581" spans="1:7" x14ac:dyDescent="0.25">
      <c r="A581" t="s">
        <v>5</v>
      </c>
      <c r="B581">
        <v>0</v>
      </c>
      <c r="C581" s="3">
        <v>0</v>
      </c>
      <c r="D581" s="58">
        <v>44942</v>
      </c>
      <c r="E581" s="58" t="str">
        <f>TEXT(Base_de_Dados[[#This Row],[Semana]],"Mmmm")</f>
        <v>janeiro</v>
      </c>
      <c r="F581">
        <f t="shared" si="9"/>
        <v>2023</v>
      </c>
      <c r="G581" t="str">
        <f>IF(MONTH(Base_de_Dados[[#This Row],[Semana]])&lt;=6,"1ª Semestre","2ª Semestre")</f>
        <v>1ª Semestre</v>
      </c>
    </row>
    <row r="582" spans="1:7" x14ac:dyDescent="0.25">
      <c r="A582" t="s">
        <v>127</v>
      </c>
      <c r="B582">
        <v>0</v>
      </c>
      <c r="C582" s="3">
        <v>0</v>
      </c>
      <c r="D582" s="58">
        <v>44942</v>
      </c>
      <c r="E582" s="58" t="str">
        <f>TEXT(Base_de_Dados[[#This Row],[Semana]],"Mmmm")</f>
        <v>janeiro</v>
      </c>
      <c r="F582">
        <f t="shared" si="9"/>
        <v>2023</v>
      </c>
      <c r="G582" t="str">
        <f>IF(MONTH(Base_de_Dados[[#This Row],[Semana]])&lt;=6,"1ª Semestre","2ª Semestre")</f>
        <v>1ª Semestre</v>
      </c>
    </row>
    <row r="583" spans="1:7" x14ac:dyDescent="0.25">
      <c r="A583" t="s">
        <v>7</v>
      </c>
      <c r="B583">
        <v>0</v>
      </c>
      <c r="C583" s="3">
        <v>0</v>
      </c>
      <c r="D583" s="58">
        <v>44942</v>
      </c>
      <c r="E583" s="58" t="str">
        <f>TEXT(Base_de_Dados[[#This Row],[Semana]],"Mmmm")</f>
        <v>janeiro</v>
      </c>
      <c r="F583">
        <f t="shared" si="9"/>
        <v>2023</v>
      </c>
      <c r="G583" t="str">
        <f>IF(MONTH(Base_de_Dados[[#This Row],[Semana]])&lt;=6,"1ª Semestre","2ª Semestre")</f>
        <v>1ª Semestre</v>
      </c>
    </row>
    <row r="584" spans="1:7" x14ac:dyDescent="0.25">
      <c r="A584" t="s">
        <v>30</v>
      </c>
      <c r="B584">
        <v>1</v>
      </c>
      <c r="C584" s="3">
        <v>8.3333333333333329E-2</v>
      </c>
      <c r="D584" s="58">
        <v>44942</v>
      </c>
      <c r="E584" s="58" t="str">
        <f>TEXT(Base_de_Dados[[#This Row],[Semana]],"Mmmm")</f>
        <v>janeiro</v>
      </c>
      <c r="F584">
        <f t="shared" si="9"/>
        <v>2023</v>
      </c>
      <c r="G584" t="str">
        <f>IF(MONTH(Base_de_Dados[[#This Row],[Semana]])&lt;=6,"1ª Semestre","2ª Semestre")</f>
        <v>1ª Semestre</v>
      </c>
    </row>
    <row r="585" spans="1:7" x14ac:dyDescent="0.25">
      <c r="A585" t="s">
        <v>118</v>
      </c>
      <c r="B585">
        <v>2</v>
      </c>
      <c r="C585" s="3">
        <v>0.16666666666666666</v>
      </c>
      <c r="D585" s="58">
        <v>44942</v>
      </c>
      <c r="E585" s="58" t="str">
        <f>TEXT(Base_de_Dados[[#This Row],[Semana]],"Mmmm")</f>
        <v>janeiro</v>
      </c>
      <c r="F585">
        <f t="shared" si="9"/>
        <v>2023</v>
      </c>
      <c r="G585" t="str">
        <f>IF(MONTH(Base_de_Dados[[#This Row],[Semana]])&lt;=6,"1ª Semestre","2ª Semestre")</f>
        <v>1ª Semestre</v>
      </c>
    </row>
    <row r="586" spans="1:7" x14ac:dyDescent="0.25">
      <c r="A586" t="s">
        <v>10</v>
      </c>
      <c r="B586">
        <v>0</v>
      </c>
      <c r="C586" s="3">
        <v>0</v>
      </c>
      <c r="D586" s="58">
        <v>44942</v>
      </c>
      <c r="E586" s="58" t="str">
        <f>TEXT(Base_de_Dados[[#This Row],[Semana]],"Mmmm")</f>
        <v>janeiro</v>
      </c>
      <c r="F586">
        <f t="shared" si="9"/>
        <v>2023</v>
      </c>
      <c r="G586" t="str">
        <f>IF(MONTH(Base_de_Dados[[#This Row],[Semana]])&lt;=6,"1ª Semestre","2ª Semestre")</f>
        <v>1ª Semestre</v>
      </c>
    </row>
    <row r="587" spans="1:7" x14ac:dyDescent="0.25">
      <c r="A587" t="s">
        <v>11</v>
      </c>
      <c r="B587">
        <v>0</v>
      </c>
      <c r="C587" s="3">
        <v>0</v>
      </c>
      <c r="D587" s="58">
        <v>44942</v>
      </c>
      <c r="E587" s="58" t="str">
        <f>TEXT(Base_de_Dados[[#This Row],[Semana]],"Mmmm")</f>
        <v>janeiro</v>
      </c>
      <c r="F587">
        <f t="shared" si="9"/>
        <v>2023</v>
      </c>
      <c r="G587" t="str">
        <f>IF(MONTH(Base_de_Dados[[#This Row],[Semana]])&lt;=6,"1ª Semestre","2ª Semestre")</f>
        <v>1ª Semestre</v>
      </c>
    </row>
    <row r="588" spans="1:7" x14ac:dyDescent="0.25">
      <c r="A588" t="s">
        <v>12</v>
      </c>
      <c r="B588">
        <v>1</v>
      </c>
      <c r="C588" s="3">
        <v>8.3333333333333329E-2</v>
      </c>
      <c r="D588" s="58">
        <v>44942</v>
      </c>
      <c r="E588" s="58" t="str">
        <f>TEXT(Base_de_Dados[[#This Row],[Semana]],"Mmmm")</f>
        <v>janeiro</v>
      </c>
      <c r="F588">
        <f t="shared" si="9"/>
        <v>2023</v>
      </c>
      <c r="G588" t="str">
        <f>IF(MONTH(Base_de_Dados[[#This Row],[Semana]])&lt;=6,"1ª Semestre","2ª Semestre")</f>
        <v>1ª Semestre</v>
      </c>
    </row>
    <row r="589" spans="1:7" x14ac:dyDescent="0.25">
      <c r="A589" t="s">
        <v>13</v>
      </c>
      <c r="B589">
        <v>0</v>
      </c>
      <c r="C589" s="3">
        <v>0</v>
      </c>
      <c r="D589" s="58">
        <v>44942</v>
      </c>
      <c r="E589" s="58" t="str">
        <f>TEXT(Base_de_Dados[[#This Row],[Semana]],"Mmmm")</f>
        <v>janeiro</v>
      </c>
      <c r="F589">
        <f t="shared" si="9"/>
        <v>2023</v>
      </c>
      <c r="G589" t="str">
        <f>IF(MONTH(Base_de_Dados[[#This Row],[Semana]])&lt;=6,"1ª Semestre","2ª Semestre")</f>
        <v>1ª Semestre</v>
      </c>
    </row>
    <row r="590" spans="1:7" x14ac:dyDescent="0.25">
      <c r="A590" t="s">
        <v>121</v>
      </c>
      <c r="B590">
        <v>2</v>
      </c>
      <c r="C590" s="3">
        <v>0.16666666666666666</v>
      </c>
      <c r="D590" s="58">
        <v>44942</v>
      </c>
      <c r="E590" s="58" t="str">
        <f>TEXT(Base_de_Dados[[#This Row],[Semana]],"Mmmm")</f>
        <v>janeiro</v>
      </c>
      <c r="F590">
        <f t="shared" si="9"/>
        <v>2023</v>
      </c>
      <c r="G590" t="str">
        <f>IF(MONTH(Base_de_Dados[[#This Row],[Semana]])&lt;=6,"1ª Semestre","2ª Semestre")</f>
        <v>1ª Semestre</v>
      </c>
    </row>
    <row r="591" spans="1:7" x14ac:dyDescent="0.25">
      <c r="A591" t="s">
        <v>15</v>
      </c>
      <c r="B591">
        <v>3</v>
      </c>
      <c r="C591" s="3">
        <v>0.25</v>
      </c>
      <c r="D591" s="58">
        <v>44942</v>
      </c>
      <c r="E591" s="58" t="str">
        <f>TEXT(Base_de_Dados[[#This Row],[Semana]],"Mmmm")</f>
        <v>janeiro</v>
      </c>
      <c r="F591">
        <f t="shared" si="9"/>
        <v>2023</v>
      </c>
      <c r="G591" t="str">
        <f>IF(MONTH(Base_de_Dados[[#This Row],[Semana]])&lt;=6,"1ª Semestre","2ª Semestre")</f>
        <v>1ª Semestre</v>
      </c>
    </row>
    <row r="592" spans="1:7" x14ac:dyDescent="0.25">
      <c r="A592" t="s">
        <v>16</v>
      </c>
      <c r="B592">
        <v>0</v>
      </c>
      <c r="C592" s="3">
        <v>0</v>
      </c>
      <c r="D592" s="58">
        <v>44942</v>
      </c>
      <c r="E592" s="58" t="str">
        <f>TEXT(Base_de_Dados[[#This Row],[Semana]],"Mmmm")</f>
        <v>janeiro</v>
      </c>
      <c r="F592">
        <f t="shared" si="9"/>
        <v>2023</v>
      </c>
      <c r="G592" t="str">
        <f>IF(MONTH(Base_de_Dados[[#This Row],[Semana]])&lt;=6,"1ª Semestre","2ª Semestre")</f>
        <v>1ª Semestre</v>
      </c>
    </row>
    <row r="593" spans="1:7" x14ac:dyDescent="0.25">
      <c r="A593" t="s">
        <v>166</v>
      </c>
      <c r="B593">
        <v>0</v>
      </c>
      <c r="C593" s="3">
        <v>0</v>
      </c>
      <c r="D593" s="58">
        <v>44942</v>
      </c>
      <c r="E593" s="58" t="str">
        <f>TEXT(Base_de_Dados[[#This Row],[Semana]],"Mmmm")</f>
        <v>janeiro</v>
      </c>
      <c r="F593">
        <f t="shared" si="9"/>
        <v>2023</v>
      </c>
      <c r="G593" t="str">
        <f>IF(MONTH(Base_de_Dados[[#This Row],[Semana]])&lt;=6,"1ª Semestre","2ª Semestre")</f>
        <v>1ª Semestre</v>
      </c>
    </row>
    <row r="594" spans="1:7" x14ac:dyDescent="0.25">
      <c r="A594" t="s">
        <v>168</v>
      </c>
      <c r="B594">
        <v>0</v>
      </c>
      <c r="C594" s="3">
        <v>0</v>
      </c>
      <c r="D594" s="58">
        <v>44942</v>
      </c>
      <c r="E594" s="58" t="str">
        <f>TEXT(Base_de_Dados[[#This Row],[Semana]],"Mmmm")</f>
        <v>janeiro</v>
      </c>
      <c r="F594">
        <f t="shared" si="9"/>
        <v>2023</v>
      </c>
      <c r="G594" t="str">
        <f>IF(MONTH(Base_de_Dados[[#This Row],[Semana]])&lt;=6,"1ª Semestre","2ª Semestre")</f>
        <v>1ª Semestre</v>
      </c>
    </row>
    <row r="595" spans="1:7" x14ac:dyDescent="0.25">
      <c r="A595" t="s">
        <v>176</v>
      </c>
      <c r="B595">
        <v>0</v>
      </c>
      <c r="C595" s="3">
        <v>0</v>
      </c>
      <c r="D595" s="58">
        <v>44942</v>
      </c>
      <c r="E595" s="58" t="str">
        <f>TEXT(Base_de_Dados[[#This Row],[Semana]],"Mmmm")</f>
        <v>janeiro</v>
      </c>
      <c r="F595">
        <f t="shared" si="9"/>
        <v>2023</v>
      </c>
      <c r="G595" t="str">
        <f>IF(MONTH(Base_de_Dados[[#This Row],[Semana]])&lt;=6,"1ª Semestre","2ª Semestre")</f>
        <v>1ª Semestre</v>
      </c>
    </row>
    <row r="596" spans="1:7" x14ac:dyDescent="0.25">
      <c r="A596" t="s">
        <v>173</v>
      </c>
      <c r="B596">
        <v>0</v>
      </c>
      <c r="C596" s="3">
        <v>0</v>
      </c>
      <c r="D596" s="58">
        <v>44942</v>
      </c>
      <c r="E596" s="58" t="str">
        <f>TEXT(Base_de_Dados[[#This Row],[Semana]],"Mmmm")</f>
        <v>janeiro</v>
      </c>
      <c r="F596">
        <f t="shared" si="9"/>
        <v>2023</v>
      </c>
      <c r="G596" t="str">
        <f>IF(MONTH(Base_de_Dados[[#This Row],[Semana]])&lt;=6,"1ª Semestre","2ª Semestre")</f>
        <v>1ª Semestre</v>
      </c>
    </row>
    <row r="597" spans="1:7" x14ac:dyDescent="0.25">
      <c r="A597" t="s">
        <v>4</v>
      </c>
      <c r="B597">
        <v>0</v>
      </c>
      <c r="C597" s="3">
        <v>0</v>
      </c>
      <c r="D597" s="58">
        <v>44949</v>
      </c>
      <c r="E597" s="58" t="str">
        <f>TEXT(Base_de_Dados[[#This Row],[Semana]],"Mmmm")</f>
        <v>janeiro</v>
      </c>
      <c r="F597">
        <f t="shared" si="9"/>
        <v>2023</v>
      </c>
      <c r="G597" t="str">
        <f>IF(MONTH(Base_de_Dados[[#This Row],[Semana]])&lt;=6,"1ª Semestre","2ª Semestre")</f>
        <v>1ª Semestre</v>
      </c>
    </row>
    <row r="598" spans="1:7" x14ac:dyDescent="0.25">
      <c r="A598" t="s">
        <v>5</v>
      </c>
      <c r="B598">
        <v>0</v>
      </c>
      <c r="C598" s="3">
        <v>0</v>
      </c>
      <c r="D598" s="58">
        <v>44949</v>
      </c>
      <c r="E598" s="58" t="str">
        <f>TEXT(Base_de_Dados[[#This Row],[Semana]],"Mmmm")</f>
        <v>janeiro</v>
      </c>
      <c r="F598">
        <f t="shared" si="9"/>
        <v>2023</v>
      </c>
      <c r="G598" t="str">
        <f>IF(MONTH(Base_de_Dados[[#This Row],[Semana]])&lt;=6,"1ª Semestre","2ª Semestre")</f>
        <v>1ª Semestre</v>
      </c>
    </row>
    <row r="599" spans="1:7" x14ac:dyDescent="0.25">
      <c r="A599" t="s">
        <v>127</v>
      </c>
      <c r="B599">
        <v>1</v>
      </c>
      <c r="C599" s="3">
        <v>1</v>
      </c>
      <c r="D599" s="58">
        <v>44949</v>
      </c>
      <c r="E599" s="58" t="str">
        <f>TEXT(Base_de_Dados[[#This Row],[Semana]],"Mmmm")</f>
        <v>janeiro</v>
      </c>
      <c r="F599">
        <f t="shared" si="9"/>
        <v>2023</v>
      </c>
      <c r="G599" t="str">
        <f>IF(MONTH(Base_de_Dados[[#This Row],[Semana]])&lt;=6,"1ª Semestre","2ª Semestre")</f>
        <v>1ª Semestre</v>
      </c>
    </row>
    <row r="600" spans="1:7" x14ac:dyDescent="0.25">
      <c r="A600" t="s">
        <v>7</v>
      </c>
      <c r="B600">
        <v>0</v>
      </c>
      <c r="C600" s="3">
        <v>0</v>
      </c>
      <c r="D600" s="58">
        <v>44949</v>
      </c>
      <c r="E600" s="58" t="str">
        <f>TEXT(Base_de_Dados[[#This Row],[Semana]],"Mmmm")</f>
        <v>janeiro</v>
      </c>
      <c r="F600">
        <f t="shared" si="9"/>
        <v>2023</v>
      </c>
      <c r="G600" t="str">
        <f>IF(MONTH(Base_de_Dados[[#This Row],[Semana]])&lt;=6,"1ª Semestre","2ª Semestre")</f>
        <v>1ª Semestre</v>
      </c>
    </row>
    <row r="601" spans="1:7" x14ac:dyDescent="0.25">
      <c r="A601" t="s">
        <v>30</v>
      </c>
      <c r="B601">
        <v>0</v>
      </c>
      <c r="C601" s="3">
        <v>0</v>
      </c>
      <c r="D601" s="58">
        <v>44949</v>
      </c>
      <c r="E601" s="58" t="str">
        <f>TEXT(Base_de_Dados[[#This Row],[Semana]],"Mmmm")</f>
        <v>janeiro</v>
      </c>
      <c r="F601">
        <f t="shared" si="9"/>
        <v>2023</v>
      </c>
      <c r="G601" t="str">
        <f>IF(MONTH(Base_de_Dados[[#This Row],[Semana]])&lt;=6,"1ª Semestre","2ª Semestre")</f>
        <v>1ª Semestre</v>
      </c>
    </row>
    <row r="602" spans="1:7" x14ac:dyDescent="0.25">
      <c r="A602" t="s">
        <v>118</v>
      </c>
      <c r="B602">
        <v>0</v>
      </c>
      <c r="C602" s="3">
        <v>0</v>
      </c>
      <c r="D602" s="58">
        <v>44949</v>
      </c>
      <c r="E602" s="58" t="str">
        <f>TEXT(Base_de_Dados[[#This Row],[Semana]],"Mmmm")</f>
        <v>janeiro</v>
      </c>
      <c r="F602">
        <f t="shared" si="9"/>
        <v>2023</v>
      </c>
      <c r="G602" t="str">
        <f>IF(MONTH(Base_de_Dados[[#This Row],[Semana]])&lt;=6,"1ª Semestre","2ª Semestre")</f>
        <v>1ª Semestre</v>
      </c>
    </row>
    <row r="603" spans="1:7" x14ac:dyDescent="0.25">
      <c r="A603" t="s">
        <v>10</v>
      </c>
      <c r="B603">
        <v>0</v>
      </c>
      <c r="C603" s="3">
        <v>0</v>
      </c>
      <c r="D603" s="58">
        <v>44949</v>
      </c>
      <c r="E603" s="58" t="str">
        <f>TEXT(Base_de_Dados[[#This Row],[Semana]],"Mmmm")</f>
        <v>janeiro</v>
      </c>
      <c r="F603">
        <f t="shared" si="9"/>
        <v>2023</v>
      </c>
      <c r="G603" t="str">
        <f>IF(MONTH(Base_de_Dados[[#This Row],[Semana]])&lt;=6,"1ª Semestre","2ª Semestre")</f>
        <v>1ª Semestre</v>
      </c>
    </row>
    <row r="604" spans="1:7" x14ac:dyDescent="0.25">
      <c r="A604" t="s">
        <v>11</v>
      </c>
      <c r="B604">
        <v>0</v>
      </c>
      <c r="C604" s="3">
        <v>0</v>
      </c>
      <c r="D604" s="58">
        <v>44949</v>
      </c>
      <c r="E604" s="58" t="str">
        <f>TEXT(Base_de_Dados[[#This Row],[Semana]],"Mmmm")</f>
        <v>janeiro</v>
      </c>
      <c r="F604">
        <f t="shared" si="9"/>
        <v>2023</v>
      </c>
      <c r="G604" t="str">
        <f>IF(MONTH(Base_de_Dados[[#This Row],[Semana]])&lt;=6,"1ª Semestre","2ª Semestre")</f>
        <v>1ª Semestre</v>
      </c>
    </row>
    <row r="605" spans="1:7" x14ac:dyDescent="0.25">
      <c r="A605" t="s">
        <v>12</v>
      </c>
      <c r="B605">
        <v>0</v>
      </c>
      <c r="C605" s="3">
        <v>0</v>
      </c>
      <c r="D605" s="58">
        <v>44949</v>
      </c>
      <c r="E605" s="58" t="str">
        <f>TEXT(Base_de_Dados[[#This Row],[Semana]],"Mmmm")</f>
        <v>janeiro</v>
      </c>
      <c r="F605">
        <f t="shared" si="9"/>
        <v>2023</v>
      </c>
      <c r="G605" t="str">
        <f>IF(MONTH(Base_de_Dados[[#This Row],[Semana]])&lt;=6,"1ª Semestre","2ª Semestre")</f>
        <v>1ª Semestre</v>
      </c>
    </row>
    <row r="606" spans="1:7" x14ac:dyDescent="0.25">
      <c r="A606" t="s">
        <v>13</v>
      </c>
      <c r="B606">
        <v>0</v>
      </c>
      <c r="C606" s="3">
        <v>0</v>
      </c>
      <c r="D606" s="58">
        <v>44949</v>
      </c>
      <c r="E606" s="58" t="str">
        <f>TEXT(Base_de_Dados[[#This Row],[Semana]],"Mmmm")</f>
        <v>janeiro</v>
      </c>
      <c r="F606">
        <f t="shared" si="9"/>
        <v>2023</v>
      </c>
      <c r="G606" t="str">
        <f>IF(MONTH(Base_de_Dados[[#This Row],[Semana]])&lt;=6,"1ª Semestre","2ª Semestre")</f>
        <v>1ª Semestre</v>
      </c>
    </row>
    <row r="607" spans="1:7" x14ac:dyDescent="0.25">
      <c r="A607" t="s">
        <v>121</v>
      </c>
      <c r="B607">
        <v>0</v>
      </c>
      <c r="C607" s="3">
        <v>0</v>
      </c>
      <c r="D607" s="58">
        <v>44949</v>
      </c>
      <c r="E607" s="58" t="str">
        <f>TEXT(Base_de_Dados[[#This Row],[Semana]],"Mmmm")</f>
        <v>janeiro</v>
      </c>
      <c r="F607">
        <f t="shared" si="9"/>
        <v>2023</v>
      </c>
      <c r="G607" t="str">
        <f>IF(MONTH(Base_de_Dados[[#This Row],[Semana]])&lt;=6,"1ª Semestre","2ª Semestre")</f>
        <v>1ª Semestre</v>
      </c>
    </row>
    <row r="608" spans="1:7" x14ac:dyDescent="0.25">
      <c r="A608" t="s">
        <v>15</v>
      </c>
      <c r="B608">
        <v>0</v>
      </c>
      <c r="C608" s="3">
        <v>0</v>
      </c>
      <c r="D608" s="58">
        <v>44949</v>
      </c>
      <c r="E608" s="58" t="str">
        <f>TEXT(Base_de_Dados[[#This Row],[Semana]],"Mmmm")</f>
        <v>janeiro</v>
      </c>
      <c r="F608">
        <f t="shared" si="9"/>
        <v>2023</v>
      </c>
      <c r="G608" t="str">
        <f>IF(MONTH(Base_de_Dados[[#This Row],[Semana]])&lt;=6,"1ª Semestre","2ª Semestre")</f>
        <v>1ª Semestre</v>
      </c>
    </row>
    <row r="609" spans="1:7" x14ac:dyDescent="0.25">
      <c r="A609" t="s">
        <v>16</v>
      </c>
      <c r="B609">
        <v>0</v>
      </c>
      <c r="C609" s="3">
        <v>0</v>
      </c>
      <c r="D609" s="58">
        <v>44949</v>
      </c>
      <c r="E609" s="58" t="str">
        <f>TEXT(Base_de_Dados[[#This Row],[Semana]],"Mmmm")</f>
        <v>janeiro</v>
      </c>
      <c r="F609">
        <f t="shared" si="9"/>
        <v>2023</v>
      </c>
      <c r="G609" t="str">
        <f>IF(MONTH(Base_de_Dados[[#This Row],[Semana]])&lt;=6,"1ª Semestre","2ª Semestre")</f>
        <v>1ª Semestre</v>
      </c>
    </row>
    <row r="610" spans="1:7" x14ac:dyDescent="0.25">
      <c r="A610" t="s">
        <v>166</v>
      </c>
      <c r="B610">
        <v>0</v>
      </c>
      <c r="C610" s="3">
        <v>0</v>
      </c>
      <c r="D610" s="58">
        <v>44949</v>
      </c>
      <c r="E610" s="58" t="str">
        <f>TEXT(Base_de_Dados[[#This Row],[Semana]],"Mmmm")</f>
        <v>janeiro</v>
      </c>
      <c r="F610">
        <f t="shared" si="9"/>
        <v>2023</v>
      </c>
      <c r="G610" t="str">
        <f>IF(MONTH(Base_de_Dados[[#This Row],[Semana]])&lt;=6,"1ª Semestre","2ª Semestre")</f>
        <v>1ª Semestre</v>
      </c>
    </row>
    <row r="611" spans="1:7" x14ac:dyDescent="0.25">
      <c r="A611" t="s">
        <v>168</v>
      </c>
      <c r="B611">
        <v>0</v>
      </c>
      <c r="C611" s="3">
        <v>0</v>
      </c>
      <c r="D611" s="58">
        <v>44949</v>
      </c>
      <c r="E611" s="58" t="str">
        <f>TEXT(Base_de_Dados[[#This Row],[Semana]],"Mmmm")</f>
        <v>janeiro</v>
      </c>
      <c r="F611">
        <f t="shared" si="9"/>
        <v>2023</v>
      </c>
      <c r="G611" t="str">
        <f>IF(MONTH(Base_de_Dados[[#This Row],[Semana]])&lt;=6,"1ª Semestre","2ª Semestre")</f>
        <v>1ª Semestre</v>
      </c>
    </row>
    <row r="612" spans="1:7" x14ac:dyDescent="0.25">
      <c r="A612" t="s">
        <v>176</v>
      </c>
      <c r="B612">
        <v>0</v>
      </c>
      <c r="C612" s="3">
        <v>0</v>
      </c>
      <c r="D612" s="58">
        <v>44949</v>
      </c>
      <c r="E612" s="58" t="str">
        <f>TEXT(Base_de_Dados[[#This Row],[Semana]],"Mmmm")</f>
        <v>janeiro</v>
      </c>
      <c r="F612">
        <f t="shared" si="9"/>
        <v>2023</v>
      </c>
      <c r="G612" t="str">
        <f>IF(MONTH(Base_de_Dados[[#This Row],[Semana]])&lt;=6,"1ª Semestre","2ª Semestre")</f>
        <v>1ª Semestre</v>
      </c>
    </row>
    <row r="613" spans="1:7" x14ac:dyDescent="0.25">
      <c r="A613" t="s">
        <v>173</v>
      </c>
      <c r="B613">
        <v>0</v>
      </c>
      <c r="C613" s="3">
        <v>0</v>
      </c>
      <c r="D613" s="58">
        <v>44949</v>
      </c>
      <c r="E613" s="58" t="str">
        <f>TEXT(Base_de_Dados[[#This Row],[Semana]],"Mmmm")</f>
        <v>janeiro</v>
      </c>
      <c r="F613">
        <f t="shared" si="9"/>
        <v>2023</v>
      </c>
      <c r="G613" t="str">
        <f>IF(MONTH(Base_de_Dados[[#This Row],[Semana]])&lt;=6,"1ª Semestre","2ª Semestre")</f>
        <v>1ª Semestre</v>
      </c>
    </row>
    <row r="614" spans="1:7" x14ac:dyDescent="0.25">
      <c r="A614" t="s">
        <v>4</v>
      </c>
      <c r="B614">
        <v>0</v>
      </c>
      <c r="C614" s="3">
        <v>0</v>
      </c>
      <c r="D614" s="58">
        <v>44956</v>
      </c>
      <c r="E614" s="58" t="str">
        <f>TEXT(Base_de_Dados[[#This Row],[Semana]],"Mmmm")</f>
        <v>janeiro</v>
      </c>
      <c r="F614">
        <f t="shared" si="9"/>
        <v>2023</v>
      </c>
      <c r="G614" t="str">
        <f>IF(MONTH(Base_de_Dados[[#This Row],[Semana]])&lt;=6,"1ª Semestre","2ª Semestre")</f>
        <v>1ª Semestre</v>
      </c>
    </row>
    <row r="615" spans="1:7" x14ac:dyDescent="0.25">
      <c r="A615" t="s">
        <v>5</v>
      </c>
      <c r="B615">
        <v>0</v>
      </c>
      <c r="C615" s="3">
        <v>0</v>
      </c>
      <c r="D615" s="58">
        <v>44956</v>
      </c>
      <c r="E615" s="58" t="str">
        <f>TEXT(Base_de_Dados[[#This Row],[Semana]],"Mmmm")</f>
        <v>janeiro</v>
      </c>
      <c r="F615">
        <f t="shared" si="9"/>
        <v>2023</v>
      </c>
      <c r="G615" t="str">
        <f>IF(MONTH(Base_de_Dados[[#This Row],[Semana]])&lt;=6,"1ª Semestre","2ª Semestre")</f>
        <v>1ª Semestre</v>
      </c>
    </row>
    <row r="616" spans="1:7" x14ac:dyDescent="0.25">
      <c r="A616" t="s">
        <v>127</v>
      </c>
      <c r="B616">
        <v>0</v>
      </c>
      <c r="C616" s="3">
        <v>0</v>
      </c>
      <c r="D616" s="58">
        <v>44956</v>
      </c>
      <c r="E616" s="58" t="str">
        <f>TEXT(Base_de_Dados[[#This Row],[Semana]],"Mmmm")</f>
        <v>janeiro</v>
      </c>
      <c r="F616">
        <f t="shared" si="9"/>
        <v>2023</v>
      </c>
      <c r="G616" t="str">
        <f>IF(MONTH(Base_de_Dados[[#This Row],[Semana]])&lt;=6,"1ª Semestre","2ª Semestre")</f>
        <v>1ª Semestre</v>
      </c>
    </row>
    <row r="617" spans="1:7" x14ac:dyDescent="0.25">
      <c r="A617" t="s">
        <v>7</v>
      </c>
      <c r="B617">
        <v>0</v>
      </c>
      <c r="C617" s="3">
        <v>0</v>
      </c>
      <c r="D617" s="58">
        <v>44956</v>
      </c>
      <c r="E617" s="58" t="str">
        <f>TEXT(Base_de_Dados[[#This Row],[Semana]],"Mmmm")</f>
        <v>janeiro</v>
      </c>
      <c r="F617">
        <f t="shared" si="9"/>
        <v>2023</v>
      </c>
      <c r="G617" t="str">
        <f>IF(MONTH(Base_de_Dados[[#This Row],[Semana]])&lt;=6,"1ª Semestre","2ª Semestre")</f>
        <v>1ª Semestre</v>
      </c>
    </row>
    <row r="618" spans="1:7" x14ac:dyDescent="0.25">
      <c r="A618" t="s">
        <v>30</v>
      </c>
      <c r="B618">
        <v>0</v>
      </c>
      <c r="C618" s="3">
        <v>0</v>
      </c>
      <c r="D618" s="58">
        <v>44956</v>
      </c>
      <c r="E618" s="58" t="str">
        <f>TEXT(Base_de_Dados[[#This Row],[Semana]],"Mmmm")</f>
        <v>janeiro</v>
      </c>
      <c r="F618">
        <f t="shared" si="9"/>
        <v>2023</v>
      </c>
      <c r="G618" t="str">
        <f>IF(MONTH(Base_de_Dados[[#This Row],[Semana]])&lt;=6,"1ª Semestre","2ª Semestre")</f>
        <v>1ª Semestre</v>
      </c>
    </row>
    <row r="619" spans="1:7" x14ac:dyDescent="0.25">
      <c r="A619" t="s">
        <v>118</v>
      </c>
      <c r="B619">
        <v>10</v>
      </c>
      <c r="C619" s="3">
        <v>0.27027027027027029</v>
      </c>
      <c r="D619" s="58">
        <v>44956</v>
      </c>
      <c r="E619" s="58" t="str">
        <f>TEXT(Base_de_Dados[[#This Row],[Semana]],"Mmmm")</f>
        <v>janeiro</v>
      </c>
      <c r="F619">
        <f t="shared" si="9"/>
        <v>2023</v>
      </c>
      <c r="G619" t="str">
        <f>IF(MONTH(Base_de_Dados[[#This Row],[Semana]])&lt;=6,"1ª Semestre","2ª Semestre")</f>
        <v>1ª Semestre</v>
      </c>
    </row>
    <row r="620" spans="1:7" x14ac:dyDescent="0.25">
      <c r="A620" t="s">
        <v>10</v>
      </c>
      <c r="B620">
        <v>0</v>
      </c>
      <c r="C620" s="3">
        <v>0</v>
      </c>
      <c r="D620" s="58">
        <v>44956</v>
      </c>
      <c r="E620" s="58" t="str">
        <f>TEXT(Base_de_Dados[[#This Row],[Semana]],"Mmmm")</f>
        <v>janeiro</v>
      </c>
      <c r="F620">
        <f t="shared" si="9"/>
        <v>2023</v>
      </c>
      <c r="G620" t="str">
        <f>IF(MONTH(Base_de_Dados[[#This Row],[Semana]])&lt;=6,"1ª Semestre","2ª Semestre")</f>
        <v>1ª Semestre</v>
      </c>
    </row>
    <row r="621" spans="1:7" x14ac:dyDescent="0.25">
      <c r="A621" t="s">
        <v>11</v>
      </c>
      <c r="B621">
        <v>0</v>
      </c>
      <c r="C621" s="3">
        <v>0</v>
      </c>
      <c r="D621" s="58">
        <v>44956</v>
      </c>
      <c r="E621" s="58" t="str">
        <f>TEXT(Base_de_Dados[[#This Row],[Semana]],"Mmmm")</f>
        <v>janeiro</v>
      </c>
      <c r="F621">
        <f t="shared" si="9"/>
        <v>2023</v>
      </c>
      <c r="G621" t="str">
        <f>IF(MONTH(Base_de_Dados[[#This Row],[Semana]])&lt;=6,"1ª Semestre","2ª Semestre")</f>
        <v>1ª Semestre</v>
      </c>
    </row>
    <row r="622" spans="1:7" x14ac:dyDescent="0.25">
      <c r="A622" t="s">
        <v>12</v>
      </c>
      <c r="B622">
        <v>0</v>
      </c>
      <c r="C622" s="3">
        <v>0</v>
      </c>
      <c r="D622" s="58">
        <v>44956</v>
      </c>
      <c r="E622" s="58" t="str">
        <f>TEXT(Base_de_Dados[[#This Row],[Semana]],"Mmmm")</f>
        <v>janeiro</v>
      </c>
      <c r="F622">
        <f t="shared" si="9"/>
        <v>2023</v>
      </c>
      <c r="G622" t="str">
        <f>IF(MONTH(Base_de_Dados[[#This Row],[Semana]])&lt;=6,"1ª Semestre","2ª Semestre")</f>
        <v>1ª Semestre</v>
      </c>
    </row>
    <row r="623" spans="1:7" x14ac:dyDescent="0.25">
      <c r="A623" t="s">
        <v>13</v>
      </c>
      <c r="B623">
        <v>0</v>
      </c>
      <c r="C623" s="3">
        <v>0</v>
      </c>
      <c r="D623" s="58">
        <v>44956</v>
      </c>
      <c r="E623" s="58" t="str">
        <f>TEXT(Base_de_Dados[[#This Row],[Semana]],"Mmmm")</f>
        <v>janeiro</v>
      </c>
      <c r="F623">
        <f t="shared" si="9"/>
        <v>2023</v>
      </c>
      <c r="G623" t="str">
        <f>IF(MONTH(Base_de_Dados[[#This Row],[Semana]])&lt;=6,"1ª Semestre","2ª Semestre")</f>
        <v>1ª Semestre</v>
      </c>
    </row>
    <row r="624" spans="1:7" x14ac:dyDescent="0.25">
      <c r="A624" t="s">
        <v>121</v>
      </c>
      <c r="B624">
        <v>0</v>
      </c>
      <c r="C624" s="3">
        <v>0</v>
      </c>
      <c r="D624" s="58">
        <v>44956</v>
      </c>
      <c r="E624" s="58" t="str">
        <f>TEXT(Base_de_Dados[[#This Row],[Semana]],"Mmmm")</f>
        <v>janeiro</v>
      </c>
      <c r="F624">
        <f t="shared" si="9"/>
        <v>2023</v>
      </c>
      <c r="G624" t="str">
        <f>IF(MONTH(Base_de_Dados[[#This Row],[Semana]])&lt;=6,"1ª Semestre","2ª Semestre")</f>
        <v>1ª Semestre</v>
      </c>
    </row>
    <row r="625" spans="1:7" x14ac:dyDescent="0.25">
      <c r="A625" t="s">
        <v>15</v>
      </c>
      <c r="B625">
        <v>23</v>
      </c>
      <c r="C625" s="3">
        <v>0.6216216216216216</v>
      </c>
      <c r="D625" s="58">
        <v>44956</v>
      </c>
      <c r="E625" s="58" t="str">
        <f>TEXT(Base_de_Dados[[#This Row],[Semana]],"Mmmm")</f>
        <v>janeiro</v>
      </c>
      <c r="F625">
        <f t="shared" si="9"/>
        <v>2023</v>
      </c>
      <c r="G625" t="str">
        <f>IF(MONTH(Base_de_Dados[[#This Row],[Semana]])&lt;=6,"1ª Semestre","2ª Semestre")</f>
        <v>1ª Semestre</v>
      </c>
    </row>
    <row r="626" spans="1:7" x14ac:dyDescent="0.25">
      <c r="A626" t="s">
        <v>16</v>
      </c>
      <c r="B626">
        <v>0</v>
      </c>
      <c r="C626" s="3">
        <v>0</v>
      </c>
      <c r="D626" s="58">
        <v>44956</v>
      </c>
      <c r="E626" s="58" t="str">
        <f>TEXT(Base_de_Dados[[#This Row],[Semana]],"Mmmm")</f>
        <v>janeiro</v>
      </c>
      <c r="F626">
        <f t="shared" si="9"/>
        <v>2023</v>
      </c>
      <c r="G626" t="str">
        <f>IF(MONTH(Base_de_Dados[[#This Row],[Semana]])&lt;=6,"1ª Semestre","2ª Semestre")</f>
        <v>1ª Semestre</v>
      </c>
    </row>
    <row r="627" spans="1:7" x14ac:dyDescent="0.25">
      <c r="A627" t="s">
        <v>166</v>
      </c>
      <c r="B627">
        <v>4</v>
      </c>
      <c r="C627" s="3">
        <v>0.10810810810810811</v>
      </c>
      <c r="D627" s="58">
        <v>44956</v>
      </c>
      <c r="E627" s="58" t="str">
        <f>TEXT(Base_de_Dados[[#This Row],[Semana]],"Mmmm")</f>
        <v>janeiro</v>
      </c>
      <c r="F627">
        <f t="shared" si="9"/>
        <v>2023</v>
      </c>
      <c r="G627" t="str">
        <f>IF(MONTH(Base_de_Dados[[#This Row],[Semana]])&lt;=6,"1ª Semestre","2ª Semestre")</f>
        <v>1ª Semestre</v>
      </c>
    </row>
    <row r="628" spans="1:7" x14ac:dyDescent="0.25">
      <c r="A628" t="s">
        <v>168</v>
      </c>
      <c r="B628">
        <v>0</v>
      </c>
      <c r="C628" s="3">
        <v>0</v>
      </c>
      <c r="D628" s="58">
        <v>44956</v>
      </c>
      <c r="E628" s="58" t="str">
        <f>TEXT(Base_de_Dados[[#This Row],[Semana]],"Mmmm")</f>
        <v>janeiro</v>
      </c>
      <c r="F628">
        <f t="shared" si="9"/>
        <v>2023</v>
      </c>
      <c r="G628" t="str">
        <f>IF(MONTH(Base_de_Dados[[#This Row],[Semana]])&lt;=6,"1ª Semestre","2ª Semestre")</f>
        <v>1ª Semestre</v>
      </c>
    </row>
    <row r="629" spans="1:7" x14ac:dyDescent="0.25">
      <c r="A629" t="s">
        <v>176</v>
      </c>
      <c r="B629">
        <v>0</v>
      </c>
      <c r="C629" s="3">
        <v>0</v>
      </c>
      <c r="D629" s="58">
        <v>44956</v>
      </c>
      <c r="E629" s="58" t="str">
        <f>TEXT(Base_de_Dados[[#This Row],[Semana]],"Mmmm")</f>
        <v>janeiro</v>
      </c>
      <c r="F629">
        <f t="shared" si="9"/>
        <v>2023</v>
      </c>
      <c r="G629" t="str">
        <f>IF(MONTH(Base_de_Dados[[#This Row],[Semana]])&lt;=6,"1ª Semestre","2ª Semestre")</f>
        <v>1ª Semestre</v>
      </c>
    </row>
    <row r="630" spans="1:7" x14ac:dyDescent="0.25">
      <c r="A630" t="s">
        <v>173</v>
      </c>
      <c r="B630">
        <v>0</v>
      </c>
      <c r="C630" s="3">
        <v>0</v>
      </c>
      <c r="D630" s="58">
        <v>44956</v>
      </c>
      <c r="E630" s="58" t="str">
        <f>TEXT(Base_de_Dados[[#This Row],[Semana]],"Mmmm")</f>
        <v>janeiro</v>
      </c>
      <c r="F630">
        <f t="shared" si="9"/>
        <v>2023</v>
      </c>
      <c r="G630" t="str">
        <f>IF(MONTH(Base_de_Dados[[#This Row],[Semana]])&lt;=6,"1ª Semestre","2ª Semestre")</f>
        <v>1ª Semestre</v>
      </c>
    </row>
    <row r="631" spans="1:7" x14ac:dyDescent="0.25">
      <c r="A631" t="s">
        <v>4</v>
      </c>
      <c r="B631">
        <v>1</v>
      </c>
      <c r="C631" s="3">
        <v>2.9411764705882353E-2</v>
      </c>
      <c r="D631" s="58">
        <v>44963</v>
      </c>
      <c r="E631" s="58" t="str">
        <f>TEXT(Base_de_Dados[[#This Row],[Semana]],"Mmmm")</f>
        <v>fevereiro</v>
      </c>
      <c r="F631">
        <f t="shared" si="9"/>
        <v>2023</v>
      </c>
      <c r="G631" t="str">
        <f>IF(MONTH(Base_de_Dados[[#This Row],[Semana]])&lt;=6,"1ª Semestre","2ª Semestre")</f>
        <v>1ª Semestre</v>
      </c>
    </row>
    <row r="632" spans="1:7" x14ac:dyDescent="0.25">
      <c r="A632" t="s">
        <v>5</v>
      </c>
      <c r="B632">
        <v>2</v>
      </c>
      <c r="C632" s="3">
        <v>5.8823529411764705E-2</v>
      </c>
      <c r="D632" s="58">
        <v>44963</v>
      </c>
      <c r="E632" s="58" t="str">
        <f>TEXT(Base_de_Dados[[#This Row],[Semana]],"Mmmm")</f>
        <v>fevereiro</v>
      </c>
      <c r="F632">
        <f t="shared" si="9"/>
        <v>2023</v>
      </c>
      <c r="G632" t="str">
        <f>IF(MONTH(Base_de_Dados[[#This Row],[Semana]])&lt;=6,"1ª Semestre","2ª Semestre")</f>
        <v>1ª Semestre</v>
      </c>
    </row>
    <row r="633" spans="1:7" x14ac:dyDescent="0.25">
      <c r="A633" t="s">
        <v>127</v>
      </c>
      <c r="B633">
        <v>0</v>
      </c>
      <c r="C633" s="3">
        <v>0</v>
      </c>
      <c r="D633" s="58">
        <v>44963</v>
      </c>
      <c r="E633" s="58" t="str">
        <f>TEXT(Base_de_Dados[[#This Row],[Semana]],"Mmmm")</f>
        <v>fevereiro</v>
      </c>
      <c r="F633">
        <f t="shared" si="9"/>
        <v>2023</v>
      </c>
      <c r="G633" t="str">
        <f>IF(MONTH(Base_de_Dados[[#This Row],[Semana]])&lt;=6,"1ª Semestre","2ª Semestre")</f>
        <v>1ª Semestre</v>
      </c>
    </row>
    <row r="634" spans="1:7" x14ac:dyDescent="0.25">
      <c r="A634" t="s">
        <v>7</v>
      </c>
      <c r="B634">
        <v>0</v>
      </c>
      <c r="C634" s="3">
        <v>0</v>
      </c>
      <c r="D634" s="58">
        <v>44963</v>
      </c>
      <c r="E634" s="58" t="str">
        <f>TEXT(Base_de_Dados[[#This Row],[Semana]],"Mmmm")</f>
        <v>fevereiro</v>
      </c>
      <c r="F634">
        <f t="shared" si="9"/>
        <v>2023</v>
      </c>
      <c r="G634" t="str">
        <f>IF(MONTH(Base_de_Dados[[#This Row],[Semana]])&lt;=6,"1ª Semestre","2ª Semestre")</f>
        <v>1ª Semestre</v>
      </c>
    </row>
    <row r="635" spans="1:7" x14ac:dyDescent="0.25">
      <c r="A635" t="s">
        <v>30</v>
      </c>
      <c r="B635">
        <v>0</v>
      </c>
      <c r="C635" s="3">
        <v>0</v>
      </c>
      <c r="D635" s="58">
        <v>44963</v>
      </c>
      <c r="E635" s="58" t="str">
        <f>TEXT(Base_de_Dados[[#This Row],[Semana]],"Mmmm")</f>
        <v>fevereiro</v>
      </c>
      <c r="F635">
        <f t="shared" si="9"/>
        <v>2023</v>
      </c>
      <c r="G635" t="str">
        <f>IF(MONTH(Base_de_Dados[[#This Row],[Semana]])&lt;=6,"1ª Semestre","2ª Semestre")</f>
        <v>1ª Semestre</v>
      </c>
    </row>
    <row r="636" spans="1:7" x14ac:dyDescent="0.25">
      <c r="A636" t="s">
        <v>118</v>
      </c>
      <c r="B636">
        <v>1</v>
      </c>
      <c r="C636" s="3">
        <v>2.9411764705882353E-2</v>
      </c>
      <c r="D636" s="58">
        <v>44963</v>
      </c>
      <c r="E636" s="58" t="str">
        <f>TEXT(Base_de_Dados[[#This Row],[Semana]],"Mmmm")</f>
        <v>fevereiro</v>
      </c>
      <c r="F636">
        <f t="shared" si="9"/>
        <v>2023</v>
      </c>
      <c r="G636" t="str">
        <f>IF(MONTH(Base_de_Dados[[#This Row],[Semana]])&lt;=6,"1ª Semestre","2ª Semestre")</f>
        <v>1ª Semestre</v>
      </c>
    </row>
    <row r="637" spans="1:7" x14ac:dyDescent="0.25">
      <c r="A637" t="s">
        <v>10</v>
      </c>
      <c r="B637">
        <v>0</v>
      </c>
      <c r="C637" s="3">
        <v>0</v>
      </c>
      <c r="D637" s="58">
        <v>44963</v>
      </c>
      <c r="E637" s="58" t="str">
        <f>TEXT(Base_de_Dados[[#This Row],[Semana]],"Mmmm")</f>
        <v>fevereiro</v>
      </c>
      <c r="F637">
        <f t="shared" si="9"/>
        <v>2023</v>
      </c>
      <c r="G637" t="str">
        <f>IF(MONTH(Base_de_Dados[[#This Row],[Semana]])&lt;=6,"1ª Semestre","2ª Semestre")</f>
        <v>1ª Semestre</v>
      </c>
    </row>
    <row r="638" spans="1:7" x14ac:dyDescent="0.25">
      <c r="A638" t="s">
        <v>11</v>
      </c>
      <c r="B638">
        <v>0</v>
      </c>
      <c r="C638" s="3">
        <v>0</v>
      </c>
      <c r="D638" s="58">
        <v>44963</v>
      </c>
      <c r="E638" s="58" t="str">
        <f>TEXT(Base_de_Dados[[#This Row],[Semana]],"Mmmm")</f>
        <v>fevereiro</v>
      </c>
      <c r="F638">
        <f t="shared" si="9"/>
        <v>2023</v>
      </c>
      <c r="G638" t="str">
        <f>IF(MONTH(Base_de_Dados[[#This Row],[Semana]])&lt;=6,"1ª Semestre","2ª Semestre")</f>
        <v>1ª Semestre</v>
      </c>
    </row>
    <row r="639" spans="1:7" x14ac:dyDescent="0.25">
      <c r="A639" t="s">
        <v>12</v>
      </c>
      <c r="B639">
        <v>6</v>
      </c>
      <c r="C639" s="3">
        <v>0.17647058823529413</v>
      </c>
      <c r="D639" s="58">
        <v>44963</v>
      </c>
      <c r="E639" s="58" t="str">
        <f>TEXT(Base_de_Dados[[#This Row],[Semana]],"Mmmm")</f>
        <v>fevereiro</v>
      </c>
      <c r="F639">
        <f t="shared" si="9"/>
        <v>2023</v>
      </c>
      <c r="G639" t="str">
        <f>IF(MONTH(Base_de_Dados[[#This Row],[Semana]])&lt;=6,"1ª Semestre","2ª Semestre")</f>
        <v>1ª Semestre</v>
      </c>
    </row>
    <row r="640" spans="1:7" x14ac:dyDescent="0.25">
      <c r="A640" t="s">
        <v>13</v>
      </c>
      <c r="B640">
        <v>0</v>
      </c>
      <c r="C640" s="3">
        <v>0</v>
      </c>
      <c r="D640" s="58">
        <v>44963</v>
      </c>
      <c r="E640" s="58" t="str">
        <f>TEXT(Base_de_Dados[[#This Row],[Semana]],"Mmmm")</f>
        <v>fevereiro</v>
      </c>
      <c r="F640">
        <f t="shared" si="9"/>
        <v>2023</v>
      </c>
      <c r="G640" t="str">
        <f>IF(MONTH(Base_de_Dados[[#This Row],[Semana]])&lt;=6,"1ª Semestre","2ª Semestre")</f>
        <v>1ª Semestre</v>
      </c>
    </row>
    <row r="641" spans="1:7" x14ac:dyDescent="0.25">
      <c r="A641" t="s">
        <v>121</v>
      </c>
      <c r="B641">
        <v>1</v>
      </c>
      <c r="C641" s="3">
        <v>2.9411764705882353E-2</v>
      </c>
      <c r="D641" s="58">
        <v>44963</v>
      </c>
      <c r="E641" s="58" t="str">
        <f>TEXT(Base_de_Dados[[#This Row],[Semana]],"Mmmm")</f>
        <v>fevereiro</v>
      </c>
      <c r="F641">
        <f t="shared" si="9"/>
        <v>2023</v>
      </c>
      <c r="G641" t="str">
        <f>IF(MONTH(Base_de_Dados[[#This Row],[Semana]])&lt;=6,"1ª Semestre","2ª Semestre")</f>
        <v>1ª Semestre</v>
      </c>
    </row>
    <row r="642" spans="1:7" x14ac:dyDescent="0.25">
      <c r="A642" t="s">
        <v>15</v>
      </c>
      <c r="B642">
        <v>20</v>
      </c>
      <c r="C642" s="3">
        <v>0.58823529411764708</v>
      </c>
      <c r="D642" s="58">
        <v>44963</v>
      </c>
      <c r="E642" s="58" t="str">
        <f>TEXT(Base_de_Dados[[#This Row],[Semana]],"Mmmm")</f>
        <v>fevereiro</v>
      </c>
      <c r="F642">
        <f t="shared" si="9"/>
        <v>2023</v>
      </c>
      <c r="G642" t="str">
        <f>IF(MONTH(Base_de_Dados[[#This Row],[Semana]])&lt;=6,"1ª Semestre","2ª Semestre")</f>
        <v>1ª Semestre</v>
      </c>
    </row>
    <row r="643" spans="1:7" x14ac:dyDescent="0.25">
      <c r="A643" t="s">
        <v>16</v>
      </c>
      <c r="B643">
        <v>0</v>
      </c>
      <c r="C643" s="3">
        <v>0</v>
      </c>
      <c r="D643" s="58">
        <v>44963</v>
      </c>
      <c r="E643" s="58" t="str">
        <f>TEXT(Base_de_Dados[[#This Row],[Semana]],"Mmmm")</f>
        <v>fevereiro</v>
      </c>
      <c r="F643">
        <f t="shared" ref="F643:F706" si="10">YEAR(D643)</f>
        <v>2023</v>
      </c>
      <c r="G643" t="str">
        <f>IF(MONTH(Base_de_Dados[[#This Row],[Semana]])&lt;=6,"1ª Semestre","2ª Semestre")</f>
        <v>1ª Semestre</v>
      </c>
    </row>
    <row r="644" spans="1:7" x14ac:dyDescent="0.25">
      <c r="A644" t="s">
        <v>166</v>
      </c>
      <c r="B644">
        <v>2</v>
      </c>
      <c r="C644" s="3">
        <v>5.8823529411764705E-2</v>
      </c>
      <c r="D644" s="58">
        <v>44963</v>
      </c>
      <c r="E644" s="58" t="str">
        <f>TEXT(Base_de_Dados[[#This Row],[Semana]],"Mmmm")</f>
        <v>fevereiro</v>
      </c>
      <c r="F644">
        <f t="shared" si="10"/>
        <v>2023</v>
      </c>
      <c r="G644" t="str">
        <f>IF(MONTH(Base_de_Dados[[#This Row],[Semana]])&lt;=6,"1ª Semestre","2ª Semestre")</f>
        <v>1ª Semestre</v>
      </c>
    </row>
    <row r="645" spans="1:7" x14ac:dyDescent="0.25">
      <c r="A645" t="s">
        <v>168</v>
      </c>
      <c r="B645">
        <v>0</v>
      </c>
      <c r="C645" s="3">
        <v>0</v>
      </c>
      <c r="D645" s="58">
        <v>44963</v>
      </c>
      <c r="E645" s="58" t="str">
        <f>TEXT(Base_de_Dados[[#This Row],[Semana]],"Mmmm")</f>
        <v>fevereiro</v>
      </c>
      <c r="F645">
        <f t="shared" si="10"/>
        <v>2023</v>
      </c>
      <c r="G645" t="str">
        <f>IF(MONTH(Base_de_Dados[[#This Row],[Semana]])&lt;=6,"1ª Semestre","2ª Semestre")</f>
        <v>1ª Semestre</v>
      </c>
    </row>
    <row r="646" spans="1:7" x14ac:dyDescent="0.25">
      <c r="A646" t="s">
        <v>176</v>
      </c>
      <c r="B646">
        <v>0</v>
      </c>
      <c r="C646" s="3">
        <v>0</v>
      </c>
      <c r="D646" s="58">
        <v>44963</v>
      </c>
      <c r="E646" s="58" t="str">
        <f>TEXT(Base_de_Dados[[#This Row],[Semana]],"Mmmm")</f>
        <v>fevereiro</v>
      </c>
      <c r="F646">
        <f t="shared" si="10"/>
        <v>2023</v>
      </c>
      <c r="G646" t="str">
        <f>IF(MONTH(Base_de_Dados[[#This Row],[Semana]])&lt;=6,"1ª Semestre","2ª Semestre")</f>
        <v>1ª Semestre</v>
      </c>
    </row>
    <row r="647" spans="1:7" x14ac:dyDescent="0.25">
      <c r="A647" t="s">
        <v>173</v>
      </c>
      <c r="B647">
        <v>1</v>
      </c>
      <c r="C647" s="3">
        <v>2.9411764705882353E-2</v>
      </c>
      <c r="D647" s="58">
        <v>44963</v>
      </c>
      <c r="E647" s="58" t="str">
        <f>TEXT(Base_de_Dados[[#This Row],[Semana]],"Mmmm")</f>
        <v>fevereiro</v>
      </c>
      <c r="F647">
        <f t="shared" si="10"/>
        <v>2023</v>
      </c>
      <c r="G647" t="str">
        <f>IF(MONTH(Base_de_Dados[[#This Row],[Semana]])&lt;=6,"1ª Semestre","2ª Semestre")</f>
        <v>1ª Semestre</v>
      </c>
    </row>
    <row r="648" spans="1:7" x14ac:dyDescent="0.25">
      <c r="A648" t="s">
        <v>4</v>
      </c>
      <c r="B648">
        <v>0</v>
      </c>
      <c r="C648" s="3">
        <v>0</v>
      </c>
      <c r="D648" s="58">
        <v>44970</v>
      </c>
      <c r="E648" s="58" t="str">
        <f>TEXT(Base_de_Dados[[#This Row],[Semana]],"Mmmm")</f>
        <v>fevereiro</v>
      </c>
      <c r="F648">
        <f t="shared" si="10"/>
        <v>2023</v>
      </c>
      <c r="G648" t="str">
        <f>IF(MONTH(Base_de_Dados[[#This Row],[Semana]])&lt;=6,"1ª Semestre","2ª Semestre")</f>
        <v>1ª Semestre</v>
      </c>
    </row>
    <row r="649" spans="1:7" x14ac:dyDescent="0.25">
      <c r="A649" t="s">
        <v>5</v>
      </c>
      <c r="B649">
        <v>2</v>
      </c>
      <c r="C649" s="3">
        <v>9.5238095238095233E-2</v>
      </c>
      <c r="D649" s="58">
        <v>44970</v>
      </c>
      <c r="E649" s="58" t="str">
        <f>TEXT(Base_de_Dados[[#This Row],[Semana]],"Mmmm")</f>
        <v>fevereiro</v>
      </c>
      <c r="F649">
        <f t="shared" si="10"/>
        <v>2023</v>
      </c>
      <c r="G649" t="str">
        <f>IF(MONTH(Base_de_Dados[[#This Row],[Semana]])&lt;=6,"1ª Semestre","2ª Semestre")</f>
        <v>1ª Semestre</v>
      </c>
    </row>
    <row r="650" spans="1:7" x14ac:dyDescent="0.25">
      <c r="A650" t="s">
        <v>127</v>
      </c>
      <c r="B650">
        <v>0</v>
      </c>
      <c r="C650" s="3">
        <v>0</v>
      </c>
      <c r="D650" s="58">
        <v>44970</v>
      </c>
      <c r="E650" s="58" t="str">
        <f>TEXT(Base_de_Dados[[#This Row],[Semana]],"Mmmm")</f>
        <v>fevereiro</v>
      </c>
      <c r="F650">
        <f t="shared" si="10"/>
        <v>2023</v>
      </c>
      <c r="G650" t="str">
        <f>IF(MONTH(Base_de_Dados[[#This Row],[Semana]])&lt;=6,"1ª Semestre","2ª Semestre")</f>
        <v>1ª Semestre</v>
      </c>
    </row>
    <row r="651" spans="1:7" x14ac:dyDescent="0.25">
      <c r="A651" t="s">
        <v>7</v>
      </c>
      <c r="B651">
        <v>0</v>
      </c>
      <c r="C651" s="3">
        <v>0</v>
      </c>
      <c r="D651" s="58">
        <v>44970</v>
      </c>
      <c r="E651" s="58" t="str">
        <f>TEXT(Base_de_Dados[[#This Row],[Semana]],"Mmmm")</f>
        <v>fevereiro</v>
      </c>
      <c r="F651">
        <f t="shared" si="10"/>
        <v>2023</v>
      </c>
      <c r="G651" t="str">
        <f>IF(MONTH(Base_de_Dados[[#This Row],[Semana]])&lt;=6,"1ª Semestre","2ª Semestre")</f>
        <v>1ª Semestre</v>
      </c>
    </row>
    <row r="652" spans="1:7" x14ac:dyDescent="0.25">
      <c r="A652" t="s">
        <v>30</v>
      </c>
      <c r="B652">
        <v>0</v>
      </c>
      <c r="C652" s="3">
        <v>0</v>
      </c>
      <c r="D652" s="58">
        <v>44970</v>
      </c>
      <c r="E652" s="58" t="str">
        <f>TEXT(Base_de_Dados[[#This Row],[Semana]],"Mmmm")</f>
        <v>fevereiro</v>
      </c>
      <c r="F652">
        <f t="shared" si="10"/>
        <v>2023</v>
      </c>
      <c r="G652" t="str">
        <f>IF(MONTH(Base_de_Dados[[#This Row],[Semana]])&lt;=6,"1ª Semestre","2ª Semestre")</f>
        <v>1ª Semestre</v>
      </c>
    </row>
    <row r="653" spans="1:7" x14ac:dyDescent="0.25">
      <c r="A653" t="s">
        <v>118</v>
      </c>
      <c r="B653">
        <v>0</v>
      </c>
      <c r="C653" s="3">
        <v>0</v>
      </c>
      <c r="D653" s="58">
        <v>44970</v>
      </c>
      <c r="E653" s="58" t="str">
        <f>TEXT(Base_de_Dados[[#This Row],[Semana]],"Mmmm")</f>
        <v>fevereiro</v>
      </c>
      <c r="F653">
        <f t="shared" si="10"/>
        <v>2023</v>
      </c>
      <c r="G653" t="str">
        <f>IF(MONTH(Base_de_Dados[[#This Row],[Semana]])&lt;=6,"1ª Semestre","2ª Semestre")</f>
        <v>1ª Semestre</v>
      </c>
    </row>
    <row r="654" spans="1:7" x14ac:dyDescent="0.25">
      <c r="A654" t="s">
        <v>10</v>
      </c>
      <c r="B654">
        <v>1</v>
      </c>
      <c r="C654" s="3">
        <v>4.7619047619047616E-2</v>
      </c>
      <c r="D654" s="58">
        <v>44970</v>
      </c>
      <c r="E654" s="58" t="str">
        <f>TEXT(Base_de_Dados[[#This Row],[Semana]],"Mmmm")</f>
        <v>fevereiro</v>
      </c>
      <c r="F654">
        <f t="shared" si="10"/>
        <v>2023</v>
      </c>
      <c r="G654" t="str">
        <f>IF(MONTH(Base_de_Dados[[#This Row],[Semana]])&lt;=6,"1ª Semestre","2ª Semestre")</f>
        <v>1ª Semestre</v>
      </c>
    </row>
    <row r="655" spans="1:7" x14ac:dyDescent="0.25">
      <c r="A655" t="s">
        <v>11</v>
      </c>
      <c r="B655">
        <v>0</v>
      </c>
      <c r="C655" s="3">
        <v>0</v>
      </c>
      <c r="D655" s="58">
        <v>44970</v>
      </c>
      <c r="E655" s="58" t="str">
        <f>TEXT(Base_de_Dados[[#This Row],[Semana]],"Mmmm")</f>
        <v>fevereiro</v>
      </c>
      <c r="F655">
        <f t="shared" si="10"/>
        <v>2023</v>
      </c>
      <c r="G655" t="str">
        <f>IF(MONTH(Base_de_Dados[[#This Row],[Semana]])&lt;=6,"1ª Semestre","2ª Semestre")</f>
        <v>1ª Semestre</v>
      </c>
    </row>
    <row r="656" spans="1:7" x14ac:dyDescent="0.25">
      <c r="A656" t="s">
        <v>12</v>
      </c>
      <c r="B656">
        <v>0</v>
      </c>
      <c r="C656" s="3">
        <v>0</v>
      </c>
      <c r="D656" s="58">
        <v>44970</v>
      </c>
      <c r="E656" s="58" t="str">
        <f>TEXT(Base_de_Dados[[#This Row],[Semana]],"Mmmm")</f>
        <v>fevereiro</v>
      </c>
      <c r="F656">
        <f t="shared" si="10"/>
        <v>2023</v>
      </c>
      <c r="G656" t="str">
        <f>IF(MONTH(Base_de_Dados[[#This Row],[Semana]])&lt;=6,"1ª Semestre","2ª Semestre")</f>
        <v>1ª Semestre</v>
      </c>
    </row>
    <row r="657" spans="1:7" x14ac:dyDescent="0.25">
      <c r="A657" t="s">
        <v>13</v>
      </c>
      <c r="B657">
        <v>2</v>
      </c>
      <c r="C657" s="3">
        <v>9.5238095238095233E-2</v>
      </c>
      <c r="D657" s="58">
        <v>44970</v>
      </c>
      <c r="E657" s="58" t="str">
        <f>TEXT(Base_de_Dados[[#This Row],[Semana]],"Mmmm")</f>
        <v>fevereiro</v>
      </c>
      <c r="F657">
        <f t="shared" si="10"/>
        <v>2023</v>
      </c>
      <c r="G657" t="str">
        <f>IF(MONTH(Base_de_Dados[[#This Row],[Semana]])&lt;=6,"1ª Semestre","2ª Semestre")</f>
        <v>1ª Semestre</v>
      </c>
    </row>
    <row r="658" spans="1:7" x14ac:dyDescent="0.25">
      <c r="A658" t="s">
        <v>121</v>
      </c>
      <c r="B658">
        <v>1</v>
      </c>
      <c r="C658" s="3">
        <v>4.7619047619047616E-2</v>
      </c>
      <c r="D658" s="58">
        <v>44970</v>
      </c>
      <c r="E658" s="58" t="str">
        <f>TEXT(Base_de_Dados[[#This Row],[Semana]],"Mmmm")</f>
        <v>fevereiro</v>
      </c>
      <c r="F658">
        <f t="shared" si="10"/>
        <v>2023</v>
      </c>
      <c r="G658" t="str">
        <f>IF(MONTH(Base_de_Dados[[#This Row],[Semana]])&lt;=6,"1ª Semestre","2ª Semestre")</f>
        <v>1ª Semestre</v>
      </c>
    </row>
    <row r="659" spans="1:7" x14ac:dyDescent="0.25">
      <c r="A659" t="s">
        <v>15</v>
      </c>
      <c r="B659">
        <v>10</v>
      </c>
      <c r="C659" s="3">
        <v>0.47619047619047616</v>
      </c>
      <c r="D659" s="58">
        <v>44970</v>
      </c>
      <c r="E659" s="58" t="str">
        <f>TEXT(Base_de_Dados[[#This Row],[Semana]],"Mmmm")</f>
        <v>fevereiro</v>
      </c>
      <c r="F659">
        <f t="shared" si="10"/>
        <v>2023</v>
      </c>
      <c r="G659" t="str">
        <f>IF(MONTH(Base_de_Dados[[#This Row],[Semana]])&lt;=6,"1ª Semestre","2ª Semestre")</f>
        <v>1ª Semestre</v>
      </c>
    </row>
    <row r="660" spans="1:7" x14ac:dyDescent="0.25">
      <c r="A660" t="s">
        <v>16</v>
      </c>
      <c r="B660">
        <v>0</v>
      </c>
      <c r="C660" s="3">
        <v>0</v>
      </c>
      <c r="D660" s="58">
        <v>44970</v>
      </c>
      <c r="E660" s="58" t="str">
        <f>TEXT(Base_de_Dados[[#This Row],[Semana]],"Mmmm")</f>
        <v>fevereiro</v>
      </c>
      <c r="F660">
        <f t="shared" si="10"/>
        <v>2023</v>
      </c>
      <c r="G660" t="str">
        <f>IF(MONTH(Base_de_Dados[[#This Row],[Semana]])&lt;=6,"1ª Semestre","2ª Semestre")</f>
        <v>1ª Semestre</v>
      </c>
    </row>
    <row r="661" spans="1:7" x14ac:dyDescent="0.25">
      <c r="A661" t="s">
        <v>166</v>
      </c>
      <c r="B661">
        <v>4</v>
      </c>
      <c r="C661" s="3">
        <v>0.19047619047619047</v>
      </c>
      <c r="D661" s="58">
        <v>44970</v>
      </c>
      <c r="E661" s="58" t="str">
        <f>TEXT(Base_de_Dados[[#This Row],[Semana]],"Mmmm")</f>
        <v>fevereiro</v>
      </c>
      <c r="F661">
        <f t="shared" si="10"/>
        <v>2023</v>
      </c>
      <c r="G661" t="str">
        <f>IF(MONTH(Base_de_Dados[[#This Row],[Semana]])&lt;=6,"1ª Semestre","2ª Semestre")</f>
        <v>1ª Semestre</v>
      </c>
    </row>
    <row r="662" spans="1:7" x14ac:dyDescent="0.25">
      <c r="A662" t="s">
        <v>168</v>
      </c>
      <c r="B662">
        <v>0</v>
      </c>
      <c r="C662" s="3">
        <v>0</v>
      </c>
      <c r="D662" s="58">
        <v>44970</v>
      </c>
      <c r="E662" s="58" t="str">
        <f>TEXT(Base_de_Dados[[#This Row],[Semana]],"Mmmm")</f>
        <v>fevereiro</v>
      </c>
      <c r="F662">
        <f t="shared" si="10"/>
        <v>2023</v>
      </c>
      <c r="G662" t="str">
        <f>IF(MONTH(Base_de_Dados[[#This Row],[Semana]])&lt;=6,"1ª Semestre","2ª Semestre")</f>
        <v>1ª Semestre</v>
      </c>
    </row>
    <row r="663" spans="1:7" x14ac:dyDescent="0.25">
      <c r="A663" t="s">
        <v>176</v>
      </c>
      <c r="B663">
        <v>0</v>
      </c>
      <c r="C663" s="3">
        <v>0</v>
      </c>
      <c r="D663" s="58">
        <v>44970</v>
      </c>
      <c r="E663" s="58" t="str">
        <f>TEXT(Base_de_Dados[[#This Row],[Semana]],"Mmmm")</f>
        <v>fevereiro</v>
      </c>
      <c r="F663">
        <f t="shared" si="10"/>
        <v>2023</v>
      </c>
      <c r="G663" t="str">
        <f>IF(MONTH(Base_de_Dados[[#This Row],[Semana]])&lt;=6,"1ª Semestre","2ª Semestre")</f>
        <v>1ª Semestre</v>
      </c>
    </row>
    <row r="664" spans="1:7" x14ac:dyDescent="0.25">
      <c r="A664" t="s">
        <v>173</v>
      </c>
      <c r="B664">
        <v>1</v>
      </c>
      <c r="C664" s="3">
        <v>4.7619047619047616E-2</v>
      </c>
      <c r="D664" s="58">
        <v>44970</v>
      </c>
      <c r="E664" s="58" t="str">
        <f>TEXT(Base_de_Dados[[#This Row],[Semana]],"Mmmm")</f>
        <v>fevereiro</v>
      </c>
      <c r="F664">
        <f t="shared" si="10"/>
        <v>2023</v>
      </c>
      <c r="G664" t="str">
        <f>IF(MONTH(Base_de_Dados[[#This Row],[Semana]])&lt;=6,"1ª Semestre","2ª Semestre")</f>
        <v>1ª Semestre</v>
      </c>
    </row>
    <row r="665" spans="1:7" x14ac:dyDescent="0.25">
      <c r="A665" t="s">
        <v>4</v>
      </c>
      <c r="B665">
        <v>1</v>
      </c>
      <c r="C665" s="3">
        <v>3.8461538461538464E-2</v>
      </c>
      <c r="D665" s="58">
        <v>44977</v>
      </c>
      <c r="E665" s="58" t="str">
        <f>TEXT(Base_de_Dados[[#This Row],[Semana]],"Mmmm")</f>
        <v>fevereiro</v>
      </c>
      <c r="F665">
        <f t="shared" si="10"/>
        <v>2023</v>
      </c>
      <c r="G665" t="str">
        <f>IF(MONTH(Base_de_Dados[[#This Row],[Semana]])&lt;=6,"1ª Semestre","2ª Semestre")</f>
        <v>1ª Semestre</v>
      </c>
    </row>
    <row r="666" spans="1:7" x14ac:dyDescent="0.25">
      <c r="A666" t="s">
        <v>5</v>
      </c>
      <c r="B666">
        <v>4</v>
      </c>
      <c r="C666" s="3">
        <v>0.15384615384615385</v>
      </c>
      <c r="D666" s="58">
        <v>44977</v>
      </c>
      <c r="E666" s="58" t="str">
        <f>TEXT(Base_de_Dados[[#This Row],[Semana]],"Mmmm")</f>
        <v>fevereiro</v>
      </c>
      <c r="F666">
        <f t="shared" si="10"/>
        <v>2023</v>
      </c>
      <c r="G666" t="str">
        <f>IF(MONTH(Base_de_Dados[[#This Row],[Semana]])&lt;=6,"1ª Semestre","2ª Semestre")</f>
        <v>1ª Semestre</v>
      </c>
    </row>
    <row r="667" spans="1:7" x14ac:dyDescent="0.25">
      <c r="A667" t="s">
        <v>127</v>
      </c>
      <c r="B667">
        <v>2</v>
      </c>
      <c r="C667" s="3">
        <v>7.6923076923076927E-2</v>
      </c>
      <c r="D667" s="58">
        <v>44977</v>
      </c>
      <c r="E667" s="58" t="str">
        <f>TEXT(Base_de_Dados[[#This Row],[Semana]],"Mmmm")</f>
        <v>fevereiro</v>
      </c>
      <c r="F667">
        <f t="shared" si="10"/>
        <v>2023</v>
      </c>
      <c r="G667" t="str">
        <f>IF(MONTH(Base_de_Dados[[#This Row],[Semana]])&lt;=6,"1ª Semestre","2ª Semestre")</f>
        <v>1ª Semestre</v>
      </c>
    </row>
    <row r="668" spans="1:7" x14ac:dyDescent="0.25">
      <c r="A668" t="s">
        <v>7</v>
      </c>
      <c r="B668">
        <v>0</v>
      </c>
      <c r="C668" s="3">
        <v>0</v>
      </c>
      <c r="D668" s="58">
        <v>44977</v>
      </c>
      <c r="E668" s="58" t="str">
        <f>TEXT(Base_de_Dados[[#This Row],[Semana]],"Mmmm")</f>
        <v>fevereiro</v>
      </c>
      <c r="F668">
        <f t="shared" si="10"/>
        <v>2023</v>
      </c>
      <c r="G668" t="str">
        <f>IF(MONTH(Base_de_Dados[[#This Row],[Semana]])&lt;=6,"1ª Semestre","2ª Semestre")</f>
        <v>1ª Semestre</v>
      </c>
    </row>
    <row r="669" spans="1:7" x14ac:dyDescent="0.25">
      <c r="A669" t="s">
        <v>30</v>
      </c>
      <c r="B669">
        <v>0</v>
      </c>
      <c r="C669" s="3">
        <v>0</v>
      </c>
      <c r="D669" s="58">
        <v>44977</v>
      </c>
      <c r="E669" s="58" t="str">
        <f>TEXT(Base_de_Dados[[#This Row],[Semana]],"Mmmm")</f>
        <v>fevereiro</v>
      </c>
      <c r="F669">
        <f t="shared" si="10"/>
        <v>2023</v>
      </c>
      <c r="G669" t="str">
        <f>IF(MONTH(Base_de_Dados[[#This Row],[Semana]])&lt;=6,"1ª Semestre","2ª Semestre")</f>
        <v>1ª Semestre</v>
      </c>
    </row>
    <row r="670" spans="1:7" x14ac:dyDescent="0.25">
      <c r="A670" t="s">
        <v>118</v>
      </c>
      <c r="B670">
        <v>0</v>
      </c>
      <c r="C670" s="3">
        <v>0</v>
      </c>
      <c r="D670" s="58">
        <v>44977</v>
      </c>
      <c r="E670" s="58" t="str">
        <f>TEXT(Base_de_Dados[[#This Row],[Semana]],"Mmmm")</f>
        <v>fevereiro</v>
      </c>
      <c r="F670">
        <f t="shared" si="10"/>
        <v>2023</v>
      </c>
      <c r="G670" t="str">
        <f>IF(MONTH(Base_de_Dados[[#This Row],[Semana]])&lt;=6,"1ª Semestre","2ª Semestre")</f>
        <v>1ª Semestre</v>
      </c>
    </row>
    <row r="671" spans="1:7" x14ac:dyDescent="0.25">
      <c r="A671" t="s">
        <v>10</v>
      </c>
      <c r="B671">
        <v>0</v>
      </c>
      <c r="C671" s="3">
        <v>0</v>
      </c>
      <c r="D671" s="58">
        <v>44977</v>
      </c>
      <c r="E671" s="58" t="str">
        <f>TEXT(Base_de_Dados[[#This Row],[Semana]],"Mmmm")</f>
        <v>fevereiro</v>
      </c>
      <c r="F671">
        <f t="shared" si="10"/>
        <v>2023</v>
      </c>
      <c r="G671" t="str">
        <f>IF(MONTH(Base_de_Dados[[#This Row],[Semana]])&lt;=6,"1ª Semestre","2ª Semestre")</f>
        <v>1ª Semestre</v>
      </c>
    </row>
    <row r="672" spans="1:7" x14ac:dyDescent="0.25">
      <c r="A672" t="s">
        <v>11</v>
      </c>
      <c r="B672">
        <v>0</v>
      </c>
      <c r="C672" s="3">
        <v>0</v>
      </c>
      <c r="D672" s="58">
        <v>44977</v>
      </c>
      <c r="E672" s="58" t="str">
        <f>TEXT(Base_de_Dados[[#This Row],[Semana]],"Mmmm")</f>
        <v>fevereiro</v>
      </c>
      <c r="F672">
        <f t="shared" si="10"/>
        <v>2023</v>
      </c>
      <c r="G672" t="str">
        <f>IF(MONTH(Base_de_Dados[[#This Row],[Semana]])&lt;=6,"1ª Semestre","2ª Semestre")</f>
        <v>1ª Semestre</v>
      </c>
    </row>
    <row r="673" spans="1:7" x14ac:dyDescent="0.25">
      <c r="A673" t="s">
        <v>12</v>
      </c>
      <c r="B673">
        <v>0</v>
      </c>
      <c r="C673" s="3">
        <v>0</v>
      </c>
      <c r="D673" s="58">
        <v>44977</v>
      </c>
      <c r="E673" s="58" t="str">
        <f>TEXT(Base_de_Dados[[#This Row],[Semana]],"Mmmm")</f>
        <v>fevereiro</v>
      </c>
      <c r="F673">
        <f t="shared" si="10"/>
        <v>2023</v>
      </c>
      <c r="G673" t="str">
        <f>IF(MONTH(Base_de_Dados[[#This Row],[Semana]])&lt;=6,"1ª Semestre","2ª Semestre")</f>
        <v>1ª Semestre</v>
      </c>
    </row>
    <row r="674" spans="1:7" x14ac:dyDescent="0.25">
      <c r="A674" t="s">
        <v>13</v>
      </c>
      <c r="B674">
        <v>1</v>
      </c>
      <c r="C674" s="3">
        <v>3.8461538461538464E-2</v>
      </c>
      <c r="D674" s="58">
        <v>44977</v>
      </c>
      <c r="E674" s="58" t="str">
        <f>TEXT(Base_de_Dados[[#This Row],[Semana]],"Mmmm")</f>
        <v>fevereiro</v>
      </c>
      <c r="F674">
        <f t="shared" si="10"/>
        <v>2023</v>
      </c>
      <c r="G674" t="str">
        <f>IF(MONTH(Base_de_Dados[[#This Row],[Semana]])&lt;=6,"1ª Semestre","2ª Semestre")</f>
        <v>1ª Semestre</v>
      </c>
    </row>
    <row r="675" spans="1:7" x14ac:dyDescent="0.25">
      <c r="A675" t="s">
        <v>121</v>
      </c>
      <c r="B675">
        <v>0</v>
      </c>
      <c r="C675" s="3">
        <v>0</v>
      </c>
      <c r="D675" s="58">
        <v>44977</v>
      </c>
      <c r="E675" s="58" t="str">
        <f>TEXT(Base_de_Dados[[#This Row],[Semana]],"Mmmm")</f>
        <v>fevereiro</v>
      </c>
      <c r="F675">
        <f t="shared" si="10"/>
        <v>2023</v>
      </c>
      <c r="G675" t="str">
        <f>IF(MONTH(Base_de_Dados[[#This Row],[Semana]])&lt;=6,"1ª Semestre","2ª Semestre")</f>
        <v>1ª Semestre</v>
      </c>
    </row>
    <row r="676" spans="1:7" x14ac:dyDescent="0.25">
      <c r="A676" t="s">
        <v>15</v>
      </c>
      <c r="B676">
        <v>17</v>
      </c>
      <c r="C676" s="3">
        <v>0.65384615384615385</v>
      </c>
      <c r="D676" s="58">
        <v>44977</v>
      </c>
      <c r="E676" s="58" t="str">
        <f>TEXT(Base_de_Dados[[#This Row],[Semana]],"Mmmm")</f>
        <v>fevereiro</v>
      </c>
      <c r="F676">
        <f t="shared" si="10"/>
        <v>2023</v>
      </c>
      <c r="G676" t="str">
        <f>IF(MONTH(Base_de_Dados[[#This Row],[Semana]])&lt;=6,"1ª Semestre","2ª Semestre")</f>
        <v>1ª Semestre</v>
      </c>
    </row>
    <row r="677" spans="1:7" x14ac:dyDescent="0.25">
      <c r="A677" t="s">
        <v>16</v>
      </c>
      <c r="B677">
        <v>0</v>
      </c>
      <c r="C677" s="3">
        <v>0</v>
      </c>
      <c r="D677" s="58">
        <v>44977</v>
      </c>
      <c r="E677" s="58" t="str">
        <f>TEXT(Base_de_Dados[[#This Row],[Semana]],"Mmmm")</f>
        <v>fevereiro</v>
      </c>
      <c r="F677">
        <f t="shared" si="10"/>
        <v>2023</v>
      </c>
      <c r="G677" t="str">
        <f>IF(MONTH(Base_de_Dados[[#This Row],[Semana]])&lt;=6,"1ª Semestre","2ª Semestre")</f>
        <v>1ª Semestre</v>
      </c>
    </row>
    <row r="678" spans="1:7" x14ac:dyDescent="0.25">
      <c r="A678" t="s">
        <v>166</v>
      </c>
      <c r="B678">
        <v>0</v>
      </c>
      <c r="C678" s="3">
        <v>0</v>
      </c>
      <c r="D678" s="58">
        <v>44977</v>
      </c>
      <c r="E678" s="58" t="str">
        <f>TEXT(Base_de_Dados[[#This Row],[Semana]],"Mmmm")</f>
        <v>fevereiro</v>
      </c>
      <c r="F678">
        <f t="shared" si="10"/>
        <v>2023</v>
      </c>
      <c r="G678" t="str">
        <f>IF(MONTH(Base_de_Dados[[#This Row],[Semana]])&lt;=6,"1ª Semestre","2ª Semestre")</f>
        <v>1ª Semestre</v>
      </c>
    </row>
    <row r="679" spans="1:7" x14ac:dyDescent="0.25">
      <c r="A679" t="s">
        <v>168</v>
      </c>
      <c r="B679">
        <v>0</v>
      </c>
      <c r="C679" s="3">
        <v>0</v>
      </c>
      <c r="D679" s="58">
        <v>44977</v>
      </c>
      <c r="E679" s="58" t="str">
        <f>TEXT(Base_de_Dados[[#This Row],[Semana]],"Mmmm")</f>
        <v>fevereiro</v>
      </c>
      <c r="F679">
        <f t="shared" si="10"/>
        <v>2023</v>
      </c>
      <c r="G679" t="str">
        <f>IF(MONTH(Base_de_Dados[[#This Row],[Semana]])&lt;=6,"1ª Semestre","2ª Semestre")</f>
        <v>1ª Semestre</v>
      </c>
    </row>
    <row r="680" spans="1:7" x14ac:dyDescent="0.25">
      <c r="A680" t="s">
        <v>176</v>
      </c>
      <c r="B680">
        <v>0</v>
      </c>
      <c r="C680" s="3">
        <v>0</v>
      </c>
      <c r="D680" s="58">
        <v>44977</v>
      </c>
      <c r="E680" s="58" t="str">
        <f>TEXT(Base_de_Dados[[#This Row],[Semana]],"Mmmm")</f>
        <v>fevereiro</v>
      </c>
      <c r="F680">
        <f t="shared" si="10"/>
        <v>2023</v>
      </c>
      <c r="G680" t="str">
        <f>IF(MONTH(Base_de_Dados[[#This Row],[Semana]])&lt;=6,"1ª Semestre","2ª Semestre")</f>
        <v>1ª Semestre</v>
      </c>
    </row>
    <row r="681" spans="1:7" x14ac:dyDescent="0.25">
      <c r="A681" t="s">
        <v>173</v>
      </c>
      <c r="B681">
        <v>1</v>
      </c>
      <c r="C681" s="3">
        <v>3.8461538461538464E-2</v>
      </c>
      <c r="D681" s="58">
        <v>44977</v>
      </c>
      <c r="E681" s="58" t="str">
        <f>TEXT(Base_de_Dados[[#This Row],[Semana]],"Mmmm")</f>
        <v>fevereiro</v>
      </c>
      <c r="F681">
        <f t="shared" si="10"/>
        <v>2023</v>
      </c>
      <c r="G681" t="str">
        <f>IF(MONTH(Base_de_Dados[[#This Row],[Semana]])&lt;=6,"1ª Semestre","2ª Semestre")</f>
        <v>1ª Semestre</v>
      </c>
    </row>
    <row r="682" spans="1:7" x14ac:dyDescent="0.25">
      <c r="A682" t="s">
        <v>4</v>
      </c>
      <c r="B682">
        <v>0</v>
      </c>
      <c r="C682" s="3">
        <v>0</v>
      </c>
      <c r="D682" s="58">
        <v>44984</v>
      </c>
      <c r="E682" s="58" t="str">
        <f>TEXT(Base_de_Dados[[#This Row],[Semana]],"Mmmm")</f>
        <v>fevereiro</v>
      </c>
      <c r="F682">
        <f t="shared" si="10"/>
        <v>2023</v>
      </c>
      <c r="G682" t="str">
        <f>IF(MONTH(Base_de_Dados[[#This Row],[Semana]])&lt;=6,"1ª Semestre","2ª Semestre")</f>
        <v>1ª Semestre</v>
      </c>
    </row>
    <row r="683" spans="1:7" x14ac:dyDescent="0.25">
      <c r="A683" t="s">
        <v>5</v>
      </c>
      <c r="B683">
        <v>0</v>
      </c>
      <c r="C683" s="3">
        <v>0</v>
      </c>
      <c r="D683" s="58">
        <v>44984</v>
      </c>
      <c r="E683" s="58" t="str">
        <f>TEXT(Base_de_Dados[[#This Row],[Semana]],"Mmmm")</f>
        <v>fevereiro</v>
      </c>
      <c r="F683">
        <f t="shared" si="10"/>
        <v>2023</v>
      </c>
      <c r="G683" t="str">
        <f>IF(MONTH(Base_de_Dados[[#This Row],[Semana]])&lt;=6,"1ª Semestre","2ª Semestre")</f>
        <v>1ª Semestre</v>
      </c>
    </row>
    <row r="684" spans="1:7" x14ac:dyDescent="0.25">
      <c r="A684" t="s">
        <v>127</v>
      </c>
      <c r="B684">
        <v>0</v>
      </c>
      <c r="C684" s="3">
        <v>0</v>
      </c>
      <c r="D684" s="58">
        <v>44984</v>
      </c>
      <c r="E684" s="58" t="str">
        <f>TEXT(Base_de_Dados[[#This Row],[Semana]],"Mmmm")</f>
        <v>fevereiro</v>
      </c>
      <c r="F684">
        <f t="shared" si="10"/>
        <v>2023</v>
      </c>
      <c r="G684" t="str">
        <f>IF(MONTH(Base_de_Dados[[#This Row],[Semana]])&lt;=6,"1ª Semestre","2ª Semestre")</f>
        <v>1ª Semestre</v>
      </c>
    </row>
    <row r="685" spans="1:7" x14ac:dyDescent="0.25">
      <c r="A685" t="s">
        <v>7</v>
      </c>
      <c r="B685">
        <v>0</v>
      </c>
      <c r="C685" s="3">
        <v>0</v>
      </c>
      <c r="D685" s="58">
        <v>44984</v>
      </c>
      <c r="E685" s="58" t="str">
        <f>TEXT(Base_de_Dados[[#This Row],[Semana]],"Mmmm")</f>
        <v>fevereiro</v>
      </c>
      <c r="F685">
        <f t="shared" si="10"/>
        <v>2023</v>
      </c>
      <c r="G685" t="str">
        <f>IF(MONTH(Base_de_Dados[[#This Row],[Semana]])&lt;=6,"1ª Semestre","2ª Semestre")</f>
        <v>1ª Semestre</v>
      </c>
    </row>
    <row r="686" spans="1:7" x14ac:dyDescent="0.25">
      <c r="A686" t="s">
        <v>30</v>
      </c>
      <c r="B686">
        <v>0</v>
      </c>
      <c r="C686" s="3">
        <v>0</v>
      </c>
      <c r="D686" s="58">
        <v>44984</v>
      </c>
      <c r="E686" s="58" t="str">
        <f>TEXT(Base_de_Dados[[#This Row],[Semana]],"Mmmm")</f>
        <v>fevereiro</v>
      </c>
      <c r="F686">
        <f t="shared" si="10"/>
        <v>2023</v>
      </c>
      <c r="G686" t="str">
        <f>IF(MONTH(Base_de_Dados[[#This Row],[Semana]])&lt;=6,"1ª Semestre","2ª Semestre")</f>
        <v>1ª Semestre</v>
      </c>
    </row>
    <row r="687" spans="1:7" x14ac:dyDescent="0.25">
      <c r="A687" t="s">
        <v>118</v>
      </c>
      <c r="B687">
        <v>0</v>
      </c>
      <c r="C687" s="3">
        <v>0</v>
      </c>
      <c r="D687" s="58">
        <v>44984</v>
      </c>
      <c r="E687" s="58" t="str">
        <f>TEXT(Base_de_Dados[[#This Row],[Semana]],"Mmmm")</f>
        <v>fevereiro</v>
      </c>
      <c r="F687">
        <f t="shared" si="10"/>
        <v>2023</v>
      </c>
      <c r="G687" t="str">
        <f>IF(MONTH(Base_de_Dados[[#This Row],[Semana]])&lt;=6,"1ª Semestre","2ª Semestre")</f>
        <v>1ª Semestre</v>
      </c>
    </row>
    <row r="688" spans="1:7" x14ac:dyDescent="0.25">
      <c r="A688" t="s">
        <v>10</v>
      </c>
      <c r="B688">
        <v>0</v>
      </c>
      <c r="C688" s="3">
        <v>0</v>
      </c>
      <c r="D688" s="58">
        <v>44984</v>
      </c>
      <c r="E688" s="58" t="str">
        <f>TEXT(Base_de_Dados[[#This Row],[Semana]],"Mmmm")</f>
        <v>fevereiro</v>
      </c>
      <c r="F688">
        <f t="shared" si="10"/>
        <v>2023</v>
      </c>
      <c r="G688" t="str">
        <f>IF(MONTH(Base_de_Dados[[#This Row],[Semana]])&lt;=6,"1ª Semestre","2ª Semestre")</f>
        <v>1ª Semestre</v>
      </c>
    </row>
    <row r="689" spans="1:7" x14ac:dyDescent="0.25">
      <c r="A689" t="s">
        <v>11</v>
      </c>
      <c r="B689">
        <v>0</v>
      </c>
      <c r="C689" s="3">
        <v>0</v>
      </c>
      <c r="D689" s="58">
        <v>44984</v>
      </c>
      <c r="E689" s="58" t="str">
        <f>TEXT(Base_de_Dados[[#This Row],[Semana]],"Mmmm")</f>
        <v>fevereiro</v>
      </c>
      <c r="F689">
        <f t="shared" si="10"/>
        <v>2023</v>
      </c>
      <c r="G689" t="str">
        <f>IF(MONTH(Base_de_Dados[[#This Row],[Semana]])&lt;=6,"1ª Semestre","2ª Semestre")</f>
        <v>1ª Semestre</v>
      </c>
    </row>
    <row r="690" spans="1:7" x14ac:dyDescent="0.25">
      <c r="A690" t="s">
        <v>12</v>
      </c>
      <c r="B690">
        <v>1</v>
      </c>
      <c r="C690" s="3">
        <v>6.25E-2</v>
      </c>
      <c r="D690" s="58">
        <v>44984</v>
      </c>
      <c r="E690" s="58" t="str">
        <f>TEXT(Base_de_Dados[[#This Row],[Semana]],"Mmmm")</f>
        <v>fevereiro</v>
      </c>
      <c r="F690">
        <f t="shared" si="10"/>
        <v>2023</v>
      </c>
      <c r="G690" t="str">
        <f>IF(MONTH(Base_de_Dados[[#This Row],[Semana]])&lt;=6,"1ª Semestre","2ª Semestre")</f>
        <v>1ª Semestre</v>
      </c>
    </row>
    <row r="691" spans="1:7" x14ac:dyDescent="0.25">
      <c r="A691" t="s">
        <v>13</v>
      </c>
      <c r="B691">
        <v>1</v>
      </c>
      <c r="C691" s="3">
        <v>6.25E-2</v>
      </c>
      <c r="D691" s="58">
        <v>44984</v>
      </c>
      <c r="E691" s="58" t="str">
        <f>TEXT(Base_de_Dados[[#This Row],[Semana]],"Mmmm")</f>
        <v>fevereiro</v>
      </c>
      <c r="F691">
        <f t="shared" si="10"/>
        <v>2023</v>
      </c>
      <c r="G691" t="str">
        <f>IF(MONTH(Base_de_Dados[[#This Row],[Semana]])&lt;=6,"1ª Semestre","2ª Semestre")</f>
        <v>1ª Semestre</v>
      </c>
    </row>
    <row r="692" spans="1:7" x14ac:dyDescent="0.25">
      <c r="A692" t="s">
        <v>121</v>
      </c>
      <c r="B692">
        <v>0</v>
      </c>
      <c r="C692" s="3">
        <v>0</v>
      </c>
      <c r="D692" s="58">
        <v>44984</v>
      </c>
      <c r="E692" s="58" t="str">
        <f>TEXT(Base_de_Dados[[#This Row],[Semana]],"Mmmm")</f>
        <v>fevereiro</v>
      </c>
      <c r="F692">
        <f t="shared" si="10"/>
        <v>2023</v>
      </c>
      <c r="G692" t="str">
        <f>IF(MONTH(Base_de_Dados[[#This Row],[Semana]])&lt;=6,"1ª Semestre","2ª Semestre")</f>
        <v>1ª Semestre</v>
      </c>
    </row>
    <row r="693" spans="1:7" x14ac:dyDescent="0.25">
      <c r="A693" t="s">
        <v>15</v>
      </c>
      <c r="B693">
        <v>12</v>
      </c>
      <c r="C693" s="3">
        <v>0.75</v>
      </c>
      <c r="D693" s="58">
        <v>44984</v>
      </c>
      <c r="E693" s="58" t="str">
        <f>TEXT(Base_de_Dados[[#This Row],[Semana]],"Mmmm")</f>
        <v>fevereiro</v>
      </c>
      <c r="F693">
        <f t="shared" si="10"/>
        <v>2023</v>
      </c>
      <c r="G693" t="str">
        <f>IF(MONTH(Base_de_Dados[[#This Row],[Semana]])&lt;=6,"1ª Semestre","2ª Semestre")</f>
        <v>1ª Semestre</v>
      </c>
    </row>
    <row r="694" spans="1:7" x14ac:dyDescent="0.25">
      <c r="A694" t="s">
        <v>16</v>
      </c>
      <c r="B694">
        <v>0</v>
      </c>
      <c r="C694" s="3">
        <v>0</v>
      </c>
      <c r="D694" s="58">
        <v>44984</v>
      </c>
      <c r="E694" s="58" t="str">
        <f>TEXT(Base_de_Dados[[#This Row],[Semana]],"Mmmm")</f>
        <v>fevereiro</v>
      </c>
      <c r="F694">
        <f t="shared" si="10"/>
        <v>2023</v>
      </c>
      <c r="G694" t="str">
        <f>IF(MONTH(Base_de_Dados[[#This Row],[Semana]])&lt;=6,"1ª Semestre","2ª Semestre")</f>
        <v>1ª Semestre</v>
      </c>
    </row>
    <row r="695" spans="1:7" x14ac:dyDescent="0.25">
      <c r="A695" t="s">
        <v>166</v>
      </c>
      <c r="B695">
        <v>0</v>
      </c>
      <c r="C695" s="3">
        <v>0</v>
      </c>
      <c r="D695" s="58">
        <v>44984</v>
      </c>
      <c r="E695" s="58" t="str">
        <f>TEXT(Base_de_Dados[[#This Row],[Semana]],"Mmmm")</f>
        <v>fevereiro</v>
      </c>
      <c r="F695">
        <f t="shared" si="10"/>
        <v>2023</v>
      </c>
      <c r="G695" t="str">
        <f>IF(MONTH(Base_de_Dados[[#This Row],[Semana]])&lt;=6,"1ª Semestre","2ª Semestre")</f>
        <v>1ª Semestre</v>
      </c>
    </row>
    <row r="696" spans="1:7" x14ac:dyDescent="0.25">
      <c r="A696" t="s">
        <v>168</v>
      </c>
      <c r="B696">
        <v>0</v>
      </c>
      <c r="C696" s="3">
        <v>0</v>
      </c>
      <c r="D696" s="58">
        <v>44984</v>
      </c>
      <c r="E696" s="58" t="str">
        <f>TEXT(Base_de_Dados[[#This Row],[Semana]],"Mmmm")</f>
        <v>fevereiro</v>
      </c>
      <c r="F696">
        <f t="shared" si="10"/>
        <v>2023</v>
      </c>
      <c r="G696" t="str">
        <f>IF(MONTH(Base_de_Dados[[#This Row],[Semana]])&lt;=6,"1ª Semestre","2ª Semestre")</f>
        <v>1ª Semestre</v>
      </c>
    </row>
    <row r="697" spans="1:7" x14ac:dyDescent="0.25">
      <c r="A697" t="s">
        <v>176</v>
      </c>
      <c r="B697">
        <v>0</v>
      </c>
      <c r="C697" s="3">
        <v>0</v>
      </c>
      <c r="D697" s="58">
        <v>44984</v>
      </c>
      <c r="E697" s="58" t="str">
        <f>TEXT(Base_de_Dados[[#This Row],[Semana]],"Mmmm")</f>
        <v>fevereiro</v>
      </c>
      <c r="F697">
        <f t="shared" si="10"/>
        <v>2023</v>
      </c>
      <c r="G697" t="str">
        <f>IF(MONTH(Base_de_Dados[[#This Row],[Semana]])&lt;=6,"1ª Semestre","2ª Semestre")</f>
        <v>1ª Semestre</v>
      </c>
    </row>
    <row r="698" spans="1:7" x14ac:dyDescent="0.25">
      <c r="A698" t="s">
        <v>173</v>
      </c>
      <c r="B698">
        <v>2</v>
      </c>
      <c r="C698" s="3">
        <v>0.125</v>
      </c>
      <c r="D698" s="58">
        <v>44984</v>
      </c>
      <c r="E698" s="58" t="str">
        <f>TEXT(Base_de_Dados[[#This Row],[Semana]],"Mmmm")</f>
        <v>fevereiro</v>
      </c>
      <c r="F698">
        <f t="shared" si="10"/>
        <v>2023</v>
      </c>
      <c r="G698" t="str">
        <f>IF(MONTH(Base_de_Dados[[#This Row],[Semana]])&lt;=6,"1ª Semestre","2ª Semestre")</f>
        <v>1ª Semestre</v>
      </c>
    </row>
    <row r="699" spans="1:7" x14ac:dyDescent="0.25">
      <c r="A699" t="s">
        <v>4</v>
      </c>
      <c r="B699">
        <v>1</v>
      </c>
      <c r="C699" s="3">
        <v>3.4482758620689655E-2</v>
      </c>
      <c r="D699" s="58">
        <v>44991</v>
      </c>
      <c r="E699" s="58" t="str">
        <f>TEXT(Base_de_Dados[[#This Row],[Semana]],"Mmmm")</f>
        <v>março</v>
      </c>
      <c r="F699">
        <f t="shared" si="10"/>
        <v>2023</v>
      </c>
      <c r="G699" t="str">
        <f>IF(MONTH(Base_de_Dados[[#This Row],[Semana]])&lt;=6,"1ª Semestre","2ª Semestre")</f>
        <v>1ª Semestre</v>
      </c>
    </row>
    <row r="700" spans="1:7" x14ac:dyDescent="0.25">
      <c r="A700" t="s">
        <v>5</v>
      </c>
      <c r="B700">
        <v>0</v>
      </c>
      <c r="C700" s="3">
        <v>0</v>
      </c>
      <c r="D700" s="58">
        <v>44991</v>
      </c>
      <c r="E700" s="58" t="str">
        <f>TEXT(Base_de_Dados[[#This Row],[Semana]],"Mmmm")</f>
        <v>março</v>
      </c>
      <c r="F700">
        <f t="shared" si="10"/>
        <v>2023</v>
      </c>
      <c r="G700" t="str">
        <f>IF(MONTH(Base_de_Dados[[#This Row],[Semana]])&lt;=6,"1ª Semestre","2ª Semestre")</f>
        <v>1ª Semestre</v>
      </c>
    </row>
    <row r="701" spans="1:7" x14ac:dyDescent="0.25">
      <c r="A701" t="s">
        <v>127</v>
      </c>
      <c r="B701">
        <v>0</v>
      </c>
      <c r="C701" s="3">
        <v>0</v>
      </c>
      <c r="D701" s="58">
        <v>44991</v>
      </c>
      <c r="E701" s="58" t="str">
        <f>TEXT(Base_de_Dados[[#This Row],[Semana]],"Mmmm")</f>
        <v>março</v>
      </c>
      <c r="F701">
        <f t="shared" si="10"/>
        <v>2023</v>
      </c>
      <c r="G701" t="str">
        <f>IF(MONTH(Base_de_Dados[[#This Row],[Semana]])&lt;=6,"1ª Semestre","2ª Semestre")</f>
        <v>1ª Semestre</v>
      </c>
    </row>
    <row r="702" spans="1:7" x14ac:dyDescent="0.25">
      <c r="A702" t="s">
        <v>7</v>
      </c>
      <c r="B702">
        <v>0</v>
      </c>
      <c r="C702" s="3">
        <v>0</v>
      </c>
      <c r="D702" s="58">
        <v>44991</v>
      </c>
      <c r="E702" s="58" t="str">
        <f>TEXT(Base_de_Dados[[#This Row],[Semana]],"Mmmm")</f>
        <v>março</v>
      </c>
      <c r="F702">
        <f t="shared" si="10"/>
        <v>2023</v>
      </c>
      <c r="G702" t="str">
        <f>IF(MONTH(Base_de_Dados[[#This Row],[Semana]])&lt;=6,"1ª Semestre","2ª Semestre")</f>
        <v>1ª Semestre</v>
      </c>
    </row>
    <row r="703" spans="1:7" x14ac:dyDescent="0.25">
      <c r="A703" t="s">
        <v>30</v>
      </c>
      <c r="B703">
        <v>0</v>
      </c>
      <c r="C703" s="3">
        <v>0</v>
      </c>
      <c r="D703" s="58">
        <v>44991</v>
      </c>
      <c r="E703" s="58" t="str">
        <f>TEXT(Base_de_Dados[[#This Row],[Semana]],"Mmmm")</f>
        <v>março</v>
      </c>
      <c r="F703">
        <f t="shared" si="10"/>
        <v>2023</v>
      </c>
      <c r="G703" t="str">
        <f>IF(MONTH(Base_de_Dados[[#This Row],[Semana]])&lt;=6,"1ª Semestre","2ª Semestre")</f>
        <v>1ª Semestre</v>
      </c>
    </row>
    <row r="704" spans="1:7" x14ac:dyDescent="0.25">
      <c r="A704" t="s">
        <v>118</v>
      </c>
      <c r="B704">
        <v>1</v>
      </c>
      <c r="C704" s="3">
        <v>3.4482758620689655E-2</v>
      </c>
      <c r="D704" s="58">
        <v>44991</v>
      </c>
      <c r="E704" s="58" t="str">
        <f>TEXT(Base_de_Dados[[#This Row],[Semana]],"Mmmm")</f>
        <v>março</v>
      </c>
      <c r="F704">
        <f t="shared" si="10"/>
        <v>2023</v>
      </c>
      <c r="G704" t="str">
        <f>IF(MONTH(Base_de_Dados[[#This Row],[Semana]])&lt;=6,"1ª Semestre","2ª Semestre")</f>
        <v>1ª Semestre</v>
      </c>
    </row>
    <row r="705" spans="1:7" x14ac:dyDescent="0.25">
      <c r="A705" t="s">
        <v>10</v>
      </c>
      <c r="B705">
        <v>0</v>
      </c>
      <c r="C705" s="3">
        <v>0</v>
      </c>
      <c r="D705" s="58">
        <v>44991</v>
      </c>
      <c r="E705" s="58" t="str">
        <f>TEXT(Base_de_Dados[[#This Row],[Semana]],"Mmmm")</f>
        <v>março</v>
      </c>
      <c r="F705">
        <f t="shared" si="10"/>
        <v>2023</v>
      </c>
      <c r="G705" t="str">
        <f>IF(MONTH(Base_de_Dados[[#This Row],[Semana]])&lt;=6,"1ª Semestre","2ª Semestre")</f>
        <v>1ª Semestre</v>
      </c>
    </row>
    <row r="706" spans="1:7" x14ac:dyDescent="0.25">
      <c r="A706" t="s">
        <v>11</v>
      </c>
      <c r="B706">
        <v>0</v>
      </c>
      <c r="C706" s="3">
        <v>0</v>
      </c>
      <c r="D706" s="58">
        <v>44991</v>
      </c>
      <c r="E706" s="58" t="str">
        <f>TEXT(Base_de_Dados[[#This Row],[Semana]],"Mmmm")</f>
        <v>março</v>
      </c>
      <c r="F706">
        <f t="shared" si="10"/>
        <v>2023</v>
      </c>
      <c r="G706" t="str">
        <f>IF(MONTH(Base_de_Dados[[#This Row],[Semana]])&lt;=6,"1ª Semestre","2ª Semestre")</f>
        <v>1ª Semestre</v>
      </c>
    </row>
    <row r="707" spans="1:7" x14ac:dyDescent="0.25">
      <c r="A707" t="s">
        <v>12</v>
      </c>
      <c r="B707">
        <v>3</v>
      </c>
      <c r="C707" s="3">
        <v>0.10344827586206896</v>
      </c>
      <c r="D707" s="58">
        <v>44991</v>
      </c>
      <c r="E707" s="58" t="str">
        <f>TEXT(Base_de_Dados[[#This Row],[Semana]],"Mmmm")</f>
        <v>março</v>
      </c>
      <c r="F707">
        <f t="shared" ref="F707:F770" si="11">YEAR(D707)</f>
        <v>2023</v>
      </c>
      <c r="G707" t="str">
        <f>IF(MONTH(Base_de_Dados[[#This Row],[Semana]])&lt;=6,"1ª Semestre","2ª Semestre")</f>
        <v>1ª Semestre</v>
      </c>
    </row>
    <row r="708" spans="1:7" x14ac:dyDescent="0.25">
      <c r="A708" t="s">
        <v>13</v>
      </c>
      <c r="B708">
        <v>0</v>
      </c>
      <c r="C708" s="3">
        <v>0</v>
      </c>
      <c r="D708" s="58">
        <v>44991</v>
      </c>
      <c r="E708" s="58" t="str">
        <f>TEXT(Base_de_Dados[[#This Row],[Semana]],"Mmmm")</f>
        <v>março</v>
      </c>
      <c r="F708">
        <f t="shared" si="11"/>
        <v>2023</v>
      </c>
      <c r="G708" t="str">
        <f>IF(MONTH(Base_de_Dados[[#This Row],[Semana]])&lt;=6,"1ª Semestre","2ª Semestre")</f>
        <v>1ª Semestre</v>
      </c>
    </row>
    <row r="709" spans="1:7" x14ac:dyDescent="0.25">
      <c r="A709" t="s">
        <v>121</v>
      </c>
      <c r="B709">
        <v>0</v>
      </c>
      <c r="C709" s="3">
        <v>0</v>
      </c>
      <c r="D709" s="58">
        <v>44991</v>
      </c>
      <c r="E709" s="58" t="str">
        <f>TEXT(Base_de_Dados[[#This Row],[Semana]],"Mmmm")</f>
        <v>março</v>
      </c>
      <c r="F709">
        <f t="shared" si="11"/>
        <v>2023</v>
      </c>
      <c r="G709" t="str">
        <f>IF(MONTH(Base_de_Dados[[#This Row],[Semana]])&lt;=6,"1ª Semestre","2ª Semestre")</f>
        <v>1ª Semestre</v>
      </c>
    </row>
    <row r="710" spans="1:7" x14ac:dyDescent="0.25">
      <c r="A710" t="s">
        <v>15</v>
      </c>
      <c r="B710">
        <v>20</v>
      </c>
      <c r="C710" s="3">
        <v>0.68965517241379315</v>
      </c>
      <c r="D710" s="58">
        <v>44991</v>
      </c>
      <c r="E710" s="58" t="str">
        <f>TEXT(Base_de_Dados[[#This Row],[Semana]],"Mmmm")</f>
        <v>março</v>
      </c>
      <c r="F710">
        <f t="shared" si="11"/>
        <v>2023</v>
      </c>
      <c r="G710" t="str">
        <f>IF(MONTH(Base_de_Dados[[#This Row],[Semana]])&lt;=6,"1ª Semestre","2ª Semestre")</f>
        <v>1ª Semestre</v>
      </c>
    </row>
    <row r="711" spans="1:7" x14ac:dyDescent="0.25">
      <c r="A711" t="s">
        <v>16</v>
      </c>
      <c r="B711">
        <v>0</v>
      </c>
      <c r="C711" s="3">
        <v>0</v>
      </c>
      <c r="D711" s="58">
        <v>44991</v>
      </c>
      <c r="E711" s="58" t="str">
        <f>TEXT(Base_de_Dados[[#This Row],[Semana]],"Mmmm")</f>
        <v>março</v>
      </c>
      <c r="F711">
        <f t="shared" si="11"/>
        <v>2023</v>
      </c>
      <c r="G711" t="str">
        <f>IF(MONTH(Base_de_Dados[[#This Row],[Semana]])&lt;=6,"1ª Semestre","2ª Semestre")</f>
        <v>1ª Semestre</v>
      </c>
    </row>
    <row r="712" spans="1:7" x14ac:dyDescent="0.25">
      <c r="A712" t="s">
        <v>166</v>
      </c>
      <c r="B712">
        <v>0</v>
      </c>
      <c r="C712" s="3">
        <v>0</v>
      </c>
      <c r="D712" s="58">
        <v>44991</v>
      </c>
      <c r="E712" s="58" t="str">
        <f>TEXT(Base_de_Dados[[#This Row],[Semana]],"Mmmm")</f>
        <v>março</v>
      </c>
      <c r="F712">
        <f t="shared" si="11"/>
        <v>2023</v>
      </c>
      <c r="G712" t="str">
        <f>IF(MONTH(Base_de_Dados[[#This Row],[Semana]])&lt;=6,"1ª Semestre","2ª Semestre")</f>
        <v>1ª Semestre</v>
      </c>
    </row>
    <row r="713" spans="1:7" x14ac:dyDescent="0.25">
      <c r="A713" t="s">
        <v>168</v>
      </c>
      <c r="B713">
        <v>0</v>
      </c>
      <c r="C713" s="3">
        <v>0</v>
      </c>
      <c r="D713" s="58">
        <v>44991</v>
      </c>
      <c r="E713" s="58" t="str">
        <f>TEXT(Base_de_Dados[[#This Row],[Semana]],"Mmmm")</f>
        <v>março</v>
      </c>
      <c r="F713">
        <f t="shared" si="11"/>
        <v>2023</v>
      </c>
      <c r="G713" t="str">
        <f>IF(MONTH(Base_de_Dados[[#This Row],[Semana]])&lt;=6,"1ª Semestre","2ª Semestre")</f>
        <v>1ª Semestre</v>
      </c>
    </row>
    <row r="714" spans="1:7" x14ac:dyDescent="0.25">
      <c r="A714" t="s">
        <v>176</v>
      </c>
      <c r="B714">
        <v>0</v>
      </c>
      <c r="C714" s="3">
        <v>0</v>
      </c>
      <c r="D714" s="58">
        <v>44991</v>
      </c>
      <c r="E714" s="58" t="str">
        <f>TEXT(Base_de_Dados[[#This Row],[Semana]],"Mmmm")</f>
        <v>março</v>
      </c>
      <c r="F714">
        <f t="shared" si="11"/>
        <v>2023</v>
      </c>
      <c r="G714" t="str">
        <f>IF(MONTH(Base_de_Dados[[#This Row],[Semana]])&lt;=6,"1ª Semestre","2ª Semestre")</f>
        <v>1ª Semestre</v>
      </c>
    </row>
    <row r="715" spans="1:7" x14ac:dyDescent="0.25">
      <c r="A715" t="s">
        <v>173</v>
      </c>
      <c r="B715">
        <v>4</v>
      </c>
      <c r="C715" s="3">
        <v>0.13793103448275862</v>
      </c>
      <c r="D715" s="58">
        <v>44991</v>
      </c>
      <c r="E715" s="58" t="str">
        <f>TEXT(Base_de_Dados[[#This Row],[Semana]],"Mmmm")</f>
        <v>março</v>
      </c>
      <c r="F715">
        <f t="shared" si="11"/>
        <v>2023</v>
      </c>
      <c r="G715" t="str">
        <f>IF(MONTH(Base_de_Dados[[#This Row],[Semana]])&lt;=6,"1ª Semestre","2ª Semestre")</f>
        <v>1ª Semestre</v>
      </c>
    </row>
    <row r="716" spans="1:7" x14ac:dyDescent="0.25">
      <c r="A716" t="s">
        <v>4</v>
      </c>
      <c r="B716">
        <v>3</v>
      </c>
      <c r="C716" s="3">
        <v>6.8181818181818177E-2</v>
      </c>
      <c r="D716" s="58">
        <v>44998</v>
      </c>
      <c r="E716" s="58" t="str">
        <f>TEXT(Base_de_Dados[[#This Row],[Semana]],"Mmmm")</f>
        <v>março</v>
      </c>
      <c r="F716">
        <f t="shared" si="11"/>
        <v>2023</v>
      </c>
      <c r="G716" t="str">
        <f>IF(MONTH(Base_de_Dados[[#This Row],[Semana]])&lt;=6,"1ª Semestre","2ª Semestre")</f>
        <v>1ª Semestre</v>
      </c>
    </row>
    <row r="717" spans="1:7" x14ac:dyDescent="0.25">
      <c r="A717" t="s">
        <v>5</v>
      </c>
      <c r="B717">
        <v>1</v>
      </c>
      <c r="C717" s="3">
        <v>2.2727272727272728E-2</v>
      </c>
      <c r="D717" s="58">
        <v>44998</v>
      </c>
      <c r="E717" s="58" t="str">
        <f>TEXT(Base_de_Dados[[#This Row],[Semana]],"Mmmm")</f>
        <v>março</v>
      </c>
      <c r="F717">
        <f t="shared" si="11"/>
        <v>2023</v>
      </c>
      <c r="G717" t="str">
        <f>IF(MONTH(Base_de_Dados[[#This Row],[Semana]])&lt;=6,"1ª Semestre","2ª Semestre")</f>
        <v>1ª Semestre</v>
      </c>
    </row>
    <row r="718" spans="1:7" x14ac:dyDescent="0.25">
      <c r="A718" t="s">
        <v>127</v>
      </c>
      <c r="B718">
        <v>1</v>
      </c>
      <c r="C718" s="3">
        <v>2.2727272727272728E-2</v>
      </c>
      <c r="D718" s="58">
        <v>44998</v>
      </c>
      <c r="E718" s="58" t="str">
        <f>TEXT(Base_de_Dados[[#This Row],[Semana]],"Mmmm")</f>
        <v>março</v>
      </c>
      <c r="F718">
        <f t="shared" si="11"/>
        <v>2023</v>
      </c>
      <c r="G718" t="str">
        <f>IF(MONTH(Base_de_Dados[[#This Row],[Semana]])&lt;=6,"1ª Semestre","2ª Semestre")</f>
        <v>1ª Semestre</v>
      </c>
    </row>
    <row r="719" spans="1:7" x14ac:dyDescent="0.25">
      <c r="A719" t="s">
        <v>7</v>
      </c>
      <c r="B719">
        <v>0</v>
      </c>
      <c r="C719" s="3">
        <v>0</v>
      </c>
      <c r="D719" s="58">
        <v>44998</v>
      </c>
      <c r="E719" s="58" t="str">
        <f>TEXT(Base_de_Dados[[#This Row],[Semana]],"Mmmm")</f>
        <v>março</v>
      </c>
      <c r="F719">
        <f t="shared" si="11"/>
        <v>2023</v>
      </c>
      <c r="G719" t="str">
        <f>IF(MONTH(Base_de_Dados[[#This Row],[Semana]])&lt;=6,"1ª Semestre","2ª Semestre")</f>
        <v>1ª Semestre</v>
      </c>
    </row>
    <row r="720" spans="1:7" x14ac:dyDescent="0.25">
      <c r="A720" t="s">
        <v>30</v>
      </c>
      <c r="B720">
        <v>0</v>
      </c>
      <c r="C720" s="3">
        <v>0</v>
      </c>
      <c r="D720" s="58">
        <v>44998</v>
      </c>
      <c r="E720" s="58" t="str">
        <f>TEXT(Base_de_Dados[[#This Row],[Semana]],"Mmmm")</f>
        <v>março</v>
      </c>
      <c r="F720">
        <f t="shared" si="11"/>
        <v>2023</v>
      </c>
      <c r="G720" t="str">
        <f>IF(MONTH(Base_de_Dados[[#This Row],[Semana]])&lt;=6,"1ª Semestre","2ª Semestre")</f>
        <v>1ª Semestre</v>
      </c>
    </row>
    <row r="721" spans="1:7" x14ac:dyDescent="0.25">
      <c r="A721" t="s">
        <v>118</v>
      </c>
      <c r="B721">
        <v>3</v>
      </c>
      <c r="C721" s="3">
        <v>6.8181818181818177E-2</v>
      </c>
      <c r="D721" s="58">
        <v>44998</v>
      </c>
      <c r="E721" s="58" t="str">
        <f>TEXT(Base_de_Dados[[#This Row],[Semana]],"Mmmm")</f>
        <v>março</v>
      </c>
      <c r="F721">
        <f t="shared" si="11"/>
        <v>2023</v>
      </c>
      <c r="G721" t="str">
        <f>IF(MONTH(Base_de_Dados[[#This Row],[Semana]])&lt;=6,"1ª Semestre","2ª Semestre")</f>
        <v>1ª Semestre</v>
      </c>
    </row>
    <row r="722" spans="1:7" x14ac:dyDescent="0.25">
      <c r="A722" t="s">
        <v>10</v>
      </c>
      <c r="B722">
        <v>0</v>
      </c>
      <c r="C722" s="3">
        <v>0</v>
      </c>
      <c r="D722" s="58">
        <v>44998</v>
      </c>
      <c r="E722" s="58" t="str">
        <f>TEXT(Base_de_Dados[[#This Row],[Semana]],"Mmmm")</f>
        <v>março</v>
      </c>
      <c r="F722">
        <f t="shared" si="11"/>
        <v>2023</v>
      </c>
      <c r="G722" t="str">
        <f>IF(MONTH(Base_de_Dados[[#This Row],[Semana]])&lt;=6,"1ª Semestre","2ª Semestre")</f>
        <v>1ª Semestre</v>
      </c>
    </row>
    <row r="723" spans="1:7" x14ac:dyDescent="0.25">
      <c r="A723" t="s">
        <v>34</v>
      </c>
      <c r="B723">
        <v>4</v>
      </c>
      <c r="C723" s="3">
        <v>9.0909090909090912E-2</v>
      </c>
      <c r="D723" s="58">
        <v>44998</v>
      </c>
      <c r="E723" s="58" t="str">
        <f>TEXT(Base_de_Dados[[#This Row],[Semana]],"Mmmm")</f>
        <v>março</v>
      </c>
      <c r="F723">
        <f t="shared" si="11"/>
        <v>2023</v>
      </c>
      <c r="G723" t="str">
        <f>IF(MONTH(Base_de_Dados[[#This Row],[Semana]])&lt;=6,"1ª Semestre","2ª Semestre")</f>
        <v>1ª Semestre</v>
      </c>
    </row>
    <row r="724" spans="1:7" x14ac:dyDescent="0.25">
      <c r="A724" t="s">
        <v>12</v>
      </c>
      <c r="B724">
        <v>3</v>
      </c>
      <c r="C724" s="3">
        <v>6.8181818181818177E-2</v>
      </c>
      <c r="D724" s="58">
        <v>44998</v>
      </c>
      <c r="E724" s="58" t="str">
        <f>TEXT(Base_de_Dados[[#This Row],[Semana]],"Mmmm")</f>
        <v>março</v>
      </c>
      <c r="F724">
        <f t="shared" si="11"/>
        <v>2023</v>
      </c>
      <c r="G724" t="str">
        <f>IF(MONTH(Base_de_Dados[[#This Row],[Semana]])&lt;=6,"1ª Semestre","2ª Semestre")</f>
        <v>1ª Semestre</v>
      </c>
    </row>
    <row r="725" spans="1:7" x14ac:dyDescent="0.25">
      <c r="A725" t="s">
        <v>13</v>
      </c>
      <c r="B725">
        <v>0</v>
      </c>
      <c r="C725" s="3">
        <v>0</v>
      </c>
      <c r="D725" s="58">
        <v>44998</v>
      </c>
      <c r="E725" s="58" t="str">
        <f>TEXT(Base_de_Dados[[#This Row],[Semana]],"Mmmm")</f>
        <v>março</v>
      </c>
      <c r="F725">
        <f t="shared" si="11"/>
        <v>2023</v>
      </c>
      <c r="G725" t="str">
        <f>IF(MONTH(Base_de_Dados[[#This Row],[Semana]])&lt;=6,"1ª Semestre","2ª Semestre")</f>
        <v>1ª Semestre</v>
      </c>
    </row>
    <row r="726" spans="1:7" x14ac:dyDescent="0.25">
      <c r="A726" t="s">
        <v>121</v>
      </c>
      <c r="B726">
        <v>4</v>
      </c>
      <c r="C726" s="3">
        <v>9.0909090909090912E-2</v>
      </c>
      <c r="D726" s="58">
        <v>44998</v>
      </c>
      <c r="E726" s="58" t="str">
        <f>TEXT(Base_de_Dados[[#This Row],[Semana]],"Mmmm")</f>
        <v>março</v>
      </c>
      <c r="F726">
        <f t="shared" si="11"/>
        <v>2023</v>
      </c>
      <c r="G726" t="str">
        <f>IF(MONTH(Base_de_Dados[[#This Row],[Semana]])&lt;=6,"1ª Semestre","2ª Semestre")</f>
        <v>1ª Semestre</v>
      </c>
    </row>
    <row r="727" spans="1:7" x14ac:dyDescent="0.25">
      <c r="A727" t="s">
        <v>15</v>
      </c>
      <c r="B727">
        <v>17</v>
      </c>
      <c r="C727" s="3">
        <v>0.38636363636363635</v>
      </c>
      <c r="D727" s="58">
        <v>44998</v>
      </c>
      <c r="E727" s="58" t="str">
        <f>TEXT(Base_de_Dados[[#This Row],[Semana]],"Mmmm")</f>
        <v>março</v>
      </c>
      <c r="F727">
        <f t="shared" si="11"/>
        <v>2023</v>
      </c>
      <c r="G727" t="str">
        <f>IF(MONTH(Base_de_Dados[[#This Row],[Semana]])&lt;=6,"1ª Semestre","2ª Semestre")</f>
        <v>1ª Semestre</v>
      </c>
    </row>
    <row r="728" spans="1:7" x14ac:dyDescent="0.25">
      <c r="A728" t="s">
        <v>16</v>
      </c>
      <c r="B728">
        <v>0</v>
      </c>
      <c r="C728" s="3">
        <v>0</v>
      </c>
      <c r="D728" s="58">
        <v>44998</v>
      </c>
      <c r="E728" s="58" t="str">
        <f>TEXT(Base_de_Dados[[#This Row],[Semana]],"Mmmm")</f>
        <v>março</v>
      </c>
      <c r="F728">
        <f t="shared" si="11"/>
        <v>2023</v>
      </c>
      <c r="G728" t="str">
        <f>IF(MONTH(Base_de_Dados[[#This Row],[Semana]])&lt;=6,"1ª Semestre","2ª Semestre")</f>
        <v>1ª Semestre</v>
      </c>
    </row>
    <row r="729" spans="1:7" x14ac:dyDescent="0.25">
      <c r="A729" t="s">
        <v>166</v>
      </c>
      <c r="B729">
        <v>8</v>
      </c>
      <c r="C729" s="3">
        <v>0.18181818181818182</v>
      </c>
      <c r="D729" s="58">
        <v>44998</v>
      </c>
      <c r="E729" s="58" t="str">
        <f>TEXT(Base_de_Dados[[#This Row],[Semana]],"Mmmm")</f>
        <v>março</v>
      </c>
      <c r="F729">
        <f t="shared" si="11"/>
        <v>2023</v>
      </c>
      <c r="G729" t="str">
        <f>IF(MONTH(Base_de_Dados[[#This Row],[Semana]])&lt;=6,"1ª Semestre","2ª Semestre")</f>
        <v>1ª Semestre</v>
      </c>
    </row>
    <row r="730" spans="1:7" x14ac:dyDescent="0.25">
      <c r="A730" t="s">
        <v>168</v>
      </c>
      <c r="B730">
        <v>0</v>
      </c>
      <c r="C730" s="3">
        <v>0</v>
      </c>
      <c r="D730" s="58">
        <v>44998</v>
      </c>
      <c r="E730" s="58" t="str">
        <f>TEXT(Base_de_Dados[[#This Row],[Semana]],"Mmmm")</f>
        <v>março</v>
      </c>
      <c r="F730">
        <f t="shared" si="11"/>
        <v>2023</v>
      </c>
      <c r="G730" t="str">
        <f>IF(MONTH(Base_de_Dados[[#This Row],[Semana]])&lt;=6,"1ª Semestre","2ª Semestre")</f>
        <v>1ª Semestre</v>
      </c>
    </row>
    <row r="731" spans="1:7" x14ac:dyDescent="0.25">
      <c r="A731" t="s">
        <v>176</v>
      </c>
      <c r="B731">
        <v>0</v>
      </c>
      <c r="C731" s="3">
        <v>0</v>
      </c>
      <c r="D731" s="58">
        <v>44998</v>
      </c>
      <c r="E731" s="58" t="str">
        <f>TEXT(Base_de_Dados[[#This Row],[Semana]],"Mmmm")</f>
        <v>março</v>
      </c>
      <c r="F731">
        <f t="shared" si="11"/>
        <v>2023</v>
      </c>
      <c r="G731" t="str">
        <f>IF(MONTH(Base_de_Dados[[#This Row],[Semana]])&lt;=6,"1ª Semestre","2ª Semestre")</f>
        <v>1ª Semestre</v>
      </c>
    </row>
    <row r="732" spans="1:7" x14ac:dyDescent="0.25">
      <c r="A732" t="s">
        <v>173</v>
      </c>
      <c r="B732">
        <v>0</v>
      </c>
      <c r="C732" s="3">
        <v>0</v>
      </c>
      <c r="D732" s="58">
        <v>44998</v>
      </c>
      <c r="E732" s="58" t="str">
        <f>TEXT(Base_de_Dados[[#This Row],[Semana]],"Mmmm")</f>
        <v>março</v>
      </c>
      <c r="F732">
        <f t="shared" si="11"/>
        <v>2023</v>
      </c>
      <c r="G732" t="str">
        <f>IF(MONTH(Base_de_Dados[[#This Row],[Semana]])&lt;=6,"1ª Semestre","2ª Semestre")</f>
        <v>1ª Semestre</v>
      </c>
    </row>
    <row r="733" spans="1:7" x14ac:dyDescent="0.25">
      <c r="A733" t="s">
        <v>4</v>
      </c>
      <c r="B733">
        <v>3</v>
      </c>
      <c r="C733" s="3">
        <v>7.1428571428571425E-2</v>
      </c>
      <c r="D733" s="58">
        <v>45005</v>
      </c>
      <c r="E733" s="58" t="str">
        <f>TEXT(Base_de_Dados[[#This Row],[Semana]],"Mmmm")</f>
        <v>março</v>
      </c>
      <c r="F733">
        <f t="shared" si="11"/>
        <v>2023</v>
      </c>
      <c r="G733" t="str">
        <f>IF(MONTH(Base_de_Dados[[#This Row],[Semana]])&lt;=6,"1ª Semestre","2ª Semestre")</f>
        <v>1ª Semestre</v>
      </c>
    </row>
    <row r="734" spans="1:7" x14ac:dyDescent="0.25">
      <c r="A734" t="s">
        <v>5</v>
      </c>
      <c r="B734">
        <v>8</v>
      </c>
      <c r="C734" s="3">
        <v>0.19047619047619047</v>
      </c>
      <c r="D734" s="58">
        <v>45005</v>
      </c>
      <c r="E734" s="58" t="str">
        <f>TEXT(Base_de_Dados[[#This Row],[Semana]],"Mmmm")</f>
        <v>março</v>
      </c>
      <c r="F734">
        <f t="shared" si="11"/>
        <v>2023</v>
      </c>
      <c r="G734" t="str">
        <f>IF(MONTH(Base_de_Dados[[#This Row],[Semana]])&lt;=6,"1ª Semestre","2ª Semestre")</f>
        <v>1ª Semestre</v>
      </c>
    </row>
    <row r="735" spans="1:7" x14ac:dyDescent="0.25">
      <c r="A735" t="s">
        <v>127</v>
      </c>
      <c r="B735">
        <v>2</v>
      </c>
      <c r="C735" s="3">
        <v>4.7619047619047616E-2</v>
      </c>
      <c r="D735" s="58">
        <v>45005</v>
      </c>
      <c r="E735" s="58" t="str">
        <f>TEXT(Base_de_Dados[[#This Row],[Semana]],"Mmmm")</f>
        <v>março</v>
      </c>
      <c r="F735">
        <f t="shared" si="11"/>
        <v>2023</v>
      </c>
      <c r="G735" t="str">
        <f>IF(MONTH(Base_de_Dados[[#This Row],[Semana]])&lt;=6,"1ª Semestre","2ª Semestre")</f>
        <v>1ª Semestre</v>
      </c>
    </row>
    <row r="736" spans="1:7" x14ac:dyDescent="0.25">
      <c r="A736" t="s">
        <v>7</v>
      </c>
      <c r="B736">
        <v>0</v>
      </c>
      <c r="C736" s="3">
        <v>0</v>
      </c>
      <c r="D736" s="58">
        <v>45005</v>
      </c>
      <c r="E736" s="58" t="str">
        <f>TEXT(Base_de_Dados[[#This Row],[Semana]],"Mmmm")</f>
        <v>março</v>
      </c>
      <c r="F736">
        <f t="shared" si="11"/>
        <v>2023</v>
      </c>
      <c r="G736" t="str">
        <f>IF(MONTH(Base_de_Dados[[#This Row],[Semana]])&lt;=6,"1ª Semestre","2ª Semestre")</f>
        <v>1ª Semestre</v>
      </c>
    </row>
    <row r="737" spans="1:7" x14ac:dyDescent="0.25">
      <c r="A737" t="s">
        <v>30</v>
      </c>
      <c r="B737">
        <v>0</v>
      </c>
      <c r="C737" s="3">
        <v>0</v>
      </c>
      <c r="D737" s="58">
        <v>45005</v>
      </c>
      <c r="E737" s="58" t="str">
        <f>TEXT(Base_de_Dados[[#This Row],[Semana]],"Mmmm")</f>
        <v>março</v>
      </c>
      <c r="F737">
        <f t="shared" si="11"/>
        <v>2023</v>
      </c>
      <c r="G737" t="str">
        <f>IF(MONTH(Base_de_Dados[[#This Row],[Semana]])&lt;=6,"1ª Semestre","2ª Semestre")</f>
        <v>1ª Semestre</v>
      </c>
    </row>
    <row r="738" spans="1:7" x14ac:dyDescent="0.25">
      <c r="A738" t="s">
        <v>118</v>
      </c>
      <c r="B738">
        <v>1</v>
      </c>
      <c r="C738" s="3">
        <v>2.3809523809523808E-2</v>
      </c>
      <c r="D738" s="58">
        <v>45005</v>
      </c>
      <c r="E738" s="58" t="str">
        <f>TEXT(Base_de_Dados[[#This Row],[Semana]],"Mmmm")</f>
        <v>março</v>
      </c>
      <c r="F738">
        <f t="shared" si="11"/>
        <v>2023</v>
      </c>
      <c r="G738" t="str">
        <f>IF(MONTH(Base_de_Dados[[#This Row],[Semana]])&lt;=6,"1ª Semestre","2ª Semestre")</f>
        <v>1ª Semestre</v>
      </c>
    </row>
    <row r="739" spans="1:7" x14ac:dyDescent="0.25">
      <c r="A739" t="s">
        <v>10</v>
      </c>
      <c r="B739">
        <v>0</v>
      </c>
      <c r="C739" s="3">
        <v>0</v>
      </c>
      <c r="D739" s="58">
        <v>45005</v>
      </c>
      <c r="E739" s="58" t="str">
        <f>TEXT(Base_de_Dados[[#This Row],[Semana]],"Mmmm")</f>
        <v>março</v>
      </c>
      <c r="F739">
        <f t="shared" si="11"/>
        <v>2023</v>
      </c>
      <c r="G739" t="str">
        <f>IF(MONTH(Base_de_Dados[[#This Row],[Semana]])&lt;=6,"1ª Semestre","2ª Semestre")</f>
        <v>1ª Semestre</v>
      </c>
    </row>
    <row r="740" spans="1:7" x14ac:dyDescent="0.25">
      <c r="A740" t="s">
        <v>34</v>
      </c>
      <c r="B740">
        <v>1</v>
      </c>
      <c r="C740" s="3">
        <v>2.3809523809523808E-2</v>
      </c>
      <c r="D740" s="58">
        <v>45005</v>
      </c>
      <c r="E740" s="58" t="str">
        <f>TEXT(Base_de_Dados[[#This Row],[Semana]],"Mmmm")</f>
        <v>março</v>
      </c>
      <c r="F740">
        <f t="shared" si="11"/>
        <v>2023</v>
      </c>
      <c r="G740" t="str">
        <f>IF(MONTH(Base_de_Dados[[#This Row],[Semana]])&lt;=6,"1ª Semestre","2ª Semestre")</f>
        <v>1ª Semestre</v>
      </c>
    </row>
    <row r="741" spans="1:7" x14ac:dyDescent="0.25">
      <c r="A741" t="s">
        <v>12</v>
      </c>
      <c r="B741">
        <v>2</v>
      </c>
      <c r="C741" s="3">
        <v>4.7619047619047616E-2</v>
      </c>
      <c r="D741" s="58">
        <v>45005</v>
      </c>
      <c r="E741" s="58" t="str">
        <f>TEXT(Base_de_Dados[[#This Row],[Semana]],"Mmmm")</f>
        <v>março</v>
      </c>
      <c r="F741">
        <f t="shared" si="11"/>
        <v>2023</v>
      </c>
      <c r="G741" t="str">
        <f>IF(MONTH(Base_de_Dados[[#This Row],[Semana]])&lt;=6,"1ª Semestre","2ª Semestre")</f>
        <v>1ª Semestre</v>
      </c>
    </row>
    <row r="742" spans="1:7" x14ac:dyDescent="0.25">
      <c r="A742" t="s">
        <v>13</v>
      </c>
      <c r="B742">
        <v>0</v>
      </c>
      <c r="C742" s="3">
        <v>0</v>
      </c>
      <c r="D742" s="58">
        <v>45005</v>
      </c>
      <c r="E742" s="58" t="str">
        <f>TEXT(Base_de_Dados[[#This Row],[Semana]],"Mmmm")</f>
        <v>março</v>
      </c>
      <c r="F742">
        <f t="shared" si="11"/>
        <v>2023</v>
      </c>
      <c r="G742" t="str">
        <f>IF(MONTH(Base_de_Dados[[#This Row],[Semana]])&lt;=6,"1ª Semestre","2ª Semestre")</f>
        <v>1ª Semestre</v>
      </c>
    </row>
    <row r="743" spans="1:7" x14ac:dyDescent="0.25">
      <c r="A743" t="s">
        <v>121</v>
      </c>
      <c r="B743">
        <v>2</v>
      </c>
      <c r="C743" s="3">
        <v>4.7619047619047616E-2</v>
      </c>
      <c r="D743" s="58">
        <v>45005</v>
      </c>
      <c r="E743" s="58" t="str">
        <f>TEXT(Base_de_Dados[[#This Row],[Semana]],"Mmmm")</f>
        <v>março</v>
      </c>
      <c r="F743">
        <f t="shared" si="11"/>
        <v>2023</v>
      </c>
      <c r="G743" t="str">
        <f>IF(MONTH(Base_de_Dados[[#This Row],[Semana]])&lt;=6,"1ª Semestre","2ª Semestre")</f>
        <v>1ª Semestre</v>
      </c>
    </row>
    <row r="744" spans="1:7" x14ac:dyDescent="0.25">
      <c r="A744" t="s">
        <v>15</v>
      </c>
      <c r="B744">
        <v>21</v>
      </c>
      <c r="C744" s="3">
        <v>0.5</v>
      </c>
      <c r="D744" s="58">
        <v>45005</v>
      </c>
      <c r="E744" s="58" t="str">
        <f>TEXT(Base_de_Dados[[#This Row],[Semana]],"Mmmm")</f>
        <v>março</v>
      </c>
      <c r="F744">
        <f t="shared" si="11"/>
        <v>2023</v>
      </c>
      <c r="G744" t="str">
        <f>IF(MONTH(Base_de_Dados[[#This Row],[Semana]])&lt;=6,"1ª Semestre","2ª Semestre")</f>
        <v>1ª Semestre</v>
      </c>
    </row>
    <row r="745" spans="1:7" x14ac:dyDescent="0.25">
      <c r="A745" t="s">
        <v>16</v>
      </c>
      <c r="B745">
        <v>0</v>
      </c>
      <c r="C745" s="3">
        <v>0</v>
      </c>
      <c r="D745" s="58">
        <v>45005</v>
      </c>
      <c r="E745" s="58" t="str">
        <f>TEXT(Base_de_Dados[[#This Row],[Semana]],"Mmmm")</f>
        <v>março</v>
      </c>
      <c r="F745">
        <f t="shared" si="11"/>
        <v>2023</v>
      </c>
      <c r="G745" t="str">
        <f>IF(MONTH(Base_de_Dados[[#This Row],[Semana]])&lt;=6,"1ª Semestre","2ª Semestre")</f>
        <v>1ª Semestre</v>
      </c>
    </row>
    <row r="746" spans="1:7" x14ac:dyDescent="0.25">
      <c r="A746" t="s">
        <v>166</v>
      </c>
      <c r="B746">
        <v>2</v>
      </c>
      <c r="C746" s="3">
        <v>4.7619047619047616E-2</v>
      </c>
      <c r="D746" s="58">
        <v>45005</v>
      </c>
      <c r="E746" s="58" t="str">
        <f>TEXT(Base_de_Dados[[#This Row],[Semana]],"Mmmm")</f>
        <v>março</v>
      </c>
      <c r="F746">
        <f t="shared" si="11"/>
        <v>2023</v>
      </c>
      <c r="G746" t="str">
        <f>IF(MONTH(Base_de_Dados[[#This Row],[Semana]])&lt;=6,"1ª Semestre","2ª Semestre")</f>
        <v>1ª Semestre</v>
      </c>
    </row>
    <row r="747" spans="1:7" x14ac:dyDescent="0.25">
      <c r="A747" t="s">
        <v>168</v>
      </c>
      <c r="B747">
        <v>0</v>
      </c>
      <c r="C747" s="3">
        <v>0</v>
      </c>
      <c r="D747" s="58">
        <v>45005</v>
      </c>
      <c r="E747" s="58" t="str">
        <f>TEXT(Base_de_Dados[[#This Row],[Semana]],"Mmmm")</f>
        <v>março</v>
      </c>
      <c r="F747">
        <f t="shared" si="11"/>
        <v>2023</v>
      </c>
      <c r="G747" t="str">
        <f>IF(MONTH(Base_de_Dados[[#This Row],[Semana]])&lt;=6,"1ª Semestre","2ª Semestre")</f>
        <v>1ª Semestre</v>
      </c>
    </row>
    <row r="748" spans="1:7" x14ac:dyDescent="0.25">
      <c r="A748" t="s">
        <v>176</v>
      </c>
      <c r="B748">
        <v>0</v>
      </c>
      <c r="C748" s="3">
        <v>0</v>
      </c>
      <c r="D748" s="58">
        <v>45005</v>
      </c>
      <c r="E748" s="58" t="str">
        <f>TEXT(Base_de_Dados[[#This Row],[Semana]],"Mmmm")</f>
        <v>março</v>
      </c>
      <c r="F748">
        <f t="shared" si="11"/>
        <v>2023</v>
      </c>
      <c r="G748" t="str">
        <f>IF(MONTH(Base_de_Dados[[#This Row],[Semana]])&lt;=6,"1ª Semestre","2ª Semestre")</f>
        <v>1ª Semestre</v>
      </c>
    </row>
    <row r="749" spans="1:7" x14ac:dyDescent="0.25">
      <c r="A749" t="s">
        <v>173</v>
      </c>
      <c r="B749">
        <v>0</v>
      </c>
      <c r="C749" s="3">
        <v>0</v>
      </c>
      <c r="D749" s="58">
        <v>45005</v>
      </c>
      <c r="E749" s="58" t="str">
        <f>TEXT(Base_de_Dados[[#This Row],[Semana]],"Mmmm")</f>
        <v>março</v>
      </c>
      <c r="F749">
        <f t="shared" si="11"/>
        <v>2023</v>
      </c>
      <c r="G749" t="str">
        <f>IF(MONTH(Base_de_Dados[[#This Row],[Semana]])&lt;=6,"1ª Semestre","2ª Semestre")</f>
        <v>1ª Semestre</v>
      </c>
    </row>
    <row r="750" spans="1:7" x14ac:dyDescent="0.25">
      <c r="A750" t="s">
        <v>4</v>
      </c>
      <c r="B750">
        <v>0</v>
      </c>
      <c r="C750" s="3">
        <v>0</v>
      </c>
      <c r="D750" s="58">
        <v>45012</v>
      </c>
      <c r="E750" s="58" t="str">
        <f>TEXT(Base_de_Dados[[#This Row],[Semana]],"Mmmm")</f>
        <v>março</v>
      </c>
      <c r="F750">
        <f t="shared" si="11"/>
        <v>2023</v>
      </c>
      <c r="G750" t="str">
        <f>IF(MONTH(Base_de_Dados[[#This Row],[Semana]])&lt;=6,"1ª Semestre","2ª Semestre")</f>
        <v>1ª Semestre</v>
      </c>
    </row>
    <row r="751" spans="1:7" x14ac:dyDescent="0.25">
      <c r="A751" t="s">
        <v>5</v>
      </c>
      <c r="B751">
        <v>1</v>
      </c>
      <c r="C751" s="3">
        <v>4.7619047619047616E-2</v>
      </c>
      <c r="D751" s="58">
        <v>45012</v>
      </c>
      <c r="E751" s="58" t="str">
        <f>TEXT(Base_de_Dados[[#This Row],[Semana]],"Mmmm")</f>
        <v>março</v>
      </c>
      <c r="F751">
        <f t="shared" si="11"/>
        <v>2023</v>
      </c>
      <c r="G751" t="str">
        <f>IF(MONTH(Base_de_Dados[[#This Row],[Semana]])&lt;=6,"1ª Semestre","2ª Semestre")</f>
        <v>1ª Semestre</v>
      </c>
    </row>
    <row r="752" spans="1:7" x14ac:dyDescent="0.25">
      <c r="A752" t="s">
        <v>127</v>
      </c>
      <c r="B752">
        <v>1</v>
      </c>
      <c r="C752" s="3">
        <v>4.7619047619047616E-2</v>
      </c>
      <c r="D752" s="58">
        <v>45012</v>
      </c>
      <c r="E752" s="58" t="str">
        <f>TEXT(Base_de_Dados[[#This Row],[Semana]],"Mmmm")</f>
        <v>março</v>
      </c>
      <c r="F752">
        <f t="shared" si="11"/>
        <v>2023</v>
      </c>
      <c r="G752" t="str">
        <f>IF(MONTH(Base_de_Dados[[#This Row],[Semana]])&lt;=6,"1ª Semestre","2ª Semestre")</f>
        <v>1ª Semestre</v>
      </c>
    </row>
    <row r="753" spans="1:7" x14ac:dyDescent="0.25">
      <c r="A753" t="s">
        <v>7</v>
      </c>
      <c r="B753">
        <v>0</v>
      </c>
      <c r="C753" s="3">
        <v>0</v>
      </c>
      <c r="D753" s="58">
        <v>45012</v>
      </c>
      <c r="E753" s="58" t="str">
        <f>TEXT(Base_de_Dados[[#This Row],[Semana]],"Mmmm")</f>
        <v>março</v>
      </c>
      <c r="F753">
        <f t="shared" si="11"/>
        <v>2023</v>
      </c>
      <c r="G753" t="str">
        <f>IF(MONTH(Base_de_Dados[[#This Row],[Semana]])&lt;=6,"1ª Semestre","2ª Semestre")</f>
        <v>1ª Semestre</v>
      </c>
    </row>
    <row r="754" spans="1:7" x14ac:dyDescent="0.25">
      <c r="A754" t="s">
        <v>30</v>
      </c>
      <c r="B754">
        <v>0</v>
      </c>
      <c r="C754" s="3">
        <v>0</v>
      </c>
      <c r="D754" s="58">
        <v>45012</v>
      </c>
      <c r="E754" s="58" t="str">
        <f>TEXT(Base_de_Dados[[#This Row],[Semana]],"Mmmm")</f>
        <v>março</v>
      </c>
      <c r="F754">
        <f t="shared" si="11"/>
        <v>2023</v>
      </c>
      <c r="G754" t="str">
        <f>IF(MONTH(Base_de_Dados[[#This Row],[Semana]])&lt;=6,"1ª Semestre","2ª Semestre")</f>
        <v>1ª Semestre</v>
      </c>
    </row>
    <row r="755" spans="1:7" x14ac:dyDescent="0.25">
      <c r="A755" t="s">
        <v>118</v>
      </c>
      <c r="B755">
        <v>0</v>
      </c>
      <c r="C755" s="3">
        <v>0</v>
      </c>
      <c r="D755" s="58">
        <v>45012</v>
      </c>
      <c r="E755" s="58" t="str">
        <f>TEXT(Base_de_Dados[[#This Row],[Semana]],"Mmmm")</f>
        <v>março</v>
      </c>
      <c r="F755">
        <f t="shared" si="11"/>
        <v>2023</v>
      </c>
      <c r="G755" t="str">
        <f>IF(MONTH(Base_de_Dados[[#This Row],[Semana]])&lt;=6,"1ª Semestre","2ª Semestre")</f>
        <v>1ª Semestre</v>
      </c>
    </row>
    <row r="756" spans="1:7" x14ac:dyDescent="0.25">
      <c r="A756" t="s">
        <v>10</v>
      </c>
      <c r="B756">
        <v>0</v>
      </c>
      <c r="C756" s="3">
        <v>0</v>
      </c>
      <c r="D756" s="58">
        <v>45012</v>
      </c>
      <c r="E756" s="58" t="str">
        <f>TEXT(Base_de_Dados[[#This Row],[Semana]],"Mmmm")</f>
        <v>março</v>
      </c>
      <c r="F756">
        <f t="shared" si="11"/>
        <v>2023</v>
      </c>
      <c r="G756" t="str">
        <f>IF(MONTH(Base_de_Dados[[#This Row],[Semana]])&lt;=6,"1ª Semestre","2ª Semestre")</f>
        <v>1ª Semestre</v>
      </c>
    </row>
    <row r="757" spans="1:7" x14ac:dyDescent="0.25">
      <c r="A757" t="s">
        <v>34</v>
      </c>
      <c r="B757">
        <v>0</v>
      </c>
      <c r="C757" s="3">
        <v>0</v>
      </c>
      <c r="D757" s="58">
        <v>45012</v>
      </c>
      <c r="E757" s="58" t="str">
        <f>TEXT(Base_de_Dados[[#This Row],[Semana]],"Mmmm")</f>
        <v>março</v>
      </c>
      <c r="F757">
        <f t="shared" si="11"/>
        <v>2023</v>
      </c>
      <c r="G757" t="str">
        <f>IF(MONTH(Base_de_Dados[[#This Row],[Semana]])&lt;=6,"1ª Semestre","2ª Semestre")</f>
        <v>1ª Semestre</v>
      </c>
    </row>
    <row r="758" spans="1:7" x14ac:dyDescent="0.25">
      <c r="A758" t="s">
        <v>12</v>
      </c>
      <c r="B758">
        <v>0</v>
      </c>
      <c r="C758" s="3">
        <v>0</v>
      </c>
      <c r="D758" s="58">
        <v>45012</v>
      </c>
      <c r="E758" s="58" t="str">
        <f>TEXT(Base_de_Dados[[#This Row],[Semana]],"Mmmm")</f>
        <v>março</v>
      </c>
      <c r="F758">
        <f t="shared" si="11"/>
        <v>2023</v>
      </c>
      <c r="G758" t="str">
        <f>IF(MONTH(Base_de_Dados[[#This Row],[Semana]])&lt;=6,"1ª Semestre","2ª Semestre")</f>
        <v>1ª Semestre</v>
      </c>
    </row>
    <row r="759" spans="1:7" x14ac:dyDescent="0.25">
      <c r="A759" t="s">
        <v>13</v>
      </c>
      <c r="B759">
        <v>2</v>
      </c>
      <c r="C759" s="3">
        <v>9.5238095238095233E-2</v>
      </c>
      <c r="D759" s="58">
        <v>45012</v>
      </c>
      <c r="E759" s="58" t="str">
        <f>TEXT(Base_de_Dados[[#This Row],[Semana]],"Mmmm")</f>
        <v>março</v>
      </c>
      <c r="F759">
        <f t="shared" si="11"/>
        <v>2023</v>
      </c>
      <c r="G759" t="str">
        <f>IF(MONTH(Base_de_Dados[[#This Row],[Semana]])&lt;=6,"1ª Semestre","2ª Semestre")</f>
        <v>1ª Semestre</v>
      </c>
    </row>
    <row r="760" spans="1:7" x14ac:dyDescent="0.25">
      <c r="A760" t="s">
        <v>121</v>
      </c>
      <c r="B760">
        <v>1</v>
      </c>
      <c r="C760" s="3">
        <v>4.7619047619047616E-2</v>
      </c>
      <c r="D760" s="58">
        <v>45012</v>
      </c>
      <c r="E760" s="58" t="str">
        <f>TEXT(Base_de_Dados[[#This Row],[Semana]],"Mmmm")</f>
        <v>março</v>
      </c>
      <c r="F760">
        <f t="shared" si="11"/>
        <v>2023</v>
      </c>
      <c r="G760" t="str">
        <f>IF(MONTH(Base_de_Dados[[#This Row],[Semana]])&lt;=6,"1ª Semestre","2ª Semestre")</f>
        <v>1ª Semestre</v>
      </c>
    </row>
    <row r="761" spans="1:7" x14ac:dyDescent="0.25">
      <c r="A761" t="s">
        <v>15</v>
      </c>
      <c r="B761">
        <v>16</v>
      </c>
      <c r="C761" s="3">
        <v>0.76190476190476186</v>
      </c>
      <c r="D761" s="58">
        <v>45012</v>
      </c>
      <c r="E761" s="58" t="str">
        <f>TEXT(Base_de_Dados[[#This Row],[Semana]],"Mmmm")</f>
        <v>março</v>
      </c>
      <c r="F761">
        <f t="shared" si="11"/>
        <v>2023</v>
      </c>
      <c r="G761" t="str">
        <f>IF(MONTH(Base_de_Dados[[#This Row],[Semana]])&lt;=6,"1ª Semestre","2ª Semestre")</f>
        <v>1ª Semestre</v>
      </c>
    </row>
    <row r="762" spans="1:7" x14ac:dyDescent="0.25">
      <c r="A762" t="s">
        <v>16</v>
      </c>
      <c r="B762">
        <v>0</v>
      </c>
      <c r="C762" s="3">
        <v>0</v>
      </c>
      <c r="D762" s="58">
        <v>45012</v>
      </c>
      <c r="E762" s="58" t="str">
        <f>TEXT(Base_de_Dados[[#This Row],[Semana]],"Mmmm")</f>
        <v>março</v>
      </c>
      <c r="F762">
        <f t="shared" si="11"/>
        <v>2023</v>
      </c>
      <c r="G762" t="str">
        <f>IF(MONTH(Base_de_Dados[[#This Row],[Semana]])&lt;=6,"1ª Semestre","2ª Semestre")</f>
        <v>1ª Semestre</v>
      </c>
    </row>
    <row r="763" spans="1:7" x14ac:dyDescent="0.25">
      <c r="A763" t="s">
        <v>166</v>
      </c>
      <c r="B763">
        <v>0</v>
      </c>
      <c r="C763" s="3">
        <v>0</v>
      </c>
      <c r="D763" s="58">
        <v>45012</v>
      </c>
      <c r="E763" s="58" t="str">
        <f>TEXT(Base_de_Dados[[#This Row],[Semana]],"Mmmm")</f>
        <v>março</v>
      </c>
      <c r="F763">
        <f t="shared" si="11"/>
        <v>2023</v>
      </c>
      <c r="G763" t="str">
        <f>IF(MONTH(Base_de_Dados[[#This Row],[Semana]])&lt;=6,"1ª Semestre","2ª Semestre")</f>
        <v>1ª Semestre</v>
      </c>
    </row>
    <row r="764" spans="1:7" x14ac:dyDescent="0.25">
      <c r="A764" t="s">
        <v>168</v>
      </c>
      <c r="B764">
        <v>0</v>
      </c>
      <c r="C764" s="3">
        <v>0</v>
      </c>
      <c r="D764" s="58">
        <v>45012</v>
      </c>
      <c r="E764" s="58" t="str">
        <f>TEXT(Base_de_Dados[[#This Row],[Semana]],"Mmmm")</f>
        <v>março</v>
      </c>
      <c r="F764">
        <f t="shared" si="11"/>
        <v>2023</v>
      </c>
      <c r="G764" t="str">
        <f>IF(MONTH(Base_de_Dados[[#This Row],[Semana]])&lt;=6,"1ª Semestre","2ª Semestre")</f>
        <v>1ª Semestre</v>
      </c>
    </row>
    <row r="765" spans="1:7" x14ac:dyDescent="0.25">
      <c r="A765" t="s">
        <v>176</v>
      </c>
      <c r="B765">
        <v>0</v>
      </c>
      <c r="C765" s="3">
        <v>0</v>
      </c>
      <c r="D765" s="58">
        <v>45012</v>
      </c>
      <c r="E765" s="58" t="str">
        <f>TEXT(Base_de_Dados[[#This Row],[Semana]],"Mmmm")</f>
        <v>março</v>
      </c>
      <c r="F765">
        <f t="shared" si="11"/>
        <v>2023</v>
      </c>
      <c r="G765" t="str">
        <f>IF(MONTH(Base_de_Dados[[#This Row],[Semana]])&lt;=6,"1ª Semestre","2ª Semestre")</f>
        <v>1ª Semestre</v>
      </c>
    </row>
    <row r="766" spans="1:7" x14ac:dyDescent="0.25">
      <c r="A766" t="s">
        <v>173</v>
      </c>
      <c r="B766">
        <v>0</v>
      </c>
      <c r="C766" s="3">
        <v>0</v>
      </c>
      <c r="D766" s="58">
        <v>45012</v>
      </c>
      <c r="E766" s="58" t="str">
        <f>TEXT(Base_de_Dados[[#This Row],[Semana]],"Mmmm")</f>
        <v>março</v>
      </c>
      <c r="F766">
        <f t="shared" si="11"/>
        <v>2023</v>
      </c>
      <c r="G766" t="str">
        <f>IF(MONTH(Base_de_Dados[[#This Row],[Semana]])&lt;=6,"1ª Semestre","2ª Semestre")</f>
        <v>1ª Semestre</v>
      </c>
    </row>
    <row r="767" spans="1:7" x14ac:dyDescent="0.25">
      <c r="A767" t="s">
        <v>4</v>
      </c>
      <c r="B767">
        <v>0</v>
      </c>
      <c r="C767" s="3">
        <v>0</v>
      </c>
      <c r="D767" s="58">
        <v>45019</v>
      </c>
      <c r="E767" s="58" t="str">
        <f>TEXT(Base_de_Dados[[#This Row],[Semana]],"Mmmm")</f>
        <v>abril</v>
      </c>
      <c r="F767">
        <f t="shared" si="11"/>
        <v>2023</v>
      </c>
      <c r="G767" t="str">
        <f>IF(MONTH(Base_de_Dados[[#This Row],[Semana]])&lt;=6,"1ª Semestre","2ª Semestre")</f>
        <v>1ª Semestre</v>
      </c>
    </row>
    <row r="768" spans="1:7" x14ac:dyDescent="0.25">
      <c r="A768" t="s">
        <v>5</v>
      </c>
      <c r="B768">
        <v>0</v>
      </c>
      <c r="C768" s="3">
        <v>0</v>
      </c>
      <c r="D768" s="58">
        <v>45019</v>
      </c>
      <c r="E768" s="58" t="str">
        <f>TEXT(Base_de_Dados[[#This Row],[Semana]],"Mmmm")</f>
        <v>abril</v>
      </c>
      <c r="F768">
        <f t="shared" si="11"/>
        <v>2023</v>
      </c>
      <c r="G768" t="str">
        <f>IF(MONTH(Base_de_Dados[[#This Row],[Semana]])&lt;=6,"1ª Semestre","2ª Semestre")</f>
        <v>1ª Semestre</v>
      </c>
    </row>
    <row r="769" spans="1:7" x14ac:dyDescent="0.25">
      <c r="A769" t="s">
        <v>127</v>
      </c>
      <c r="B769">
        <v>0</v>
      </c>
      <c r="C769" s="3">
        <v>0</v>
      </c>
      <c r="D769" s="58">
        <v>45019</v>
      </c>
      <c r="E769" s="58" t="str">
        <f>TEXT(Base_de_Dados[[#This Row],[Semana]],"Mmmm")</f>
        <v>abril</v>
      </c>
      <c r="F769">
        <f t="shared" si="11"/>
        <v>2023</v>
      </c>
      <c r="G769" t="str">
        <f>IF(MONTH(Base_de_Dados[[#This Row],[Semana]])&lt;=6,"1ª Semestre","2ª Semestre")</f>
        <v>1ª Semestre</v>
      </c>
    </row>
    <row r="770" spans="1:7" x14ac:dyDescent="0.25">
      <c r="A770" t="s">
        <v>7</v>
      </c>
      <c r="B770">
        <v>0</v>
      </c>
      <c r="C770" s="3">
        <v>0</v>
      </c>
      <c r="D770" s="58">
        <v>45019</v>
      </c>
      <c r="E770" s="58" t="str">
        <f>TEXT(Base_de_Dados[[#This Row],[Semana]],"Mmmm")</f>
        <v>abril</v>
      </c>
      <c r="F770">
        <f t="shared" si="11"/>
        <v>2023</v>
      </c>
      <c r="G770" t="str">
        <f>IF(MONTH(Base_de_Dados[[#This Row],[Semana]])&lt;=6,"1ª Semestre","2ª Semestre")</f>
        <v>1ª Semestre</v>
      </c>
    </row>
    <row r="771" spans="1:7" x14ac:dyDescent="0.25">
      <c r="A771" t="s">
        <v>30</v>
      </c>
      <c r="B771">
        <v>0</v>
      </c>
      <c r="C771" s="3">
        <v>0</v>
      </c>
      <c r="D771" s="58">
        <v>45019</v>
      </c>
      <c r="E771" s="58" t="str">
        <f>TEXT(Base_de_Dados[[#This Row],[Semana]],"Mmmm")</f>
        <v>abril</v>
      </c>
      <c r="F771">
        <f t="shared" ref="F771:F834" si="12">YEAR(D771)</f>
        <v>2023</v>
      </c>
      <c r="G771" t="str">
        <f>IF(MONTH(Base_de_Dados[[#This Row],[Semana]])&lt;=6,"1ª Semestre","2ª Semestre")</f>
        <v>1ª Semestre</v>
      </c>
    </row>
    <row r="772" spans="1:7" x14ac:dyDescent="0.25">
      <c r="A772" t="s">
        <v>118</v>
      </c>
      <c r="B772">
        <v>0</v>
      </c>
      <c r="C772" s="3">
        <v>0</v>
      </c>
      <c r="D772" s="58">
        <v>45019</v>
      </c>
      <c r="E772" s="58" t="str">
        <f>TEXT(Base_de_Dados[[#This Row],[Semana]],"Mmmm")</f>
        <v>abril</v>
      </c>
      <c r="F772">
        <f t="shared" si="12"/>
        <v>2023</v>
      </c>
      <c r="G772" t="str">
        <f>IF(MONTH(Base_de_Dados[[#This Row],[Semana]])&lt;=6,"1ª Semestre","2ª Semestre")</f>
        <v>1ª Semestre</v>
      </c>
    </row>
    <row r="773" spans="1:7" x14ac:dyDescent="0.25">
      <c r="A773" t="s">
        <v>10</v>
      </c>
      <c r="B773">
        <v>0</v>
      </c>
      <c r="C773" s="3">
        <v>0</v>
      </c>
      <c r="D773" s="58">
        <v>45019</v>
      </c>
      <c r="E773" s="58" t="str">
        <f>TEXT(Base_de_Dados[[#This Row],[Semana]],"Mmmm")</f>
        <v>abril</v>
      </c>
      <c r="F773">
        <f t="shared" si="12"/>
        <v>2023</v>
      </c>
      <c r="G773" t="str">
        <f>IF(MONTH(Base_de_Dados[[#This Row],[Semana]])&lt;=6,"1ª Semestre","2ª Semestre")</f>
        <v>1ª Semestre</v>
      </c>
    </row>
    <row r="774" spans="1:7" x14ac:dyDescent="0.25">
      <c r="A774" t="s">
        <v>34</v>
      </c>
      <c r="B774">
        <v>2</v>
      </c>
      <c r="C774" s="3">
        <v>0.4</v>
      </c>
      <c r="D774" s="58">
        <v>45019</v>
      </c>
      <c r="E774" s="58" t="str">
        <f>TEXT(Base_de_Dados[[#This Row],[Semana]],"Mmmm")</f>
        <v>abril</v>
      </c>
      <c r="F774">
        <f t="shared" si="12"/>
        <v>2023</v>
      </c>
      <c r="G774" t="str">
        <f>IF(MONTH(Base_de_Dados[[#This Row],[Semana]])&lt;=6,"1ª Semestre","2ª Semestre")</f>
        <v>1ª Semestre</v>
      </c>
    </row>
    <row r="775" spans="1:7" x14ac:dyDescent="0.25">
      <c r="A775" t="s">
        <v>12</v>
      </c>
      <c r="B775">
        <v>1</v>
      </c>
      <c r="C775" s="3">
        <v>0.2</v>
      </c>
      <c r="D775" s="58">
        <v>45019</v>
      </c>
      <c r="E775" s="58" t="str">
        <f>TEXT(Base_de_Dados[[#This Row],[Semana]],"Mmmm")</f>
        <v>abril</v>
      </c>
      <c r="F775">
        <f t="shared" si="12"/>
        <v>2023</v>
      </c>
      <c r="G775" t="str">
        <f>IF(MONTH(Base_de_Dados[[#This Row],[Semana]])&lt;=6,"1ª Semestre","2ª Semestre")</f>
        <v>1ª Semestre</v>
      </c>
    </row>
    <row r="776" spans="1:7" x14ac:dyDescent="0.25">
      <c r="A776" t="s">
        <v>13</v>
      </c>
      <c r="B776">
        <v>0</v>
      </c>
      <c r="C776" s="3">
        <v>0</v>
      </c>
      <c r="D776" s="58">
        <v>45019</v>
      </c>
      <c r="E776" s="58" t="str">
        <f>TEXT(Base_de_Dados[[#This Row],[Semana]],"Mmmm")</f>
        <v>abril</v>
      </c>
      <c r="F776">
        <f t="shared" si="12"/>
        <v>2023</v>
      </c>
      <c r="G776" t="str">
        <f>IF(MONTH(Base_de_Dados[[#This Row],[Semana]])&lt;=6,"1ª Semestre","2ª Semestre")</f>
        <v>1ª Semestre</v>
      </c>
    </row>
    <row r="777" spans="1:7" x14ac:dyDescent="0.25">
      <c r="A777" t="s">
        <v>121</v>
      </c>
      <c r="B777">
        <v>0</v>
      </c>
      <c r="C777" s="3">
        <v>0</v>
      </c>
      <c r="D777" s="58">
        <v>45019</v>
      </c>
      <c r="E777" s="58" t="str">
        <f>TEXT(Base_de_Dados[[#This Row],[Semana]],"Mmmm")</f>
        <v>abril</v>
      </c>
      <c r="F777">
        <f t="shared" si="12"/>
        <v>2023</v>
      </c>
      <c r="G777" t="str">
        <f>IF(MONTH(Base_de_Dados[[#This Row],[Semana]])&lt;=6,"1ª Semestre","2ª Semestre")</f>
        <v>1ª Semestre</v>
      </c>
    </row>
    <row r="778" spans="1:7" x14ac:dyDescent="0.25">
      <c r="A778" t="s">
        <v>15</v>
      </c>
      <c r="B778">
        <v>2</v>
      </c>
      <c r="C778" s="3">
        <v>0.4</v>
      </c>
      <c r="D778" s="58">
        <v>45019</v>
      </c>
      <c r="E778" s="58" t="str">
        <f>TEXT(Base_de_Dados[[#This Row],[Semana]],"Mmmm")</f>
        <v>abril</v>
      </c>
      <c r="F778">
        <f t="shared" si="12"/>
        <v>2023</v>
      </c>
      <c r="G778" t="str">
        <f>IF(MONTH(Base_de_Dados[[#This Row],[Semana]])&lt;=6,"1ª Semestre","2ª Semestre")</f>
        <v>1ª Semestre</v>
      </c>
    </row>
    <row r="779" spans="1:7" x14ac:dyDescent="0.25">
      <c r="A779" t="s">
        <v>16</v>
      </c>
      <c r="B779">
        <v>0</v>
      </c>
      <c r="C779" s="3">
        <v>0</v>
      </c>
      <c r="D779" s="58">
        <v>45019</v>
      </c>
      <c r="E779" s="58" t="str">
        <f>TEXT(Base_de_Dados[[#This Row],[Semana]],"Mmmm")</f>
        <v>abril</v>
      </c>
      <c r="F779">
        <f t="shared" si="12"/>
        <v>2023</v>
      </c>
      <c r="G779" t="str">
        <f>IF(MONTH(Base_de_Dados[[#This Row],[Semana]])&lt;=6,"1ª Semestre","2ª Semestre")</f>
        <v>1ª Semestre</v>
      </c>
    </row>
    <row r="780" spans="1:7" x14ac:dyDescent="0.25">
      <c r="A780" t="s">
        <v>166</v>
      </c>
      <c r="B780">
        <v>0</v>
      </c>
      <c r="C780" s="3">
        <v>0</v>
      </c>
      <c r="D780" s="58">
        <v>45019</v>
      </c>
      <c r="E780" s="58" t="str">
        <f>TEXT(Base_de_Dados[[#This Row],[Semana]],"Mmmm")</f>
        <v>abril</v>
      </c>
      <c r="F780">
        <f t="shared" si="12"/>
        <v>2023</v>
      </c>
      <c r="G780" t="str">
        <f>IF(MONTH(Base_de_Dados[[#This Row],[Semana]])&lt;=6,"1ª Semestre","2ª Semestre")</f>
        <v>1ª Semestre</v>
      </c>
    </row>
    <row r="781" spans="1:7" x14ac:dyDescent="0.25">
      <c r="A781" t="s">
        <v>168</v>
      </c>
      <c r="B781">
        <v>0</v>
      </c>
      <c r="C781" s="3">
        <v>0</v>
      </c>
      <c r="D781" s="58">
        <v>45019</v>
      </c>
      <c r="E781" s="58" t="str">
        <f>TEXT(Base_de_Dados[[#This Row],[Semana]],"Mmmm")</f>
        <v>abril</v>
      </c>
      <c r="F781">
        <f t="shared" si="12"/>
        <v>2023</v>
      </c>
      <c r="G781" t="str">
        <f>IF(MONTH(Base_de_Dados[[#This Row],[Semana]])&lt;=6,"1ª Semestre","2ª Semestre")</f>
        <v>1ª Semestre</v>
      </c>
    </row>
    <row r="782" spans="1:7" x14ac:dyDescent="0.25">
      <c r="A782" t="s">
        <v>176</v>
      </c>
      <c r="B782">
        <v>0</v>
      </c>
      <c r="C782" s="3">
        <v>0</v>
      </c>
      <c r="D782" s="58">
        <v>45019</v>
      </c>
      <c r="E782" s="58" t="str">
        <f>TEXT(Base_de_Dados[[#This Row],[Semana]],"Mmmm")</f>
        <v>abril</v>
      </c>
      <c r="F782">
        <f t="shared" si="12"/>
        <v>2023</v>
      </c>
      <c r="G782" t="str">
        <f>IF(MONTH(Base_de_Dados[[#This Row],[Semana]])&lt;=6,"1ª Semestre","2ª Semestre")</f>
        <v>1ª Semestre</v>
      </c>
    </row>
    <row r="783" spans="1:7" x14ac:dyDescent="0.25">
      <c r="A783" t="s">
        <v>173</v>
      </c>
      <c r="B783">
        <v>0</v>
      </c>
      <c r="C783" s="3">
        <v>0</v>
      </c>
      <c r="D783" s="58">
        <v>45019</v>
      </c>
      <c r="E783" s="58" t="str">
        <f>TEXT(Base_de_Dados[[#This Row],[Semana]],"Mmmm")</f>
        <v>abril</v>
      </c>
      <c r="F783">
        <f t="shared" si="12"/>
        <v>2023</v>
      </c>
      <c r="G783" t="str">
        <f>IF(MONTH(Base_de_Dados[[#This Row],[Semana]])&lt;=6,"1ª Semestre","2ª Semestre")</f>
        <v>1ª Semestre</v>
      </c>
    </row>
    <row r="784" spans="1:7" x14ac:dyDescent="0.25">
      <c r="A784" t="s">
        <v>4</v>
      </c>
      <c r="B784">
        <v>2</v>
      </c>
      <c r="C784" s="3">
        <v>0.33333333333333331</v>
      </c>
      <c r="D784" s="58">
        <v>45026</v>
      </c>
      <c r="E784" s="58" t="str">
        <f>TEXT(Base_de_Dados[[#This Row],[Semana]],"Mmmm")</f>
        <v>abril</v>
      </c>
      <c r="F784">
        <f t="shared" si="12"/>
        <v>2023</v>
      </c>
      <c r="G784" t="str">
        <f>IF(MONTH(Base_de_Dados[[#This Row],[Semana]])&lt;=6,"1ª Semestre","2ª Semestre")</f>
        <v>1ª Semestre</v>
      </c>
    </row>
    <row r="785" spans="1:7" x14ac:dyDescent="0.25">
      <c r="A785" t="s">
        <v>5</v>
      </c>
      <c r="B785">
        <v>0</v>
      </c>
      <c r="C785" s="3">
        <v>0</v>
      </c>
      <c r="D785" s="58">
        <v>45026</v>
      </c>
      <c r="E785" s="58" t="str">
        <f>TEXT(Base_de_Dados[[#This Row],[Semana]],"Mmmm")</f>
        <v>abril</v>
      </c>
      <c r="F785">
        <f t="shared" si="12"/>
        <v>2023</v>
      </c>
      <c r="G785" t="str">
        <f>IF(MONTH(Base_de_Dados[[#This Row],[Semana]])&lt;=6,"1ª Semestre","2ª Semestre")</f>
        <v>1ª Semestre</v>
      </c>
    </row>
    <row r="786" spans="1:7" x14ac:dyDescent="0.25">
      <c r="A786" t="s">
        <v>127</v>
      </c>
      <c r="B786">
        <v>0</v>
      </c>
      <c r="C786" s="3">
        <v>0</v>
      </c>
      <c r="D786" s="58">
        <v>45026</v>
      </c>
      <c r="E786" s="58" t="str">
        <f>TEXT(Base_de_Dados[[#This Row],[Semana]],"Mmmm")</f>
        <v>abril</v>
      </c>
      <c r="F786">
        <f t="shared" si="12"/>
        <v>2023</v>
      </c>
      <c r="G786" t="str">
        <f>IF(MONTH(Base_de_Dados[[#This Row],[Semana]])&lt;=6,"1ª Semestre","2ª Semestre")</f>
        <v>1ª Semestre</v>
      </c>
    </row>
    <row r="787" spans="1:7" x14ac:dyDescent="0.25">
      <c r="A787" t="s">
        <v>7</v>
      </c>
      <c r="B787">
        <v>0</v>
      </c>
      <c r="C787" s="3">
        <v>0</v>
      </c>
      <c r="D787" s="58">
        <v>45026</v>
      </c>
      <c r="E787" s="58" t="str">
        <f>TEXT(Base_de_Dados[[#This Row],[Semana]],"Mmmm")</f>
        <v>abril</v>
      </c>
      <c r="F787">
        <f t="shared" si="12"/>
        <v>2023</v>
      </c>
      <c r="G787" t="str">
        <f>IF(MONTH(Base_de_Dados[[#This Row],[Semana]])&lt;=6,"1ª Semestre","2ª Semestre")</f>
        <v>1ª Semestre</v>
      </c>
    </row>
    <row r="788" spans="1:7" x14ac:dyDescent="0.25">
      <c r="A788" t="s">
        <v>30</v>
      </c>
      <c r="B788">
        <v>0</v>
      </c>
      <c r="C788" s="3">
        <v>0</v>
      </c>
      <c r="D788" s="58">
        <v>45026</v>
      </c>
      <c r="E788" s="58" t="str">
        <f>TEXT(Base_de_Dados[[#This Row],[Semana]],"Mmmm")</f>
        <v>abril</v>
      </c>
      <c r="F788">
        <f t="shared" si="12"/>
        <v>2023</v>
      </c>
      <c r="G788" t="str">
        <f>IF(MONTH(Base_de_Dados[[#This Row],[Semana]])&lt;=6,"1ª Semestre","2ª Semestre")</f>
        <v>1ª Semestre</v>
      </c>
    </row>
    <row r="789" spans="1:7" x14ac:dyDescent="0.25">
      <c r="A789" t="s">
        <v>118</v>
      </c>
      <c r="B789">
        <v>0</v>
      </c>
      <c r="C789" s="3">
        <v>0</v>
      </c>
      <c r="D789" s="58">
        <v>45026</v>
      </c>
      <c r="E789" s="58" t="str">
        <f>TEXT(Base_de_Dados[[#This Row],[Semana]],"Mmmm")</f>
        <v>abril</v>
      </c>
      <c r="F789">
        <f t="shared" si="12"/>
        <v>2023</v>
      </c>
      <c r="G789" t="str">
        <f>IF(MONTH(Base_de_Dados[[#This Row],[Semana]])&lt;=6,"1ª Semestre","2ª Semestre")</f>
        <v>1ª Semestre</v>
      </c>
    </row>
    <row r="790" spans="1:7" x14ac:dyDescent="0.25">
      <c r="A790" t="s">
        <v>10</v>
      </c>
      <c r="B790">
        <v>0</v>
      </c>
      <c r="C790" s="3">
        <v>0</v>
      </c>
      <c r="D790" s="58">
        <v>45026</v>
      </c>
      <c r="E790" s="58" t="str">
        <f>TEXT(Base_de_Dados[[#This Row],[Semana]],"Mmmm")</f>
        <v>abril</v>
      </c>
      <c r="F790">
        <f t="shared" si="12"/>
        <v>2023</v>
      </c>
      <c r="G790" t="str">
        <f>IF(MONTH(Base_de_Dados[[#This Row],[Semana]])&lt;=6,"1ª Semestre","2ª Semestre")</f>
        <v>1ª Semestre</v>
      </c>
    </row>
    <row r="791" spans="1:7" x14ac:dyDescent="0.25">
      <c r="A791" t="s">
        <v>34</v>
      </c>
      <c r="B791">
        <v>0</v>
      </c>
      <c r="C791" s="3">
        <v>0</v>
      </c>
      <c r="D791" s="58">
        <v>45026</v>
      </c>
      <c r="E791" s="58" t="str">
        <f>TEXT(Base_de_Dados[[#This Row],[Semana]],"Mmmm")</f>
        <v>abril</v>
      </c>
      <c r="F791">
        <f t="shared" si="12"/>
        <v>2023</v>
      </c>
      <c r="G791" t="str">
        <f>IF(MONTH(Base_de_Dados[[#This Row],[Semana]])&lt;=6,"1ª Semestre","2ª Semestre")</f>
        <v>1ª Semestre</v>
      </c>
    </row>
    <row r="792" spans="1:7" x14ac:dyDescent="0.25">
      <c r="A792" t="s">
        <v>12</v>
      </c>
      <c r="B792">
        <v>0</v>
      </c>
      <c r="C792" s="3">
        <v>0</v>
      </c>
      <c r="D792" s="58">
        <v>45026</v>
      </c>
      <c r="E792" s="58" t="str">
        <f>TEXT(Base_de_Dados[[#This Row],[Semana]],"Mmmm")</f>
        <v>abril</v>
      </c>
      <c r="F792">
        <f t="shared" si="12"/>
        <v>2023</v>
      </c>
      <c r="G792" t="str">
        <f>IF(MONTH(Base_de_Dados[[#This Row],[Semana]])&lt;=6,"1ª Semestre","2ª Semestre")</f>
        <v>1ª Semestre</v>
      </c>
    </row>
    <row r="793" spans="1:7" x14ac:dyDescent="0.25">
      <c r="A793" t="s">
        <v>13</v>
      </c>
      <c r="B793">
        <v>0</v>
      </c>
      <c r="C793" s="3">
        <v>0</v>
      </c>
      <c r="D793" s="58">
        <v>45026</v>
      </c>
      <c r="E793" s="58" t="str">
        <f>TEXT(Base_de_Dados[[#This Row],[Semana]],"Mmmm")</f>
        <v>abril</v>
      </c>
      <c r="F793">
        <f t="shared" si="12"/>
        <v>2023</v>
      </c>
      <c r="G793" t="str">
        <f>IF(MONTH(Base_de_Dados[[#This Row],[Semana]])&lt;=6,"1ª Semestre","2ª Semestre")</f>
        <v>1ª Semestre</v>
      </c>
    </row>
    <row r="794" spans="1:7" x14ac:dyDescent="0.25">
      <c r="A794" t="s">
        <v>121</v>
      </c>
      <c r="B794">
        <v>2</v>
      </c>
      <c r="C794" s="3">
        <v>0.33333333333333331</v>
      </c>
      <c r="D794" s="58">
        <v>45026</v>
      </c>
      <c r="E794" s="58" t="str">
        <f>TEXT(Base_de_Dados[[#This Row],[Semana]],"Mmmm")</f>
        <v>abril</v>
      </c>
      <c r="F794">
        <f t="shared" si="12"/>
        <v>2023</v>
      </c>
      <c r="G794" t="str">
        <f>IF(MONTH(Base_de_Dados[[#This Row],[Semana]])&lt;=6,"1ª Semestre","2ª Semestre")</f>
        <v>1ª Semestre</v>
      </c>
    </row>
    <row r="795" spans="1:7" x14ac:dyDescent="0.25">
      <c r="A795" t="s">
        <v>15</v>
      </c>
      <c r="B795">
        <v>2</v>
      </c>
      <c r="C795" s="3">
        <v>0.33333333333333331</v>
      </c>
      <c r="D795" s="58">
        <v>45026</v>
      </c>
      <c r="E795" s="58" t="str">
        <f>TEXT(Base_de_Dados[[#This Row],[Semana]],"Mmmm")</f>
        <v>abril</v>
      </c>
      <c r="F795">
        <f t="shared" si="12"/>
        <v>2023</v>
      </c>
      <c r="G795" t="str">
        <f>IF(MONTH(Base_de_Dados[[#This Row],[Semana]])&lt;=6,"1ª Semestre","2ª Semestre")</f>
        <v>1ª Semestre</v>
      </c>
    </row>
    <row r="796" spans="1:7" x14ac:dyDescent="0.25">
      <c r="A796" t="s">
        <v>16</v>
      </c>
      <c r="B796">
        <v>0</v>
      </c>
      <c r="C796" s="3">
        <v>0</v>
      </c>
      <c r="D796" s="58">
        <v>45026</v>
      </c>
      <c r="E796" s="58" t="str">
        <f>TEXT(Base_de_Dados[[#This Row],[Semana]],"Mmmm")</f>
        <v>abril</v>
      </c>
      <c r="F796">
        <f t="shared" si="12"/>
        <v>2023</v>
      </c>
      <c r="G796" t="str">
        <f>IF(MONTH(Base_de_Dados[[#This Row],[Semana]])&lt;=6,"1ª Semestre","2ª Semestre")</f>
        <v>1ª Semestre</v>
      </c>
    </row>
    <row r="797" spans="1:7" x14ac:dyDescent="0.25">
      <c r="A797" t="s">
        <v>166</v>
      </c>
      <c r="B797">
        <v>0</v>
      </c>
      <c r="C797" s="3">
        <v>0</v>
      </c>
      <c r="D797" s="58">
        <v>45026</v>
      </c>
      <c r="E797" s="58" t="str">
        <f>TEXT(Base_de_Dados[[#This Row],[Semana]],"Mmmm")</f>
        <v>abril</v>
      </c>
      <c r="F797">
        <f t="shared" si="12"/>
        <v>2023</v>
      </c>
      <c r="G797" t="str">
        <f>IF(MONTH(Base_de_Dados[[#This Row],[Semana]])&lt;=6,"1ª Semestre","2ª Semestre")</f>
        <v>1ª Semestre</v>
      </c>
    </row>
    <row r="798" spans="1:7" x14ac:dyDescent="0.25">
      <c r="A798" t="s">
        <v>168</v>
      </c>
      <c r="B798">
        <v>0</v>
      </c>
      <c r="C798" s="3">
        <v>0</v>
      </c>
      <c r="D798" s="58">
        <v>45026</v>
      </c>
      <c r="E798" s="58" t="str">
        <f>TEXT(Base_de_Dados[[#This Row],[Semana]],"Mmmm")</f>
        <v>abril</v>
      </c>
      <c r="F798">
        <f t="shared" si="12"/>
        <v>2023</v>
      </c>
      <c r="G798" t="str">
        <f>IF(MONTH(Base_de_Dados[[#This Row],[Semana]])&lt;=6,"1ª Semestre","2ª Semestre")</f>
        <v>1ª Semestre</v>
      </c>
    </row>
    <row r="799" spans="1:7" x14ac:dyDescent="0.25">
      <c r="A799" t="s">
        <v>176</v>
      </c>
      <c r="B799">
        <v>0</v>
      </c>
      <c r="C799" s="3">
        <v>0</v>
      </c>
      <c r="D799" s="58">
        <v>45026</v>
      </c>
      <c r="E799" s="58" t="str">
        <f>TEXT(Base_de_Dados[[#This Row],[Semana]],"Mmmm")</f>
        <v>abril</v>
      </c>
      <c r="F799">
        <f t="shared" si="12"/>
        <v>2023</v>
      </c>
      <c r="G799" t="str">
        <f>IF(MONTH(Base_de_Dados[[#This Row],[Semana]])&lt;=6,"1ª Semestre","2ª Semestre")</f>
        <v>1ª Semestre</v>
      </c>
    </row>
    <row r="800" spans="1:7" x14ac:dyDescent="0.25">
      <c r="A800" t="s">
        <v>173</v>
      </c>
      <c r="B800">
        <v>0</v>
      </c>
      <c r="C800" s="3">
        <v>0</v>
      </c>
      <c r="D800" s="58">
        <v>45026</v>
      </c>
      <c r="E800" s="58" t="str">
        <f>TEXT(Base_de_Dados[[#This Row],[Semana]],"Mmmm")</f>
        <v>abril</v>
      </c>
      <c r="F800">
        <f t="shared" si="12"/>
        <v>2023</v>
      </c>
      <c r="G800" t="str">
        <f>IF(MONTH(Base_de_Dados[[#This Row],[Semana]])&lt;=6,"1ª Semestre","2ª Semestre")</f>
        <v>1ª Semestre</v>
      </c>
    </row>
    <row r="801" spans="1:7" x14ac:dyDescent="0.25">
      <c r="A801" t="s">
        <v>4</v>
      </c>
      <c r="B801">
        <v>0</v>
      </c>
      <c r="C801" s="3">
        <v>0</v>
      </c>
      <c r="D801" s="58">
        <v>45033</v>
      </c>
      <c r="E801" s="58" t="str">
        <f>TEXT(Base_de_Dados[[#This Row],[Semana]],"Mmmm")</f>
        <v>abril</v>
      </c>
      <c r="F801">
        <f t="shared" si="12"/>
        <v>2023</v>
      </c>
      <c r="G801" t="str">
        <f>IF(MONTH(Base_de_Dados[[#This Row],[Semana]])&lt;=6,"1ª Semestre","2ª Semestre")</f>
        <v>1ª Semestre</v>
      </c>
    </row>
    <row r="802" spans="1:7" x14ac:dyDescent="0.25">
      <c r="A802" t="s">
        <v>5</v>
      </c>
      <c r="B802">
        <v>0</v>
      </c>
      <c r="C802" s="3">
        <v>0</v>
      </c>
      <c r="D802" s="58">
        <v>45033</v>
      </c>
      <c r="E802" s="58" t="str">
        <f>TEXT(Base_de_Dados[[#This Row],[Semana]],"Mmmm")</f>
        <v>abril</v>
      </c>
      <c r="F802">
        <f t="shared" si="12"/>
        <v>2023</v>
      </c>
      <c r="G802" t="str">
        <f>IF(MONTH(Base_de_Dados[[#This Row],[Semana]])&lt;=6,"1ª Semestre","2ª Semestre")</f>
        <v>1ª Semestre</v>
      </c>
    </row>
    <row r="803" spans="1:7" x14ac:dyDescent="0.25">
      <c r="A803" t="s">
        <v>127</v>
      </c>
      <c r="B803">
        <v>0</v>
      </c>
      <c r="C803" s="3">
        <v>0</v>
      </c>
      <c r="D803" s="58">
        <v>45033</v>
      </c>
      <c r="E803" s="58" t="str">
        <f>TEXT(Base_de_Dados[[#This Row],[Semana]],"Mmmm")</f>
        <v>abril</v>
      </c>
      <c r="F803">
        <f t="shared" si="12"/>
        <v>2023</v>
      </c>
      <c r="G803" t="str">
        <f>IF(MONTH(Base_de_Dados[[#This Row],[Semana]])&lt;=6,"1ª Semestre","2ª Semestre")</f>
        <v>1ª Semestre</v>
      </c>
    </row>
    <row r="804" spans="1:7" x14ac:dyDescent="0.25">
      <c r="A804" t="s">
        <v>7</v>
      </c>
      <c r="B804">
        <v>0</v>
      </c>
      <c r="C804" s="3">
        <v>0</v>
      </c>
      <c r="D804" s="58">
        <v>45033</v>
      </c>
      <c r="E804" s="58" t="str">
        <f>TEXT(Base_de_Dados[[#This Row],[Semana]],"Mmmm")</f>
        <v>abril</v>
      </c>
      <c r="F804">
        <f t="shared" si="12"/>
        <v>2023</v>
      </c>
      <c r="G804" t="str">
        <f>IF(MONTH(Base_de_Dados[[#This Row],[Semana]])&lt;=6,"1ª Semestre","2ª Semestre")</f>
        <v>1ª Semestre</v>
      </c>
    </row>
    <row r="805" spans="1:7" x14ac:dyDescent="0.25">
      <c r="A805" t="s">
        <v>30</v>
      </c>
      <c r="B805">
        <v>0</v>
      </c>
      <c r="C805" s="3">
        <v>0</v>
      </c>
      <c r="D805" s="58">
        <v>45033</v>
      </c>
      <c r="E805" s="58" t="str">
        <f>TEXT(Base_de_Dados[[#This Row],[Semana]],"Mmmm")</f>
        <v>abril</v>
      </c>
      <c r="F805">
        <f t="shared" si="12"/>
        <v>2023</v>
      </c>
      <c r="G805" t="str">
        <f>IF(MONTH(Base_de_Dados[[#This Row],[Semana]])&lt;=6,"1ª Semestre","2ª Semestre")</f>
        <v>1ª Semestre</v>
      </c>
    </row>
    <row r="806" spans="1:7" x14ac:dyDescent="0.25">
      <c r="A806" t="s">
        <v>118</v>
      </c>
      <c r="B806">
        <v>0</v>
      </c>
      <c r="C806" s="3">
        <v>0</v>
      </c>
      <c r="D806" s="58">
        <v>45033</v>
      </c>
      <c r="E806" s="58" t="str">
        <f>TEXT(Base_de_Dados[[#This Row],[Semana]],"Mmmm")</f>
        <v>abril</v>
      </c>
      <c r="F806">
        <f t="shared" si="12"/>
        <v>2023</v>
      </c>
      <c r="G806" t="str">
        <f>IF(MONTH(Base_de_Dados[[#This Row],[Semana]])&lt;=6,"1ª Semestre","2ª Semestre")</f>
        <v>1ª Semestre</v>
      </c>
    </row>
    <row r="807" spans="1:7" x14ac:dyDescent="0.25">
      <c r="A807" t="s">
        <v>10</v>
      </c>
      <c r="B807">
        <v>0</v>
      </c>
      <c r="C807" s="3">
        <v>0</v>
      </c>
      <c r="D807" s="58">
        <v>45033</v>
      </c>
      <c r="E807" s="58" t="str">
        <f>TEXT(Base_de_Dados[[#This Row],[Semana]],"Mmmm")</f>
        <v>abril</v>
      </c>
      <c r="F807">
        <f t="shared" si="12"/>
        <v>2023</v>
      </c>
      <c r="G807" t="str">
        <f>IF(MONTH(Base_de_Dados[[#This Row],[Semana]])&lt;=6,"1ª Semestre","2ª Semestre")</f>
        <v>1ª Semestre</v>
      </c>
    </row>
    <row r="808" spans="1:7" x14ac:dyDescent="0.25">
      <c r="A808" t="s">
        <v>34</v>
      </c>
      <c r="B808">
        <v>0</v>
      </c>
      <c r="C808" s="3">
        <v>0</v>
      </c>
      <c r="D808" s="58">
        <v>45033</v>
      </c>
      <c r="E808" s="58" t="str">
        <f>TEXT(Base_de_Dados[[#This Row],[Semana]],"Mmmm")</f>
        <v>abril</v>
      </c>
      <c r="F808">
        <f t="shared" si="12"/>
        <v>2023</v>
      </c>
      <c r="G808" t="str">
        <f>IF(MONTH(Base_de_Dados[[#This Row],[Semana]])&lt;=6,"1ª Semestre","2ª Semestre")</f>
        <v>1ª Semestre</v>
      </c>
    </row>
    <row r="809" spans="1:7" x14ac:dyDescent="0.25">
      <c r="A809" t="s">
        <v>12</v>
      </c>
      <c r="B809">
        <v>0</v>
      </c>
      <c r="C809" s="3">
        <v>0</v>
      </c>
      <c r="D809" s="58">
        <v>45033</v>
      </c>
      <c r="E809" s="58" t="str">
        <f>TEXT(Base_de_Dados[[#This Row],[Semana]],"Mmmm")</f>
        <v>abril</v>
      </c>
      <c r="F809">
        <f t="shared" si="12"/>
        <v>2023</v>
      </c>
      <c r="G809" t="str">
        <f>IF(MONTH(Base_de_Dados[[#This Row],[Semana]])&lt;=6,"1ª Semestre","2ª Semestre")</f>
        <v>1ª Semestre</v>
      </c>
    </row>
    <row r="810" spans="1:7" x14ac:dyDescent="0.25">
      <c r="A810" t="s">
        <v>13</v>
      </c>
      <c r="B810">
        <v>0</v>
      </c>
      <c r="C810" s="3">
        <v>0</v>
      </c>
      <c r="D810" s="58">
        <v>45033</v>
      </c>
      <c r="E810" s="58" t="str">
        <f>TEXT(Base_de_Dados[[#This Row],[Semana]],"Mmmm")</f>
        <v>abril</v>
      </c>
      <c r="F810">
        <f t="shared" si="12"/>
        <v>2023</v>
      </c>
      <c r="G810" t="str">
        <f>IF(MONTH(Base_de_Dados[[#This Row],[Semana]])&lt;=6,"1ª Semestre","2ª Semestre")</f>
        <v>1ª Semestre</v>
      </c>
    </row>
    <row r="811" spans="1:7" x14ac:dyDescent="0.25">
      <c r="A811" t="s">
        <v>121</v>
      </c>
      <c r="B811">
        <v>2</v>
      </c>
      <c r="C811" s="3">
        <v>0.08</v>
      </c>
      <c r="D811" s="58">
        <v>45033</v>
      </c>
      <c r="E811" s="58" t="str">
        <f>TEXT(Base_de_Dados[[#This Row],[Semana]],"Mmmm")</f>
        <v>abril</v>
      </c>
      <c r="F811">
        <f t="shared" si="12"/>
        <v>2023</v>
      </c>
      <c r="G811" t="str">
        <f>IF(MONTH(Base_de_Dados[[#This Row],[Semana]])&lt;=6,"1ª Semestre","2ª Semestre")</f>
        <v>1ª Semestre</v>
      </c>
    </row>
    <row r="812" spans="1:7" x14ac:dyDescent="0.25">
      <c r="A812" t="s">
        <v>15</v>
      </c>
      <c r="B812">
        <v>23</v>
      </c>
      <c r="C812" s="3">
        <v>0.92</v>
      </c>
      <c r="D812" s="58">
        <v>45033</v>
      </c>
      <c r="E812" s="58" t="str">
        <f>TEXT(Base_de_Dados[[#This Row],[Semana]],"Mmmm")</f>
        <v>abril</v>
      </c>
      <c r="F812">
        <f t="shared" si="12"/>
        <v>2023</v>
      </c>
      <c r="G812" t="str">
        <f>IF(MONTH(Base_de_Dados[[#This Row],[Semana]])&lt;=6,"1ª Semestre","2ª Semestre")</f>
        <v>1ª Semestre</v>
      </c>
    </row>
    <row r="813" spans="1:7" x14ac:dyDescent="0.25">
      <c r="A813" t="s">
        <v>16</v>
      </c>
      <c r="B813">
        <v>0</v>
      </c>
      <c r="C813" s="3">
        <v>0</v>
      </c>
      <c r="D813" s="58">
        <v>45033</v>
      </c>
      <c r="E813" s="58" t="str">
        <f>TEXT(Base_de_Dados[[#This Row],[Semana]],"Mmmm")</f>
        <v>abril</v>
      </c>
      <c r="F813">
        <f t="shared" si="12"/>
        <v>2023</v>
      </c>
      <c r="G813" t="str">
        <f>IF(MONTH(Base_de_Dados[[#This Row],[Semana]])&lt;=6,"1ª Semestre","2ª Semestre")</f>
        <v>1ª Semestre</v>
      </c>
    </row>
    <row r="814" spans="1:7" x14ac:dyDescent="0.25">
      <c r="A814" t="s">
        <v>166</v>
      </c>
      <c r="B814">
        <v>0</v>
      </c>
      <c r="C814" s="3">
        <v>0</v>
      </c>
      <c r="D814" s="58">
        <v>45033</v>
      </c>
      <c r="E814" s="58" t="str">
        <f>TEXT(Base_de_Dados[[#This Row],[Semana]],"Mmmm")</f>
        <v>abril</v>
      </c>
      <c r="F814">
        <f t="shared" si="12"/>
        <v>2023</v>
      </c>
      <c r="G814" t="str">
        <f>IF(MONTH(Base_de_Dados[[#This Row],[Semana]])&lt;=6,"1ª Semestre","2ª Semestre")</f>
        <v>1ª Semestre</v>
      </c>
    </row>
    <row r="815" spans="1:7" x14ac:dyDescent="0.25">
      <c r="A815" t="s">
        <v>168</v>
      </c>
      <c r="B815">
        <v>0</v>
      </c>
      <c r="C815" s="3">
        <v>0</v>
      </c>
      <c r="D815" s="58">
        <v>45033</v>
      </c>
      <c r="E815" s="58" t="str">
        <f>TEXT(Base_de_Dados[[#This Row],[Semana]],"Mmmm")</f>
        <v>abril</v>
      </c>
      <c r="F815">
        <f t="shared" si="12"/>
        <v>2023</v>
      </c>
      <c r="G815" t="str">
        <f>IF(MONTH(Base_de_Dados[[#This Row],[Semana]])&lt;=6,"1ª Semestre","2ª Semestre")</f>
        <v>1ª Semestre</v>
      </c>
    </row>
    <row r="816" spans="1:7" x14ac:dyDescent="0.25">
      <c r="A816" t="s">
        <v>176</v>
      </c>
      <c r="B816">
        <v>0</v>
      </c>
      <c r="C816" s="3">
        <v>0</v>
      </c>
      <c r="D816" s="58">
        <v>45033</v>
      </c>
      <c r="E816" s="58" t="str">
        <f>TEXT(Base_de_Dados[[#This Row],[Semana]],"Mmmm")</f>
        <v>abril</v>
      </c>
      <c r="F816">
        <f t="shared" si="12"/>
        <v>2023</v>
      </c>
      <c r="G816" t="str">
        <f>IF(MONTH(Base_de_Dados[[#This Row],[Semana]])&lt;=6,"1ª Semestre","2ª Semestre")</f>
        <v>1ª Semestre</v>
      </c>
    </row>
    <row r="817" spans="1:7" x14ac:dyDescent="0.25">
      <c r="A817" t="s">
        <v>173</v>
      </c>
      <c r="B817">
        <v>0</v>
      </c>
      <c r="C817" s="3">
        <v>0</v>
      </c>
      <c r="D817" s="58">
        <v>45033</v>
      </c>
      <c r="E817" s="58" t="str">
        <f>TEXT(Base_de_Dados[[#This Row],[Semana]],"Mmmm")</f>
        <v>abril</v>
      </c>
      <c r="F817">
        <f t="shared" si="12"/>
        <v>2023</v>
      </c>
      <c r="G817" t="str">
        <f>IF(MONTH(Base_de_Dados[[#This Row],[Semana]])&lt;=6,"1ª Semestre","2ª Semestre")</f>
        <v>1ª Semestre</v>
      </c>
    </row>
    <row r="818" spans="1:7" x14ac:dyDescent="0.25">
      <c r="A818" t="s">
        <v>4</v>
      </c>
      <c r="B818">
        <v>1</v>
      </c>
      <c r="C818" s="3">
        <v>5.8823529411764705E-2</v>
      </c>
      <c r="D818" s="58">
        <v>45040</v>
      </c>
      <c r="E818" s="58" t="str">
        <f>TEXT(Base_de_Dados[[#This Row],[Semana]],"Mmmm")</f>
        <v>abril</v>
      </c>
      <c r="F818">
        <f t="shared" si="12"/>
        <v>2023</v>
      </c>
      <c r="G818" t="str">
        <f>IF(MONTH(Base_de_Dados[[#This Row],[Semana]])&lt;=6,"1ª Semestre","2ª Semestre")</f>
        <v>1ª Semestre</v>
      </c>
    </row>
    <row r="819" spans="1:7" x14ac:dyDescent="0.25">
      <c r="A819" t="s">
        <v>5</v>
      </c>
      <c r="B819">
        <v>0</v>
      </c>
      <c r="C819" s="3">
        <v>0</v>
      </c>
      <c r="D819" s="58">
        <v>45040</v>
      </c>
      <c r="E819" s="58" t="str">
        <f>TEXT(Base_de_Dados[[#This Row],[Semana]],"Mmmm")</f>
        <v>abril</v>
      </c>
      <c r="F819">
        <f t="shared" si="12"/>
        <v>2023</v>
      </c>
      <c r="G819" t="str">
        <f>IF(MONTH(Base_de_Dados[[#This Row],[Semana]])&lt;=6,"1ª Semestre","2ª Semestre")</f>
        <v>1ª Semestre</v>
      </c>
    </row>
    <row r="820" spans="1:7" x14ac:dyDescent="0.25">
      <c r="A820" t="s">
        <v>127</v>
      </c>
      <c r="B820">
        <v>0</v>
      </c>
      <c r="C820" s="3">
        <v>0</v>
      </c>
      <c r="D820" s="58">
        <v>45040</v>
      </c>
      <c r="E820" s="58" t="str">
        <f>TEXT(Base_de_Dados[[#This Row],[Semana]],"Mmmm")</f>
        <v>abril</v>
      </c>
      <c r="F820">
        <f t="shared" si="12"/>
        <v>2023</v>
      </c>
      <c r="G820" t="str">
        <f>IF(MONTH(Base_de_Dados[[#This Row],[Semana]])&lt;=6,"1ª Semestre","2ª Semestre")</f>
        <v>1ª Semestre</v>
      </c>
    </row>
    <row r="821" spans="1:7" x14ac:dyDescent="0.25">
      <c r="A821" t="s">
        <v>7</v>
      </c>
      <c r="B821">
        <v>0</v>
      </c>
      <c r="C821" s="3">
        <v>0</v>
      </c>
      <c r="D821" s="58">
        <v>45040</v>
      </c>
      <c r="E821" s="58" t="str">
        <f>TEXT(Base_de_Dados[[#This Row],[Semana]],"Mmmm")</f>
        <v>abril</v>
      </c>
      <c r="F821">
        <f t="shared" si="12"/>
        <v>2023</v>
      </c>
      <c r="G821" t="str">
        <f>IF(MONTH(Base_de_Dados[[#This Row],[Semana]])&lt;=6,"1ª Semestre","2ª Semestre")</f>
        <v>1ª Semestre</v>
      </c>
    </row>
    <row r="822" spans="1:7" x14ac:dyDescent="0.25">
      <c r="A822" t="s">
        <v>30</v>
      </c>
      <c r="B822">
        <v>0</v>
      </c>
      <c r="C822" s="3">
        <v>0</v>
      </c>
      <c r="D822" s="58">
        <v>45040</v>
      </c>
      <c r="E822" s="58" t="str">
        <f>TEXT(Base_de_Dados[[#This Row],[Semana]],"Mmmm")</f>
        <v>abril</v>
      </c>
      <c r="F822">
        <f t="shared" si="12"/>
        <v>2023</v>
      </c>
      <c r="G822" t="str">
        <f>IF(MONTH(Base_de_Dados[[#This Row],[Semana]])&lt;=6,"1ª Semestre","2ª Semestre")</f>
        <v>1ª Semestre</v>
      </c>
    </row>
    <row r="823" spans="1:7" x14ac:dyDescent="0.25">
      <c r="A823" t="s">
        <v>118</v>
      </c>
      <c r="B823">
        <v>0</v>
      </c>
      <c r="C823" s="3">
        <v>0</v>
      </c>
      <c r="D823" s="58">
        <v>45040</v>
      </c>
      <c r="E823" s="58" t="str">
        <f>TEXT(Base_de_Dados[[#This Row],[Semana]],"Mmmm")</f>
        <v>abril</v>
      </c>
      <c r="F823">
        <f t="shared" si="12"/>
        <v>2023</v>
      </c>
      <c r="G823" t="str">
        <f>IF(MONTH(Base_de_Dados[[#This Row],[Semana]])&lt;=6,"1ª Semestre","2ª Semestre")</f>
        <v>1ª Semestre</v>
      </c>
    </row>
    <row r="824" spans="1:7" x14ac:dyDescent="0.25">
      <c r="A824" t="s">
        <v>10</v>
      </c>
      <c r="B824">
        <v>1</v>
      </c>
      <c r="C824" s="3">
        <v>5.8823529411764705E-2</v>
      </c>
      <c r="D824" s="58">
        <v>45040</v>
      </c>
      <c r="E824" s="58" t="str">
        <f>TEXT(Base_de_Dados[[#This Row],[Semana]],"Mmmm")</f>
        <v>abril</v>
      </c>
      <c r="F824">
        <f t="shared" si="12"/>
        <v>2023</v>
      </c>
      <c r="G824" t="str">
        <f>IF(MONTH(Base_de_Dados[[#This Row],[Semana]])&lt;=6,"1ª Semestre","2ª Semestre")</f>
        <v>1ª Semestre</v>
      </c>
    </row>
    <row r="825" spans="1:7" x14ac:dyDescent="0.25">
      <c r="A825" t="s">
        <v>34</v>
      </c>
      <c r="B825">
        <v>0</v>
      </c>
      <c r="C825" s="3">
        <v>0</v>
      </c>
      <c r="D825" s="58">
        <v>45040</v>
      </c>
      <c r="E825" s="58" t="str">
        <f>TEXT(Base_de_Dados[[#This Row],[Semana]],"Mmmm")</f>
        <v>abril</v>
      </c>
      <c r="F825">
        <f t="shared" si="12"/>
        <v>2023</v>
      </c>
      <c r="G825" t="str">
        <f>IF(MONTH(Base_de_Dados[[#This Row],[Semana]])&lt;=6,"1ª Semestre","2ª Semestre")</f>
        <v>1ª Semestre</v>
      </c>
    </row>
    <row r="826" spans="1:7" x14ac:dyDescent="0.25">
      <c r="A826" t="s">
        <v>12</v>
      </c>
      <c r="B826">
        <v>0</v>
      </c>
      <c r="C826" s="3">
        <v>0</v>
      </c>
      <c r="D826" s="58">
        <v>45040</v>
      </c>
      <c r="E826" s="58" t="str">
        <f>TEXT(Base_de_Dados[[#This Row],[Semana]],"Mmmm")</f>
        <v>abril</v>
      </c>
      <c r="F826">
        <f t="shared" si="12"/>
        <v>2023</v>
      </c>
      <c r="G826" t="str">
        <f>IF(MONTH(Base_de_Dados[[#This Row],[Semana]])&lt;=6,"1ª Semestre","2ª Semestre")</f>
        <v>1ª Semestre</v>
      </c>
    </row>
    <row r="827" spans="1:7" x14ac:dyDescent="0.25">
      <c r="A827" t="s">
        <v>13</v>
      </c>
      <c r="B827">
        <v>0</v>
      </c>
      <c r="C827" s="3">
        <v>0</v>
      </c>
      <c r="D827" s="58">
        <v>45040</v>
      </c>
      <c r="E827" s="58" t="str">
        <f>TEXT(Base_de_Dados[[#This Row],[Semana]],"Mmmm")</f>
        <v>abril</v>
      </c>
      <c r="F827">
        <f t="shared" si="12"/>
        <v>2023</v>
      </c>
      <c r="G827" t="str">
        <f>IF(MONTH(Base_de_Dados[[#This Row],[Semana]])&lt;=6,"1ª Semestre","2ª Semestre")</f>
        <v>1ª Semestre</v>
      </c>
    </row>
    <row r="828" spans="1:7" x14ac:dyDescent="0.25">
      <c r="A828" t="s">
        <v>121</v>
      </c>
      <c r="B828">
        <v>3</v>
      </c>
      <c r="C828" s="3">
        <v>0.17647058823529413</v>
      </c>
      <c r="D828" s="58">
        <v>45040</v>
      </c>
      <c r="E828" s="58" t="str">
        <f>TEXT(Base_de_Dados[[#This Row],[Semana]],"Mmmm")</f>
        <v>abril</v>
      </c>
      <c r="F828">
        <f t="shared" si="12"/>
        <v>2023</v>
      </c>
      <c r="G828" t="str">
        <f>IF(MONTH(Base_de_Dados[[#This Row],[Semana]])&lt;=6,"1ª Semestre","2ª Semestre")</f>
        <v>1ª Semestre</v>
      </c>
    </row>
    <row r="829" spans="1:7" x14ac:dyDescent="0.25">
      <c r="A829" t="s">
        <v>15</v>
      </c>
      <c r="B829">
        <v>12</v>
      </c>
      <c r="C829" s="3">
        <v>0.70588235294117652</v>
      </c>
      <c r="D829" s="58">
        <v>45040</v>
      </c>
      <c r="E829" s="58" t="str">
        <f>TEXT(Base_de_Dados[[#This Row],[Semana]],"Mmmm")</f>
        <v>abril</v>
      </c>
      <c r="F829">
        <f t="shared" si="12"/>
        <v>2023</v>
      </c>
      <c r="G829" t="str">
        <f>IF(MONTH(Base_de_Dados[[#This Row],[Semana]])&lt;=6,"1ª Semestre","2ª Semestre")</f>
        <v>1ª Semestre</v>
      </c>
    </row>
    <row r="830" spans="1:7" x14ac:dyDescent="0.25">
      <c r="A830" t="s">
        <v>16</v>
      </c>
      <c r="B830">
        <v>0</v>
      </c>
      <c r="C830" s="3">
        <v>0</v>
      </c>
      <c r="D830" s="58">
        <v>45040</v>
      </c>
      <c r="E830" s="58" t="str">
        <f>TEXT(Base_de_Dados[[#This Row],[Semana]],"Mmmm")</f>
        <v>abril</v>
      </c>
      <c r="F830">
        <f t="shared" si="12"/>
        <v>2023</v>
      </c>
      <c r="G830" t="str">
        <f>IF(MONTH(Base_de_Dados[[#This Row],[Semana]])&lt;=6,"1ª Semestre","2ª Semestre")</f>
        <v>1ª Semestre</v>
      </c>
    </row>
    <row r="831" spans="1:7" x14ac:dyDescent="0.25">
      <c r="A831" t="s">
        <v>166</v>
      </c>
      <c r="B831">
        <v>0</v>
      </c>
      <c r="C831" s="3">
        <v>0</v>
      </c>
      <c r="D831" s="58">
        <v>45040</v>
      </c>
      <c r="E831" s="58" t="str">
        <f>TEXT(Base_de_Dados[[#This Row],[Semana]],"Mmmm")</f>
        <v>abril</v>
      </c>
      <c r="F831">
        <f t="shared" si="12"/>
        <v>2023</v>
      </c>
      <c r="G831" t="str">
        <f>IF(MONTH(Base_de_Dados[[#This Row],[Semana]])&lt;=6,"1ª Semestre","2ª Semestre")</f>
        <v>1ª Semestre</v>
      </c>
    </row>
    <row r="832" spans="1:7" x14ac:dyDescent="0.25">
      <c r="A832" t="s">
        <v>168</v>
      </c>
      <c r="B832">
        <v>0</v>
      </c>
      <c r="C832" s="3">
        <v>0</v>
      </c>
      <c r="D832" s="58">
        <v>45040</v>
      </c>
      <c r="E832" s="58" t="str">
        <f>TEXT(Base_de_Dados[[#This Row],[Semana]],"Mmmm")</f>
        <v>abril</v>
      </c>
      <c r="F832">
        <f t="shared" si="12"/>
        <v>2023</v>
      </c>
      <c r="G832" t="str">
        <f>IF(MONTH(Base_de_Dados[[#This Row],[Semana]])&lt;=6,"1ª Semestre","2ª Semestre")</f>
        <v>1ª Semestre</v>
      </c>
    </row>
    <row r="833" spans="1:7" x14ac:dyDescent="0.25">
      <c r="A833" t="s">
        <v>176</v>
      </c>
      <c r="B833">
        <v>0</v>
      </c>
      <c r="C833" s="3">
        <v>0</v>
      </c>
      <c r="D833" s="58">
        <v>45040</v>
      </c>
      <c r="E833" s="58" t="str">
        <f>TEXT(Base_de_Dados[[#This Row],[Semana]],"Mmmm")</f>
        <v>abril</v>
      </c>
      <c r="F833">
        <f t="shared" si="12"/>
        <v>2023</v>
      </c>
      <c r="G833" t="str">
        <f>IF(MONTH(Base_de_Dados[[#This Row],[Semana]])&lt;=6,"1ª Semestre","2ª Semestre")</f>
        <v>1ª Semestre</v>
      </c>
    </row>
    <row r="834" spans="1:7" x14ac:dyDescent="0.25">
      <c r="A834" t="s">
        <v>173</v>
      </c>
      <c r="B834">
        <v>0</v>
      </c>
      <c r="C834" s="3">
        <v>0</v>
      </c>
      <c r="D834" s="58">
        <v>45040</v>
      </c>
      <c r="E834" s="58" t="str">
        <f>TEXT(Base_de_Dados[[#This Row],[Semana]],"Mmmm")</f>
        <v>abril</v>
      </c>
      <c r="F834">
        <f t="shared" si="12"/>
        <v>2023</v>
      </c>
      <c r="G834" t="str">
        <f>IF(MONTH(Base_de_Dados[[#This Row],[Semana]])&lt;=6,"1ª Semestre","2ª Semestre")</f>
        <v>1ª Semestre</v>
      </c>
    </row>
    <row r="835" spans="1:7" x14ac:dyDescent="0.25">
      <c r="A835" t="s">
        <v>4</v>
      </c>
      <c r="B835">
        <v>0</v>
      </c>
      <c r="C835" s="3">
        <v>0</v>
      </c>
      <c r="D835" s="58">
        <v>45047</v>
      </c>
      <c r="E835" s="58" t="str">
        <f>TEXT(Base_de_Dados[[#This Row],[Semana]],"Mmmm")</f>
        <v>maio</v>
      </c>
      <c r="F835">
        <f t="shared" ref="F835:F898" si="13">YEAR(D835)</f>
        <v>2023</v>
      </c>
      <c r="G835" t="str">
        <f>IF(MONTH(Base_de_Dados[[#This Row],[Semana]])&lt;=6,"1ª Semestre","2ª Semestre")</f>
        <v>1ª Semestre</v>
      </c>
    </row>
    <row r="836" spans="1:7" x14ac:dyDescent="0.25">
      <c r="A836" t="s">
        <v>5</v>
      </c>
      <c r="B836">
        <v>1</v>
      </c>
      <c r="C836" s="3">
        <v>0.05</v>
      </c>
      <c r="D836" s="58">
        <v>45047</v>
      </c>
      <c r="E836" s="58" t="str">
        <f>TEXT(Base_de_Dados[[#This Row],[Semana]],"Mmmm")</f>
        <v>maio</v>
      </c>
      <c r="F836">
        <f t="shared" si="13"/>
        <v>2023</v>
      </c>
      <c r="G836" t="str">
        <f>IF(MONTH(Base_de_Dados[[#This Row],[Semana]])&lt;=6,"1ª Semestre","2ª Semestre")</f>
        <v>1ª Semestre</v>
      </c>
    </row>
    <row r="837" spans="1:7" x14ac:dyDescent="0.25">
      <c r="A837" t="s">
        <v>127</v>
      </c>
      <c r="B837">
        <v>2</v>
      </c>
      <c r="C837" s="3">
        <v>0.1</v>
      </c>
      <c r="D837" s="58">
        <v>45047</v>
      </c>
      <c r="E837" s="58" t="str">
        <f>TEXT(Base_de_Dados[[#This Row],[Semana]],"Mmmm")</f>
        <v>maio</v>
      </c>
      <c r="F837">
        <f t="shared" si="13"/>
        <v>2023</v>
      </c>
      <c r="G837" t="str">
        <f>IF(MONTH(Base_de_Dados[[#This Row],[Semana]])&lt;=6,"1ª Semestre","2ª Semestre")</f>
        <v>1ª Semestre</v>
      </c>
    </row>
    <row r="838" spans="1:7" x14ac:dyDescent="0.25">
      <c r="A838" t="s">
        <v>7</v>
      </c>
      <c r="B838">
        <v>2</v>
      </c>
      <c r="C838" s="3">
        <v>0.1</v>
      </c>
      <c r="D838" s="58">
        <v>45047</v>
      </c>
      <c r="E838" s="58" t="str">
        <f>TEXT(Base_de_Dados[[#This Row],[Semana]],"Mmmm")</f>
        <v>maio</v>
      </c>
      <c r="F838">
        <f t="shared" si="13"/>
        <v>2023</v>
      </c>
      <c r="G838" t="str">
        <f>IF(MONTH(Base_de_Dados[[#This Row],[Semana]])&lt;=6,"1ª Semestre","2ª Semestre")</f>
        <v>1ª Semestre</v>
      </c>
    </row>
    <row r="839" spans="1:7" x14ac:dyDescent="0.25">
      <c r="A839" t="s">
        <v>30</v>
      </c>
      <c r="B839">
        <v>0</v>
      </c>
      <c r="C839" s="3">
        <v>0</v>
      </c>
      <c r="D839" s="58">
        <v>45047</v>
      </c>
      <c r="E839" s="58" t="str">
        <f>TEXT(Base_de_Dados[[#This Row],[Semana]],"Mmmm")</f>
        <v>maio</v>
      </c>
      <c r="F839">
        <f t="shared" si="13"/>
        <v>2023</v>
      </c>
      <c r="G839" t="str">
        <f>IF(MONTH(Base_de_Dados[[#This Row],[Semana]])&lt;=6,"1ª Semestre","2ª Semestre")</f>
        <v>1ª Semestre</v>
      </c>
    </row>
    <row r="840" spans="1:7" x14ac:dyDescent="0.25">
      <c r="A840" t="s">
        <v>118</v>
      </c>
      <c r="B840">
        <v>0</v>
      </c>
      <c r="C840" s="3">
        <v>0</v>
      </c>
      <c r="D840" s="58">
        <v>45047</v>
      </c>
      <c r="E840" s="58" t="str">
        <f>TEXT(Base_de_Dados[[#This Row],[Semana]],"Mmmm")</f>
        <v>maio</v>
      </c>
      <c r="F840">
        <f t="shared" si="13"/>
        <v>2023</v>
      </c>
      <c r="G840" t="str">
        <f>IF(MONTH(Base_de_Dados[[#This Row],[Semana]])&lt;=6,"1ª Semestre","2ª Semestre")</f>
        <v>1ª Semestre</v>
      </c>
    </row>
    <row r="841" spans="1:7" x14ac:dyDescent="0.25">
      <c r="A841" t="s">
        <v>10</v>
      </c>
      <c r="B841">
        <v>0</v>
      </c>
      <c r="C841" s="3">
        <v>0</v>
      </c>
      <c r="D841" s="58">
        <v>45047</v>
      </c>
      <c r="E841" s="58" t="str">
        <f>TEXT(Base_de_Dados[[#This Row],[Semana]],"Mmmm")</f>
        <v>maio</v>
      </c>
      <c r="F841">
        <f t="shared" si="13"/>
        <v>2023</v>
      </c>
      <c r="G841" t="str">
        <f>IF(MONTH(Base_de_Dados[[#This Row],[Semana]])&lt;=6,"1ª Semestre","2ª Semestre")</f>
        <v>1ª Semestre</v>
      </c>
    </row>
    <row r="842" spans="1:7" x14ac:dyDescent="0.25">
      <c r="A842" t="s">
        <v>34</v>
      </c>
      <c r="B842">
        <v>0</v>
      </c>
      <c r="C842" s="3">
        <v>0</v>
      </c>
      <c r="D842" s="58">
        <v>45047</v>
      </c>
      <c r="E842" s="58" t="str">
        <f>TEXT(Base_de_Dados[[#This Row],[Semana]],"Mmmm")</f>
        <v>maio</v>
      </c>
      <c r="F842">
        <f t="shared" si="13"/>
        <v>2023</v>
      </c>
      <c r="G842" t="str">
        <f>IF(MONTH(Base_de_Dados[[#This Row],[Semana]])&lt;=6,"1ª Semestre","2ª Semestre")</f>
        <v>1ª Semestre</v>
      </c>
    </row>
    <row r="843" spans="1:7" x14ac:dyDescent="0.25">
      <c r="A843" t="s">
        <v>12</v>
      </c>
      <c r="B843">
        <v>2</v>
      </c>
      <c r="C843" s="3">
        <v>0.1</v>
      </c>
      <c r="D843" s="58">
        <v>45047</v>
      </c>
      <c r="E843" s="58" t="str">
        <f>TEXT(Base_de_Dados[[#This Row],[Semana]],"Mmmm")</f>
        <v>maio</v>
      </c>
      <c r="F843">
        <f t="shared" si="13"/>
        <v>2023</v>
      </c>
      <c r="G843" t="str">
        <f>IF(MONTH(Base_de_Dados[[#This Row],[Semana]])&lt;=6,"1ª Semestre","2ª Semestre")</f>
        <v>1ª Semestre</v>
      </c>
    </row>
    <row r="844" spans="1:7" x14ac:dyDescent="0.25">
      <c r="A844" t="s">
        <v>13</v>
      </c>
      <c r="B844">
        <v>0</v>
      </c>
      <c r="C844" s="3">
        <v>0</v>
      </c>
      <c r="D844" s="58">
        <v>45047</v>
      </c>
      <c r="E844" s="58" t="str">
        <f>TEXT(Base_de_Dados[[#This Row],[Semana]],"Mmmm")</f>
        <v>maio</v>
      </c>
      <c r="F844">
        <f t="shared" si="13"/>
        <v>2023</v>
      </c>
      <c r="G844" t="str">
        <f>IF(MONTH(Base_de_Dados[[#This Row],[Semana]])&lt;=6,"1ª Semestre","2ª Semestre")</f>
        <v>1ª Semestre</v>
      </c>
    </row>
    <row r="845" spans="1:7" x14ac:dyDescent="0.25">
      <c r="A845" t="s">
        <v>121</v>
      </c>
      <c r="B845">
        <v>3</v>
      </c>
      <c r="C845" s="3">
        <v>0.15</v>
      </c>
      <c r="D845" s="58">
        <v>45047</v>
      </c>
      <c r="E845" s="58" t="str">
        <f>TEXT(Base_de_Dados[[#This Row],[Semana]],"Mmmm")</f>
        <v>maio</v>
      </c>
      <c r="F845">
        <f t="shared" si="13"/>
        <v>2023</v>
      </c>
      <c r="G845" t="str">
        <f>IF(MONTH(Base_de_Dados[[#This Row],[Semana]])&lt;=6,"1ª Semestre","2ª Semestre")</f>
        <v>1ª Semestre</v>
      </c>
    </row>
    <row r="846" spans="1:7" x14ac:dyDescent="0.25">
      <c r="A846" t="s">
        <v>15</v>
      </c>
      <c r="B846">
        <v>10</v>
      </c>
      <c r="C846" s="3">
        <v>0.5</v>
      </c>
      <c r="D846" s="58">
        <v>45047</v>
      </c>
      <c r="E846" s="58" t="str">
        <f>TEXT(Base_de_Dados[[#This Row],[Semana]],"Mmmm")</f>
        <v>maio</v>
      </c>
      <c r="F846">
        <f t="shared" si="13"/>
        <v>2023</v>
      </c>
      <c r="G846" t="str">
        <f>IF(MONTH(Base_de_Dados[[#This Row],[Semana]])&lt;=6,"1ª Semestre","2ª Semestre")</f>
        <v>1ª Semestre</v>
      </c>
    </row>
    <row r="847" spans="1:7" x14ac:dyDescent="0.25">
      <c r="A847" t="s">
        <v>16</v>
      </c>
      <c r="B847">
        <v>0</v>
      </c>
      <c r="C847" s="3">
        <v>0</v>
      </c>
      <c r="D847" s="58">
        <v>45047</v>
      </c>
      <c r="E847" s="58" t="str">
        <f>TEXT(Base_de_Dados[[#This Row],[Semana]],"Mmmm")</f>
        <v>maio</v>
      </c>
      <c r="F847">
        <f t="shared" si="13"/>
        <v>2023</v>
      </c>
      <c r="G847" t="str">
        <f>IF(MONTH(Base_de_Dados[[#This Row],[Semana]])&lt;=6,"1ª Semestre","2ª Semestre")</f>
        <v>1ª Semestre</v>
      </c>
    </row>
    <row r="848" spans="1:7" x14ac:dyDescent="0.25">
      <c r="A848" t="s">
        <v>166</v>
      </c>
      <c r="B848">
        <v>0</v>
      </c>
      <c r="C848" s="3">
        <v>0</v>
      </c>
      <c r="D848" s="58">
        <v>45047</v>
      </c>
      <c r="E848" s="58" t="str">
        <f>TEXT(Base_de_Dados[[#This Row],[Semana]],"Mmmm")</f>
        <v>maio</v>
      </c>
      <c r="F848">
        <f t="shared" si="13"/>
        <v>2023</v>
      </c>
      <c r="G848" t="str">
        <f>IF(MONTH(Base_de_Dados[[#This Row],[Semana]])&lt;=6,"1ª Semestre","2ª Semestre")</f>
        <v>1ª Semestre</v>
      </c>
    </row>
    <row r="849" spans="1:7" x14ac:dyDescent="0.25">
      <c r="A849" t="s">
        <v>168</v>
      </c>
      <c r="B849">
        <v>0</v>
      </c>
      <c r="C849" s="3">
        <v>0</v>
      </c>
      <c r="D849" s="58">
        <v>45047</v>
      </c>
      <c r="E849" s="58" t="str">
        <f>TEXT(Base_de_Dados[[#This Row],[Semana]],"Mmmm")</f>
        <v>maio</v>
      </c>
      <c r="F849">
        <f t="shared" si="13"/>
        <v>2023</v>
      </c>
      <c r="G849" t="str">
        <f>IF(MONTH(Base_de_Dados[[#This Row],[Semana]])&lt;=6,"1ª Semestre","2ª Semestre")</f>
        <v>1ª Semestre</v>
      </c>
    </row>
    <row r="850" spans="1:7" x14ac:dyDescent="0.25">
      <c r="A850" t="s">
        <v>176</v>
      </c>
      <c r="B850">
        <v>0</v>
      </c>
      <c r="C850" s="3">
        <v>0</v>
      </c>
      <c r="D850" s="58">
        <v>45047</v>
      </c>
      <c r="E850" s="58" t="str">
        <f>TEXT(Base_de_Dados[[#This Row],[Semana]],"Mmmm")</f>
        <v>maio</v>
      </c>
      <c r="F850">
        <f t="shared" si="13"/>
        <v>2023</v>
      </c>
      <c r="G850" t="str">
        <f>IF(MONTH(Base_de_Dados[[#This Row],[Semana]])&lt;=6,"1ª Semestre","2ª Semestre")</f>
        <v>1ª Semestre</v>
      </c>
    </row>
    <row r="851" spans="1:7" x14ac:dyDescent="0.25">
      <c r="A851" t="s">
        <v>173</v>
      </c>
      <c r="B851">
        <v>0</v>
      </c>
      <c r="C851" s="3">
        <v>0</v>
      </c>
      <c r="D851" s="58">
        <v>45047</v>
      </c>
      <c r="E851" s="58" t="str">
        <f>TEXT(Base_de_Dados[[#This Row],[Semana]],"Mmmm")</f>
        <v>maio</v>
      </c>
      <c r="F851">
        <f t="shared" si="13"/>
        <v>2023</v>
      </c>
      <c r="G851" t="str">
        <f>IF(MONTH(Base_de_Dados[[#This Row],[Semana]])&lt;=6,"1ª Semestre","2ª Semestre")</f>
        <v>1ª Semestre</v>
      </c>
    </row>
    <row r="852" spans="1:7" x14ac:dyDescent="0.25">
      <c r="A852" t="s">
        <v>4</v>
      </c>
      <c r="B852">
        <v>4</v>
      </c>
      <c r="C852" s="3">
        <v>0.13333333333333333</v>
      </c>
      <c r="D852" s="58">
        <v>45054</v>
      </c>
      <c r="E852" s="58" t="str">
        <f>TEXT(Base_de_Dados[[#This Row],[Semana]],"Mmmm")</f>
        <v>maio</v>
      </c>
      <c r="F852">
        <f t="shared" si="13"/>
        <v>2023</v>
      </c>
      <c r="G852" t="str">
        <f>IF(MONTH(Base_de_Dados[[#This Row],[Semana]])&lt;=6,"1ª Semestre","2ª Semestre")</f>
        <v>1ª Semestre</v>
      </c>
    </row>
    <row r="853" spans="1:7" x14ac:dyDescent="0.25">
      <c r="A853" t="s">
        <v>5</v>
      </c>
      <c r="B853">
        <v>0</v>
      </c>
      <c r="C853" s="3">
        <v>0</v>
      </c>
      <c r="D853" s="58">
        <v>45054</v>
      </c>
      <c r="E853" s="58" t="str">
        <f>TEXT(Base_de_Dados[[#This Row],[Semana]],"Mmmm")</f>
        <v>maio</v>
      </c>
      <c r="F853">
        <f t="shared" si="13"/>
        <v>2023</v>
      </c>
      <c r="G853" t="str">
        <f>IF(MONTH(Base_de_Dados[[#This Row],[Semana]])&lt;=6,"1ª Semestre","2ª Semestre")</f>
        <v>1ª Semestre</v>
      </c>
    </row>
    <row r="854" spans="1:7" x14ac:dyDescent="0.25">
      <c r="A854" t="s">
        <v>127</v>
      </c>
      <c r="B854">
        <v>0</v>
      </c>
      <c r="C854" s="3">
        <v>0</v>
      </c>
      <c r="D854" s="58">
        <v>45054</v>
      </c>
      <c r="E854" s="58" t="str">
        <f>TEXT(Base_de_Dados[[#This Row],[Semana]],"Mmmm")</f>
        <v>maio</v>
      </c>
      <c r="F854">
        <f t="shared" si="13"/>
        <v>2023</v>
      </c>
      <c r="G854" t="str">
        <f>IF(MONTH(Base_de_Dados[[#This Row],[Semana]])&lt;=6,"1ª Semestre","2ª Semestre")</f>
        <v>1ª Semestre</v>
      </c>
    </row>
    <row r="855" spans="1:7" x14ac:dyDescent="0.25">
      <c r="A855" t="s">
        <v>7</v>
      </c>
      <c r="B855">
        <v>1</v>
      </c>
      <c r="C855" s="3">
        <v>3.3333333333333333E-2</v>
      </c>
      <c r="D855" s="58">
        <v>45054</v>
      </c>
      <c r="E855" s="58" t="str">
        <f>TEXT(Base_de_Dados[[#This Row],[Semana]],"Mmmm")</f>
        <v>maio</v>
      </c>
      <c r="F855">
        <f t="shared" si="13"/>
        <v>2023</v>
      </c>
      <c r="G855" t="str">
        <f>IF(MONTH(Base_de_Dados[[#This Row],[Semana]])&lt;=6,"1ª Semestre","2ª Semestre")</f>
        <v>1ª Semestre</v>
      </c>
    </row>
    <row r="856" spans="1:7" x14ac:dyDescent="0.25">
      <c r="A856" t="s">
        <v>30</v>
      </c>
      <c r="B856">
        <v>1</v>
      </c>
      <c r="C856" s="3">
        <v>3.3333333333333333E-2</v>
      </c>
      <c r="D856" s="58">
        <v>45054</v>
      </c>
      <c r="E856" s="58" t="str">
        <f>TEXT(Base_de_Dados[[#This Row],[Semana]],"Mmmm")</f>
        <v>maio</v>
      </c>
      <c r="F856">
        <f t="shared" si="13"/>
        <v>2023</v>
      </c>
      <c r="G856" t="str">
        <f>IF(MONTH(Base_de_Dados[[#This Row],[Semana]])&lt;=6,"1ª Semestre","2ª Semestre")</f>
        <v>1ª Semestre</v>
      </c>
    </row>
    <row r="857" spans="1:7" x14ac:dyDescent="0.25">
      <c r="A857" t="s">
        <v>118</v>
      </c>
      <c r="B857">
        <v>2</v>
      </c>
      <c r="C857" s="3">
        <v>6.6666666666666666E-2</v>
      </c>
      <c r="D857" s="58">
        <v>45054</v>
      </c>
      <c r="E857" s="58" t="str">
        <f>TEXT(Base_de_Dados[[#This Row],[Semana]],"Mmmm")</f>
        <v>maio</v>
      </c>
      <c r="F857">
        <f t="shared" si="13"/>
        <v>2023</v>
      </c>
      <c r="G857" t="str">
        <f>IF(MONTH(Base_de_Dados[[#This Row],[Semana]])&lt;=6,"1ª Semestre","2ª Semestre")</f>
        <v>1ª Semestre</v>
      </c>
    </row>
    <row r="858" spans="1:7" x14ac:dyDescent="0.25">
      <c r="A858" t="s">
        <v>10</v>
      </c>
      <c r="B858">
        <v>0</v>
      </c>
      <c r="C858" s="3">
        <v>0</v>
      </c>
      <c r="D858" s="58">
        <v>45054</v>
      </c>
      <c r="E858" s="58" t="str">
        <f>TEXT(Base_de_Dados[[#This Row],[Semana]],"Mmmm")</f>
        <v>maio</v>
      </c>
      <c r="F858">
        <f t="shared" si="13"/>
        <v>2023</v>
      </c>
      <c r="G858" t="str">
        <f>IF(MONTH(Base_de_Dados[[#This Row],[Semana]])&lt;=6,"1ª Semestre","2ª Semestre")</f>
        <v>1ª Semestre</v>
      </c>
    </row>
    <row r="859" spans="1:7" x14ac:dyDescent="0.25">
      <c r="A859" t="s">
        <v>34</v>
      </c>
      <c r="B859">
        <v>0</v>
      </c>
      <c r="C859" s="3">
        <v>0</v>
      </c>
      <c r="D859" s="58">
        <v>45054</v>
      </c>
      <c r="E859" s="58" t="str">
        <f>TEXT(Base_de_Dados[[#This Row],[Semana]],"Mmmm")</f>
        <v>maio</v>
      </c>
      <c r="F859">
        <f t="shared" si="13"/>
        <v>2023</v>
      </c>
      <c r="G859" t="str">
        <f>IF(MONTH(Base_de_Dados[[#This Row],[Semana]])&lt;=6,"1ª Semestre","2ª Semestre")</f>
        <v>1ª Semestre</v>
      </c>
    </row>
    <row r="860" spans="1:7" x14ac:dyDescent="0.25">
      <c r="A860" t="s">
        <v>12</v>
      </c>
      <c r="B860">
        <v>1</v>
      </c>
      <c r="C860" s="3">
        <v>3.3333333333333333E-2</v>
      </c>
      <c r="D860" s="58">
        <v>45054</v>
      </c>
      <c r="E860" s="58" t="str">
        <f>TEXT(Base_de_Dados[[#This Row],[Semana]],"Mmmm")</f>
        <v>maio</v>
      </c>
      <c r="F860">
        <f t="shared" si="13"/>
        <v>2023</v>
      </c>
      <c r="G860" t="str">
        <f>IF(MONTH(Base_de_Dados[[#This Row],[Semana]])&lt;=6,"1ª Semestre","2ª Semestre")</f>
        <v>1ª Semestre</v>
      </c>
    </row>
    <row r="861" spans="1:7" x14ac:dyDescent="0.25">
      <c r="A861" t="s">
        <v>13</v>
      </c>
      <c r="B861">
        <v>0</v>
      </c>
      <c r="C861" s="3">
        <v>0</v>
      </c>
      <c r="D861" s="58">
        <v>45054</v>
      </c>
      <c r="E861" s="58" t="str">
        <f>TEXT(Base_de_Dados[[#This Row],[Semana]],"Mmmm")</f>
        <v>maio</v>
      </c>
      <c r="F861">
        <f t="shared" si="13"/>
        <v>2023</v>
      </c>
      <c r="G861" t="str">
        <f>IF(MONTH(Base_de_Dados[[#This Row],[Semana]])&lt;=6,"1ª Semestre","2ª Semestre")</f>
        <v>1ª Semestre</v>
      </c>
    </row>
    <row r="862" spans="1:7" x14ac:dyDescent="0.25">
      <c r="A862" t="s">
        <v>121</v>
      </c>
      <c r="B862">
        <v>0</v>
      </c>
      <c r="C862" s="3">
        <v>0</v>
      </c>
      <c r="D862" s="58">
        <v>45054</v>
      </c>
      <c r="E862" s="58" t="str">
        <f>TEXT(Base_de_Dados[[#This Row],[Semana]],"Mmmm")</f>
        <v>maio</v>
      </c>
      <c r="F862">
        <f t="shared" si="13"/>
        <v>2023</v>
      </c>
      <c r="G862" t="str">
        <f>IF(MONTH(Base_de_Dados[[#This Row],[Semana]])&lt;=6,"1ª Semestre","2ª Semestre")</f>
        <v>1ª Semestre</v>
      </c>
    </row>
    <row r="863" spans="1:7" x14ac:dyDescent="0.25">
      <c r="A863" t="s">
        <v>15</v>
      </c>
      <c r="B863">
        <v>20</v>
      </c>
      <c r="C863" s="3">
        <v>0.66666666666666663</v>
      </c>
      <c r="D863" s="58">
        <v>45054</v>
      </c>
      <c r="E863" s="58" t="str">
        <f>TEXT(Base_de_Dados[[#This Row],[Semana]],"Mmmm")</f>
        <v>maio</v>
      </c>
      <c r="F863">
        <f t="shared" si="13"/>
        <v>2023</v>
      </c>
      <c r="G863" t="str">
        <f>IF(MONTH(Base_de_Dados[[#This Row],[Semana]])&lt;=6,"1ª Semestre","2ª Semestre")</f>
        <v>1ª Semestre</v>
      </c>
    </row>
    <row r="864" spans="1:7" x14ac:dyDescent="0.25">
      <c r="A864" t="s">
        <v>16</v>
      </c>
      <c r="B864">
        <v>0</v>
      </c>
      <c r="C864" s="3">
        <v>0</v>
      </c>
      <c r="D864" s="58">
        <v>45054</v>
      </c>
      <c r="E864" s="58" t="str">
        <f>TEXT(Base_de_Dados[[#This Row],[Semana]],"Mmmm")</f>
        <v>maio</v>
      </c>
      <c r="F864">
        <f t="shared" si="13"/>
        <v>2023</v>
      </c>
      <c r="G864" t="str">
        <f>IF(MONTH(Base_de_Dados[[#This Row],[Semana]])&lt;=6,"1ª Semestre","2ª Semestre")</f>
        <v>1ª Semestre</v>
      </c>
    </row>
    <row r="865" spans="1:7" x14ac:dyDescent="0.25">
      <c r="A865" t="s">
        <v>166</v>
      </c>
      <c r="B865">
        <v>1</v>
      </c>
      <c r="C865" s="3">
        <v>3.3333333333333333E-2</v>
      </c>
      <c r="D865" s="58">
        <v>45054</v>
      </c>
      <c r="E865" s="58" t="str">
        <f>TEXT(Base_de_Dados[[#This Row],[Semana]],"Mmmm")</f>
        <v>maio</v>
      </c>
      <c r="F865">
        <f t="shared" si="13"/>
        <v>2023</v>
      </c>
      <c r="G865" t="str">
        <f>IF(MONTH(Base_de_Dados[[#This Row],[Semana]])&lt;=6,"1ª Semestre","2ª Semestre")</f>
        <v>1ª Semestre</v>
      </c>
    </row>
    <row r="866" spans="1:7" x14ac:dyDescent="0.25">
      <c r="A866" t="s">
        <v>168</v>
      </c>
      <c r="B866">
        <v>0</v>
      </c>
      <c r="C866" s="3">
        <v>0</v>
      </c>
      <c r="D866" s="58">
        <v>45054</v>
      </c>
      <c r="E866" s="58" t="str">
        <f>TEXT(Base_de_Dados[[#This Row],[Semana]],"Mmmm")</f>
        <v>maio</v>
      </c>
      <c r="F866">
        <f t="shared" si="13"/>
        <v>2023</v>
      </c>
      <c r="G866" t="str">
        <f>IF(MONTH(Base_de_Dados[[#This Row],[Semana]])&lt;=6,"1ª Semestre","2ª Semestre")</f>
        <v>1ª Semestre</v>
      </c>
    </row>
    <row r="867" spans="1:7" x14ac:dyDescent="0.25">
      <c r="A867" t="s">
        <v>176</v>
      </c>
      <c r="B867">
        <v>0</v>
      </c>
      <c r="C867" s="3">
        <v>0</v>
      </c>
      <c r="D867" s="58">
        <v>45054</v>
      </c>
      <c r="E867" s="58" t="str">
        <f>TEXT(Base_de_Dados[[#This Row],[Semana]],"Mmmm")</f>
        <v>maio</v>
      </c>
      <c r="F867">
        <f t="shared" si="13"/>
        <v>2023</v>
      </c>
      <c r="G867" t="str">
        <f>IF(MONTH(Base_de_Dados[[#This Row],[Semana]])&lt;=6,"1ª Semestre","2ª Semestre")</f>
        <v>1ª Semestre</v>
      </c>
    </row>
    <row r="868" spans="1:7" x14ac:dyDescent="0.25">
      <c r="A868" t="s">
        <v>173</v>
      </c>
      <c r="B868">
        <v>0</v>
      </c>
      <c r="C868" s="3">
        <v>0</v>
      </c>
      <c r="D868" s="58">
        <v>45054</v>
      </c>
      <c r="E868" s="58" t="str">
        <f>TEXT(Base_de_Dados[[#This Row],[Semana]],"Mmmm")</f>
        <v>maio</v>
      </c>
      <c r="F868">
        <f t="shared" si="13"/>
        <v>2023</v>
      </c>
      <c r="G868" t="str">
        <f>IF(MONTH(Base_de_Dados[[#This Row],[Semana]])&lt;=6,"1ª Semestre","2ª Semestre")</f>
        <v>1ª Semestre</v>
      </c>
    </row>
    <row r="869" spans="1:7" x14ac:dyDescent="0.25">
      <c r="A869" t="s">
        <v>4</v>
      </c>
      <c r="B869">
        <v>1</v>
      </c>
      <c r="C869" s="3">
        <v>1.5151515151515152E-2</v>
      </c>
      <c r="D869" s="58">
        <v>45061</v>
      </c>
      <c r="E869" s="58" t="str">
        <f>TEXT(Base_de_Dados[[#This Row],[Semana]],"Mmmm")</f>
        <v>maio</v>
      </c>
      <c r="F869">
        <f t="shared" si="13"/>
        <v>2023</v>
      </c>
      <c r="G869" t="str">
        <f>IF(MONTH(Base_de_Dados[[#This Row],[Semana]])&lt;=6,"1ª Semestre","2ª Semestre")</f>
        <v>1ª Semestre</v>
      </c>
    </row>
    <row r="870" spans="1:7" x14ac:dyDescent="0.25">
      <c r="A870" t="s">
        <v>5</v>
      </c>
      <c r="B870">
        <v>0</v>
      </c>
      <c r="C870" s="3">
        <v>0</v>
      </c>
      <c r="D870" s="58">
        <v>45061</v>
      </c>
      <c r="E870" s="58" t="str">
        <f>TEXT(Base_de_Dados[[#This Row],[Semana]],"Mmmm")</f>
        <v>maio</v>
      </c>
      <c r="F870">
        <f t="shared" si="13"/>
        <v>2023</v>
      </c>
      <c r="G870" t="str">
        <f>IF(MONTH(Base_de_Dados[[#This Row],[Semana]])&lt;=6,"1ª Semestre","2ª Semestre")</f>
        <v>1ª Semestre</v>
      </c>
    </row>
    <row r="871" spans="1:7" x14ac:dyDescent="0.25">
      <c r="A871" t="s">
        <v>127</v>
      </c>
      <c r="B871">
        <v>0</v>
      </c>
      <c r="C871" s="3">
        <v>0</v>
      </c>
      <c r="D871" s="58">
        <v>45061</v>
      </c>
      <c r="E871" s="58" t="str">
        <f>TEXT(Base_de_Dados[[#This Row],[Semana]],"Mmmm")</f>
        <v>maio</v>
      </c>
      <c r="F871">
        <f t="shared" si="13"/>
        <v>2023</v>
      </c>
      <c r="G871" t="str">
        <f>IF(MONTH(Base_de_Dados[[#This Row],[Semana]])&lt;=6,"1ª Semestre","2ª Semestre")</f>
        <v>1ª Semestre</v>
      </c>
    </row>
    <row r="872" spans="1:7" x14ac:dyDescent="0.25">
      <c r="A872" t="s">
        <v>7</v>
      </c>
      <c r="B872">
        <v>0</v>
      </c>
      <c r="C872" s="3">
        <v>0</v>
      </c>
      <c r="D872" s="58">
        <v>45061</v>
      </c>
      <c r="E872" s="58" t="str">
        <f>TEXT(Base_de_Dados[[#This Row],[Semana]],"Mmmm")</f>
        <v>maio</v>
      </c>
      <c r="F872">
        <f t="shared" si="13"/>
        <v>2023</v>
      </c>
      <c r="G872" t="str">
        <f>IF(MONTH(Base_de_Dados[[#This Row],[Semana]])&lt;=6,"1ª Semestre","2ª Semestre")</f>
        <v>1ª Semestre</v>
      </c>
    </row>
    <row r="873" spans="1:7" x14ac:dyDescent="0.25">
      <c r="A873" t="s">
        <v>30</v>
      </c>
      <c r="B873">
        <v>0</v>
      </c>
      <c r="C873" s="3">
        <v>0</v>
      </c>
      <c r="D873" s="58">
        <v>45061</v>
      </c>
      <c r="E873" s="58" t="str">
        <f>TEXT(Base_de_Dados[[#This Row],[Semana]],"Mmmm")</f>
        <v>maio</v>
      </c>
      <c r="F873">
        <f t="shared" si="13"/>
        <v>2023</v>
      </c>
      <c r="G873" t="str">
        <f>IF(MONTH(Base_de_Dados[[#This Row],[Semana]])&lt;=6,"1ª Semestre","2ª Semestre")</f>
        <v>1ª Semestre</v>
      </c>
    </row>
    <row r="874" spans="1:7" x14ac:dyDescent="0.25">
      <c r="A874" t="s">
        <v>118</v>
      </c>
      <c r="B874">
        <v>1</v>
      </c>
      <c r="C874" s="3">
        <v>1.5151515151515152E-2</v>
      </c>
      <c r="D874" s="58">
        <v>45061</v>
      </c>
      <c r="E874" s="58" t="str">
        <f>TEXT(Base_de_Dados[[#This Row],[Semana]],"Mmmm")</f>
        <v>maio</v>
      </c>
      <c r="F874">
        <f t="shared" si="13"/>
        <v>2023</v>
      </c>
      <c r="G874" t="str">
        <f>IF(MONTH(Base_de_Dados[[#This Row],[Semana]])&lt;=6,"1ª Semestre","2ª Semestre")</f>
        <v>1ª Semestre</v>
      </c>
    </row>
    <row r="875" spans="1:7" x14ac:dyDescent="0.25">
      <c r="A875" t="s">
        <v>10</v>
      </c>
      <c r="B875">
        <v>0</v>
      </c>
      <c r="C875" s="3">
        <v>0</v>
      </c>
      <c r="D875" s="58">
        <v>45061</v>
      </c>
      <c r="E875" s="58" t="str">
        <f>TEXT(Base_de_Dados[[#This Row],[Semana]],"Mmmm")</f>
        <v>maio</v>
      </c>
      <c r="F875">
        <f t="shared" si="13"/>
        <v>2023</v>
      </c>
      <c r="G875" t="str">
        <f>IF(MONTH(Base_de_Dados[[#This Row],[Semana]])&lt;=6,"1ª Semestre","2ª Semestre")</f>
        <v>1ª Semestre</v>
      </c>
    </row>
    <row r="876" spans="1:7" x14ac:dyDescent="0.25">
      <c r="A876" t="s">
        <v>34</v>
      </c>
      <c r="B876">
        <v>2</v>
      </c>
      <c r="C876" s="3">
        <v>3.0303030303030304E-2</v>
      </c>
      <c r="D876" s="58">
        <v>45061</v>
      </c>
      <c r="E876" s="58" t="str">
        <f>TEXT(Base_de_Dados[[#This Row],[Semana]],"Mmmm")</f>
        <v>maio</v>
      </c>
      <c r="F876">
        <f t="shared" si="13"/>
        <v>2023</v>
      </c>
      <c r="G876" t="str">
        <f>IF(MONTH(Base_de_Dados[[#This Row],[Semana]])&lt;=6,"1ª Semestre","2ª Semestre")</f>
        <v>1ª Semestre</v>
      </c>
    </row>
    <row r="877" spans="1:7" x14ac:dyDescent="0.25">
      <c r="A877" t="s">
        <v>12</v>
      </c>
      <c r="B877">
        <v>3</v>
      </c>
      <c r="C877" s="3">
        <v>4.5454545454545456E-2</v>
      </c>
      <c r="D877" s="58">
        <v>45061</v>
      </c>
      <c r="E877" s="58" t="str">
        <f>TEXT(Base_de_Dados[[#This Row],[Semana]],"Mmmm")</f>
        <v>maio</v>
      </c>
      <c r="F877">
        <f t="shared" si="13"/>
        <v>2023</v>
      </c>
      <c r="G877" t="str">
        <f>IF(MONTH(Base_de_Dados[[#This Row],[Semana]])&lt;=6,"1ª Semestre","2ª Semestre")</f>
        <v>1ª Semestre</v>
      </c>
    </row>
    <row r="878" spans="1:7" x14ac:dyDescent="0.25">
      <c r="A878" t="s">
        <v>13</v>
      </c>
      <c r="B878">
        <v>0</v>
      </c>
      <c r="C878" s="3">
        <v>0</v>
      </c>
      <c r="D878" s="58">
        <v>45061</v>
      </c>
      <c r="E878" s="58" t="str">
        <f>TEXT(Base_de_Dados[[#This Row],[Semana]],"Mmmm")</f>
        <v>maio</v>
      </c>
      <c r="F878">
        <f t="shared" si="13"/>
        <v>2023</v>
      </c>
      <c r="G878" t="str">
        <f>IF(MONTH(Base_de_Dados[[#This Row],[Semana]])&lt;=6,"1ª Semestre","2ª Semestre")</f>
        <v>1ª Semestre</v>
      </c>
    </row>
    <row r="879" spans="1:7" x14ac:dyDescent="0.25">
      <c r="A879" t="s">
        <v>121</v>
      </c>
      <c r="B879">
        <v>1</v>
      </c>
      <c r="C879" s="3">
        <v>1.5151515151515152E-2</v>
      </c>
      <c r="D879" s="58">
        <v>45061</v>
      </c>
      <c r="E879" s="58" t="str">
        <f>TEXT(Base_de_Dados[[#This Row],[Semana]],"Mmmm")</f>
        <v>maio</v>
      </c>
      <c r="F879">
        <f t="shared" si="13"/>
        <v>2023</v>
      </c>
      <c r="G879" t="str">
        <f>IF(MONTH(Base_de_Dados[[#This Row],[Semana]])&lt;=6,"1ª Semestre","2ª Semestre")</f>
        <v>1ª Semestre</v>
      </c>
    </row>
    <row r="880" spans="1:7" x14ac:dyDescent="0.25">
      <c r="A880" t="s">
        <v>15</v>
      </c>
      <c r="B880">
        <v>58</v>
      </c>
      <c r="C880" s="3">
        <v>0.87878787878787878</v>
      </c>
      <c r="D880" s="58">
        <v>45061</v>
      </c>
      <c r="E880" s="58" t="str">
        <f>TEXT(Base_de_Dados[[#This Row],[Semana]],"Mmmm")</f>
        <v>maio</v>
      </c>
      <c r="F880">
        <f t="shared" si="13"/>
        <v>2023</v>
      </c>
      <c r="G880" t="str">
        <f>IF(MONTH(Base_de_Dados[[#This Row],[Semana]])&lt;=6,"1ª Semestre","2ª Semestre")</f>
        <v>1ª Semestre</v>
      </c>
    </row>
    <row r="881" spans="1:7" x14ac:dyDescent="0.25">
      <c r="A881" t="s">
        <v>16</v>
      </c>
      <c r="B881">
        <v>0</v>
      </c>
      <c r="C881" s="3">
        <v>0</v>
      </c>
      <c r="D881" s="58">
        <v>45061</v>
      </c>
      <c r="E881" s="58" t="str">
        <f>TEXT(Base_de_Dados[[#This Row],[Semana]],"Mmmm")</f>
        <v>maio</v>
      </c>
      <c r="F881">
        <f t="shared" si="13"/>
        <v>2023</v>
      </c>
      <c r="G881" t="str">
        <f>IF(MONTH(Base_de_Dados[[#This Row],[Semana]])&lt;=6,"1ª Semestre","2ª Semestre")</f>
        <v>1ª Semestre</v>
      </c>
    </row>
    <row r="882" spans="1:7" x14ac:dyDescent="0.25">
      <c r="A882" t="s">
        <v>166</v>
      </c>
      <c r="B882">
        <v>0</v>
      </c>
      <c r="C882" s="3">
        <v>0</v>
      </c>
      <c r="D882" s="58">
        <v>45061</v>
      </c>
      <c r="E882" s="58" t="str">
        <f>TEXT(Base_de_Dados[[#This Row],[Semana]],"Mmmm")</f>
        <v>maio</v>
      </c>
      <c r="F882">
        <f t="shared" si="13"/>
        <v>2023</v>
      </c>
      <c r="G882" t="str">
        <f>IF(MONTH(Base_de_Dados[[#This Row],[Semana]])&lt;=6,"1ª Semestre","2ª Semestre")</f>
        <v>1ª Semestre</v>
      </c>
    </row>
    <row r="883" spans="1:7" x14ac:dyDescent="0.25">
      <c r="A883" t="s">
        <v>168</v>
      </c>
      <c r="B883">
        <v>0</v>
      </c>
      <c r="C883" s="3">
        <v>0</v>
      </c>
      <c r="D883" s="58">
        <v>45061</v>
      </c>
      <c r="E883" s="58" t="str">
        <f>TEXT(Base_de_Dados[[#This Row],[Semana]],"Mmmm")</f>
        <v>maio</v>
      </c>
      <c r="F883">
        <f t="shared" si="13"/>
        <v>2023</v>
      </c>
      <c r="G883" t="str">
        <f>IF(MONTH(Base_de_Dados[[#This Row],[Semana]])&lt;=6,"1ª Semestre","2ª Semestre")</f>
        <v>1ª Semestre</v>
      </c>
    </row>
    <row r="884" spans="1:7" x14ac:dyDescent="0.25">
      <c r="A884" t="s">
        <v>176</v>
      </c>
      <c r="B884">
        <v>0</v>
      </c>
      <c r="C884" s="3">
        <v>0</v>
      </c>
      <c r="D884" s="58">
        <v>45061</v>
      </c>
      <c r="E884" s="58" t="str">
        <f>TEXT(Base_de_Dados[[#This Row],[Semana]],"Mmmm")</f>
        <v>maio</v>
      </c>
      <c r="F884">
        <f t="shared" si="13"/>
        <v>2023</v>
      </c>
      <c r="G884" t="str">
        <f>IF(MONTH(Base_de_Dados[[#This Row],[Semana]])&lt;=6,"1ª Semestre","2ª Semestre")</f>
        <v>1ª Semestre</v>
      </c>
    </row>
    <row r="885" spans="1:7" x14ac:dyDescent="0.25">
      <c r="A885" t="s">
        <v>173</v>
      </c>
      <c r="B885">
        <v>0</v>
      </c>
      <c r="C885" s="3">
        <v>0</v>
      </c>
      <c r="D885" s="58">
        <v>45061</v>
      </c>
      <c r="E885" s="58" t="str">
        <f>TEXT(Base_de_Dados[[#This Row],[Semana]],"Mmmm")</f>
        <v>maio</v>
      </c>
      <c r="F885">
        <f t="shared" si="13"/>
        <v>2023</v>
      </c>
      <c r="G885" t="str">
        <f>IF(MONTH(Base_de_Dados[[#This Row],[Semana]])&lt;=6,"1ª Semestre","2ª Semestre")</f>
        <v>1ª Semestre</v>
      </c>
    </row>
    <row r="886" spans="1:7" x14ac:dyDescent="0.25">
      <c r="A886" t="s">
        <v>4</v>
      </c>
      <c r="B886">
        <v>1</v>
      </c>
      <c r="C886" s="3">
        <v>3.8461538461538464E-2</v>
      </c>
      <c r="D886" s="58">
        <v>45068</v>
      </c>
      <c r="E886" s="58" t="str">
        <f>TEXT(Base_de_Dados[[#This Row],[Semana]],"Mmmm")</f>
        <v>maio</v>
      </c>
      <c r="F886">
        <f t="shared" si="13"/>
        <v>2023</v>
      </c>
      <c r="G886" t="str">
        <f>IF(MONTH(Base_de_Dados[[#This Row],[Semana]])&lt;=6,"1ª Semestre","2ª Semestre")</f>
        <v>1ª Semestre</v>
      </c>
    </row>
    <row r="887" spans="1:7" x14ac:dyDescent="0.25">
      <c r="A887" t="s">
        <v>5</v>
      </c>
      <c r="B887">
        <v>0</v>
      </c>
      <c r="C887" s="3">
        <v>0</v>
      </c>
      <c r="D887" s="58">
        <v>45068</v>
      </c>
      <c r="E887" s="58" t="str">
        <f>TEXT(Base_de_Dados[[#This Row],[Semana]],"Mmmm")</f>
        <v>maio</v>
      </c>
      <c r="F887">
        <f t="shared" si="13"/>
        <v>2023</v>
      </c>
      <c r="G887" t="str">
        <f>IF(MONTH(Base_de_Dados[[#This Row],[Semana]])&lt;=6,"1ª Semestre","2ª Semestre")</f>
        <v>1ª Semestre</v>
      </c>
    </row>
    <row r="888" spans="1:7" x14ac:dyDescent="0.25">
      <c r="A888" t="s">
        <v>127</v>
      </c>
      <c r="B888">
        <v>0</v>
      </c>
      <c r="C888" s="3">
        <v>0</v>
      </c>
      <c r="D888" s="58">
        <v>45068</v>
      </c>
      <c r="E888" s="58" t="str">
        <f>TEXT(Base_de_Dados[[#This Row],[Semana]],"Mmmm")</f>
        <v>maio</v>
      </c>
      <c r="F888">
        <f t="shared" si="13"/>
        <v>2023</v>
      </c>
      <c r="G888" t="str">
        <f>IF(MONTH(Base_de_Dados[[#This Row],[Semana]])&lt;=6,"1ª Semestre","2ª Semestre")</f>
        <v>1ª Semestre</v>
      </c>
    </row>
    <row r="889" spans="1:7" x14ac:dyDescent="0.25">
      <c r="A889" t="s">
        <v>7</v>
      </c>
      <c r="B889">
        <v>0</v>
      </c>
      <c r="C889" s="3">
        <v>0</v>
      </c>
      <c r="D889" s="58">
        <v>45068</v>
      </c>
      <c r="E889" s="58" t="str">
        <f>TEXT(Base_de_Dados[[#This Row],[Semana]],"Mmmm")</f>
        <v>maio</v>
      </c>
      <c r="F889">
        <f t="shared" si="13"/>
        <v>2023</v>
      </c>
      <c r="G889" t="str">
        <f>IF(MONTH(Base_de_Dados[[#This Row],[Semana]])&lt;=6,"1ª Semestre","2ª Semestre")</f>
        <v>1ª Semestre</v>
      </c>
    </row>
    <row r="890" spans="1:7" x14ac:dyDescent="0.25">
      <c r="A890" t="s">
        <v>30</v>
      </c>
      <c r="B890">
        <v>0</v>
      </c>
      <c r="C890" s="3">
        <v>0</v>
      </c>
      <c r="D890" s="58">
        <v>45068</v>
      </c>
      <c r="E890" s="58" t="str">
        <f>TEXT(Base_de_Dados[[#This Row],[Semana]],"Mmmm")</f>
        <v>maio</v>
      </c>
      <c r="F890">
        <f t="shared" si="13"/>
        <v>2023</v>
      </c>
      <c r="G890" t="str">
        <f>IF(MONTH(Base_de_Dados[[#This Row],[Semana]])&lt;=6,"1ª Semestre","2ª Semestre")</f>
        <v>1ª Semestre</v>
      </c>
    </row>
    <row r="891" spans="1:7" x14ac:dyDescent="0.25">
      <c r="A891" t="s">
        <v>118</v>
      </c>
      <c r="B891">
        <v>1</v>
      </c>
      <c r="C891" s="3">
        <v>3.8461538461538464E-2</v>
      </c>
      <c r="D891" s="58">
        <v>45068</v>
      </c>
      <c r="E891" s="58" t="str">
        <f>TEXT(Base_de_Dados[[#This Row],[Semana]],"Mmmm")</f>
        <v>maio</v>
      </c>
      <c r="F891">
        <f t="shared" si="13"/>
        <v>2023</v>
      </c>
      <c r="G891" t="str">
        <f>IF(MONTH(Base_de_Dados[[#This Row],[Semana]])&lt;=6,"1ª Semestre","2ª Semestre")</f>
        <v>1ª Semestre</v>
      </c>
    </row>
    <row r="892" spans="1:7" x14ac:dyDescent="0.25">
      <c r="A892" t="s">
        <v>10</v>
      </c>
      <c r="B892">
        <v>0</v>
      </c>
      <c r="C892" s="3">
        <v>0</v>
      </c>
      <c r="D892" s="58">
        <v>45068</v>
      </c>
      <c r="E892" s="58" t="str">
        <f>TEXT(Base_de_Dados[[#This Row],[Semana]],"Mmmm")</f>
        <v>maio</v>
      </c>
      <c r="F892">
        <f t="shared" si="13"/>
        <v>2023</v>
      </c>
      <c r="G892" t="str">
        <f>IF(MONTH(Base_de_Dados[[#This Row],[Semana]])&lt;=6,"1ª Semestre","2ª Semestre")</f>
        <v>1ª Semestre</v>
      </c>
    </row>
    <row r="893" spans="1:7" x14ac:dyDescent="0.25">
      <c r="A893" t="s">
        <v>34</v>
      </c>
      <c r="B893">
        <v>0</v>
      </c>
      <c r="C893" s="3">
        <v>0</v>
      </c>
      <c r="D893" s="58">
        <v>45068</v>
      </c>
      <c r="E893" s="58" t="str">
        <f>TEXT(Base_de_Dados[[#This Row],[Semana]],"Mmmm")</f>
        <v>maio</v>
      </c>
      <c r="F893">
        <f t="shared" si="13"/>
        <v>2023</v>
      </c>
      <c r="G893" t="str">
        <f>IF(MONTH(Base_de_Dados[[#This Row],[Semana]])&lt;=6,"1ª Semestre","2ª Semestre")</f>
        <v>1ª Semestre</v>
      </c>
    </row>
    <row r="894" spans="1:7" x14ac:dyDescent="0.25">
      <c r="A894" t="s">
        <v>12</v>
      </c>
      <c r="B894">
        <v>2</v>
      </c>
      <c r="C894" s="3">
        <v>7.6923076923076927E-2</v>
      </c>
      <c r="D894" s="58">
        <v>45068</v>
      </c>
      <c r="E894" s="58" t="str">
        <f>TEXT(Base_de_Dados[[#This Row],[Semana]],"Mmmm")</f>
        <v>maio</v>
      </c>
      <c r="F894">
        <f t="shared" si="13"/>
        <v>2023</v>
      </c>
      <c r="G894" t="str">
        <f>IF(MONTH(Base_de_Dados[[#This Row],[Semana]])&lt;=6,"1ª Semestre","2ª Semestre")</f>
        <v>1ª Semestre</v>
      </c>
    </row>
    <row r="895" spans="1:7" x14ac:dyDescent="0.25">
      <c r="A895" t="s">
        <v>13</v>
      </c>
      <c r="B895">
        <v>1</v>
      </c>
      <c r="C895" s="3">
        <v>3.8461538461538464E-2</v>
      </c>
      <c r="D895" s="58">
        <v>45068</v>
      </c>
      <c r="E895" s="58" t="str">
        <f>TEXT(Base_de_Dados[[#This Row],[Semana]],"Mmmm")</f>
        <v>maio</v>
      </c>
      <c r="F895">
        <f t="shared" si="13"/>
        <v>2023</v>
      </c>
      <c r="G895" t="str">
        <f>IF(MONTH(Base_de_Dados[[#This Row],[Semana]])&lt;=6,"1ª Semestre","2ª Semestre")</f>
        <v>1ª Semestre</v>
      </c>
    </row>
    <row r="896" spans="1:7" x14ac:dyDescent="0.25">
      <c r="A896" t="s">
        <v>121</v>
      </c>
      <c r="B896">
        <v>0</v>
      </c>
      <c r="C896" s="3">
        <v>0</v>
      </c>
      <c r="D896" s="58">
        <v>45068</v>
      </c>
      <c r="E896" s="58" t="str">
        <f>TEXT(Base_de_Dados[[#This Row],[Semana]],"Mmmm")</f>
        <v>maio</v>
      </c>
      <c r="F896">
        <f t="shared" si="13"/>
        <v>2023</v>
      </c>
      <c r="G896" t="str">
        <f>IF(MONTH(Base_de_Dados[[#This Row],[Semana]])&lt;=6,"1ª Semestre","2ª Semestre")</f>
        <v>1ª Semestre</v>
      </c>
    </row>
    <row r="897" spans="1:7" x14ac:dyDescent="0.25">
      <c r="A897" t="s">
        <v>15</v>
      </c>
      <c r="B897">
        <v>19</v>
      </c>
      <c r="C897" s="3">
        <v>0.73076923076923073</v>
      </c>
      <c r="D897" s="58">
        <v>45068</v>
      </c>
      <c r="E897" s="58" t="str">
        <f>TEXT(Base_de_Dados[[#This Row],[Semana]],"Mmmm")</f>
        <v>maio</v>
      </c>
      <c r="F897">
        <f t="shared" si="13"/>
        <v>2023</v>
      </c>
      <c r="G897" t="str">
        <f>IF(MONTH(Base_de_Dados[[#This Row],[Semana]])&lt;=6,"1ª Semestre","2ª Semestre")</f>
        <v>1ª Semestre</v>
      </c>
    </row>
    <row r="898" spans="1:7" x14ac:dyDescent="0.25">
      <c r="A898" t="s">
        <v>16</v>
      </c>
      <c r="B898">
        <v>1</v>
      </c>
      <c r="C898" s="3">
        <v>3.8461538461538464E-2</v>
      </c>
      <c r="D898" s="58">
        <v>45068</v>
      </c>
      <c r="E898" s="58" t="str">
        <f>TEXT(Base_de_Dados[[#This Row],[Semana]],"Mmmm")</f>
        <v>maio</v>
      </c>
      <c r="F898">
        <f t="shared" si="13"/>
        <v>2023</v>
      </c>
      <c r="G898" t="str">
        <f>IF(MONTH(Base_de_Dados[[#This Row],[Semana]])&lt;=6,"1ª Semestre","2ª Semestre")</f>
        <v>1ª Semestre</v>
      </c>
    </row>
    <row r="899" spans="1:7" x14ac:dyDescent="0.25">
      <c r="A899" t="s">
        <v>166</v>
      </c>
      <c r="B899">
        <v>0</v>
      </c>
      <c r="C899" s="3">
        <v>0</v>
      </c>
      <c r="D899" s="58">
        <v>45068</v>
      </c>
      <c r="E899" s="58" t="str">
        <f>TEXT(Base_de_Dados[[#This Row],[Semana]],"Mmmm")</f>
        <v>maio</v>
      </c>
      <c r="F899">
        <f t="shared" ref="F899:F919" si="14">YEAR(D899)</f>
        <v>2023</v>
      </c>
      <c r="G899" t="str">
        <f>IF(MONTH(Base_de_Dados[[#This Row],[Semana]])&lt;=6,"1ª Semestre","2ª Semestre")</f>
        <v>1ª Semestre</v>
      </c>
    </row>
    <row r="900" spans="1:7" x14ac:dyDescent="0.25">
      <c r="A900" t="s">
        <v>168</v>
      </c>
      <c r="B900">
        <v>0</v>
      </c>
      <c r="C900" s="3">
        <v>0</v>
      </c>
      <c r="D900" s="58">
        <v>45068</v>
      </c>
      <c r="E900" s="58" t="str">
        <f>TEXT(Base_de_Dados[[#This Row],[Semana]],"Mmmm")</f>
        <v>maio</v>
      </c>
      <c r="F900">
        <f t="shared" si="14"/>
        <v>2023</v>
      </c>
      <c r="G900" t="str">
        <f>IF(MONTH(Base_de_Dados[[#This Row],[Semana]])&lt;=6,"1ª Semestre","2ª Semestre")</f>
        <v>1ª Semestre</v>
      </c>
    </row>
    <row r="901" spans="1:7" x14ac:dyDescent="0.25">
      <c r="A901" t="s">
        <v>176</v>
      </c>
      <c r="B901">
        <v>0</v>
      </c>
      <c r="C901" s="3">
        <v>0</v>
      </c>
      <c r="D901" s="58">
        <v>45068</v>
      </c>
      <c r="E901" s="58" t="str">
        <f>TEXT(Base_de_Dados[[#This Row],[Semana]],"Mmmm")</f>
        <v>maio</v>
      </c>
      <c r="F901">
        <f t="shared" si="14"/>
        <v>2023</v>
      </c>
      <c r="G901" t="str">
        <f>IF(MONTH(Base_de_Dados[[#This Row],[Semana]])&lt;=6,"1ª Semestre","2ª Semestre")</f>
        <v>1ª Semestre</v>
      </c>
    </row>
    <row r="902" spans="1:7" x14ac:dyDescent="0.25">
      <c r="A902" t="s">
        <v>173</v>
      </c>
      <c r="B902">
        <v>1</v>
      </c>
      <c r="C902" s="3">
        <v>3.8461538461538464E-2</v>
      </c>
      <c r="D902" s="58">
        <v>45068</v>
      </c>
      <c r="E902" s="58" t="str">
        <f>TEXT(Base_de_Dados[[#This Row],[Semana]],"Mmmm")</f>
        <v>maio</v>
      </c>
      <c r="F902">
        <f t="shared" si="14"/>
        <v>2023</v>
      </c>
      <c r="G902" t="str">
        <f>IF(MONTH(Base_de_Dados[[#This Row],[Semana]])&lt;=6,"1ª Semestre","2ª Semestre")</f>
        <v>1ª Semestre</v>
      </c>
    </row>
    <row r="903" spans="1:7" x14ac:dyDescent="0.25">
      <c r="A903" t="s">
        <v>4</v>
      </c>
      <c r="B903">
        <v>3</v>
      </c>
      <c r="C903" s="3">
        <v>0.25</v>
      </c>
      <c r="D903" s="58">
        <v>45082</v>
      </c>
      <c r="E903" s="58" t="str">
        <f>TEXT(Base_de_Dados[[#This Row],[Semana]],"Mmmm")</f>
        <v>junho</v>
      </c>
      <c r="F903">
        <f t="shared" si="14"/>
        <v>2023</v>
      </c>
      <c r="G903" t="str">
        <f>IF(MONTH(Base_de_Dados[[#This Row],[Semana]])&lt;=6,"1ª Semestre","2ª Semestre")</f>
        <v>1ª Semestre</v>
      </c>
    </row>
    <row r="904" spans="1:7" x14ac:dyDescent="0.25">
      <c r="A904" t="s">
        <v>5</v>
      </c>
      <c r="B904">
        <v>1</v>
      </c>
      <c r="C904" s="3">
        <v>8.3333333333333329E-2</v>
      </c>
      <c r="D904" s="58">
        <v>45082</v>
      </c>
      <c r="E904" s="58" t="str">
        <f>TEXT(Base_de_Dados[[#This Row],[Semana]],"Mmmm")</f>
        <v>junho</v>
      </c>
      <c r="F904">
        <f t="shared" si="14"/>
        <v>2023</v>
      </c>
      <c r="G904" t="str">
        <f>IF(MONTH(Base_de_Dados[[#This Row],[Semana]])&lt;=6,"1ª Semestre","2ª Semestre")</f>
        <v>1ª Semestre</v>
      </c>
    </row>
    <row r="905" spans="1:7" x14ac:dyDescent="0.25">
      <c r="A905" t="s">
        <v>127</v>
      </c>
      <c r="B905">
        <v>0</v>
      </c>
      <c r="C905" s="3">
        <v>0</v>
      </c>
      <c r="D905" s="58">
        <v>45082</v>
      </c>
      <c r="E905" s="58" t="str">
        <f>TEXT(Base_de_Dados[[#This Row],[Semana]],"Mmmm")</f>
        <v>junho</v>
      </c>
      <c r="F905">
        <f t="shared" si="14"/>
        <v>2023</v>
      </c>
      <c r="G905" t="str">
        <f>IF(MONTH(Base_de_Dados[[#This Row],[Semana]])&lt;=6,"1ª Semestre","2ª Semestre")</f>
        <v>1ª Semestre</v>
      </c>
    </row>
    <row r="906" spans="1:7" x14ac:dyDescent="0.25">
      <c r="A906" t="s">
        <v>7</v>
      </c>
      <c r="B906">
        <v>0</v>
      </c>
      <c r="C906" s="3">
        <v>0</v>
      </c>
      <c r="D906" s="58">
        <v>45082</v>
      </c>
      <c r="E906" s="58" t="str">
        <f>TEXT(Base_de_Dados[[#This Row],[Semana]],"Mmmm")</f>
        <v>junho</v>
      </c>
      <c r="F906">
        <f t="shared" si="14"/>
        <v>2023</v>
      </c>
      <c r="G906" t="str">
        <f>IF(MONTH(Base_de_Dados[[#This Row],[Semana]])&lt;=6,"1ª Semestre","2ª Semestre")</f>
        <v>1ª Semestre</v>
      </c>
    </row>
    <row r="907" spans="1:7" x14ac:dyDescent="0.25">
      <c r="A907" t="s">
        <v>30</v>
      </c>
      <c r="B907">
        <v>0</v>
      </c>
      <c r="C907" s="3">
        <v>0</v>
      </c>
      <c r="D907" s="58">
        <v>45082</v>
      </c>
      <c r="E907" s="58" t="str">
        <f>TEXT(Base_de_Dados[[#This Row],[Semana]],"Mmmm")</f>
        <v>junho</v>
      </c>
      <c r="F907">
        <f t="shared" si="14"/>
        <v>2023</v>
      </c>
      <c r="G907" t="str">
        <f>IF(MONTH(Base_de_Dados[[#This Row],[Semana]])&lt;=6,"1ª Semestre","2ª Semestre")</f>
        <v>1ª Semestre</v>
      </c>
    </row>
    <row r="908" spans="1:7" x14ac:dyDescent="0.25">
      <c r="A908" t="s">
        <v>118</v>
      </c>
      <c r="B908">
        <v>1</v>
      </c>
      <c r="C908" s="3">
        <v>8.3333333333333329E-2</v>
      </c>
      <c r="D908" s="58">
        <v>45082</v>
      </c>
      <c r="E908" s="58" t="str">
        <f>TEXT(Base_de_Dados[[#This Row],[Semana]],"Mmmm")</f>
        <v>junho</v>
      </c>
      <c r="F908">
        <f t="shared" si="14"/>
        <v>2023</v>
      </c>
      <c r="G908" t="str">
        <f>IF(MONTH(Base_de_Dados[[#This Row],[Semana]])&lt;=6,"1ª Semestre","2ª Semestre")</f>
        <v>1ª Semestre</v>
      </c>
    </row>
    <row r="909" spans="1:7" x14ac:dyDescent="0.25">
      <c r="A909" t="s">
        <v>10</v>
      </c>
      <c r="B909">
        <v>0</v>
      </c>
      <c r="C909" s="3">
        <v>0</v>
      </c>
      <c r="D909" s="58">
        <v>45082</v>
      </c>
      <c r="E909" s="58" t="str">
        <f>TEXT(Base_de_Dados[[#This Row],[Semana]],"Mmmm")</f>
        <v>junho</v>
      </c>
      <c r="F909">
        <f t="shared" si="14"/>
        <v>2023</v>
      </c>
      <c r="G909" t="str">
        <f>IF(MONTH(Base_de_Dados[[#This Row],[Semana]])&lt;=6,"1ª Semestre","2ª Semestre")</f>
        <v>1ª Semestre</v>
      </c>
    </row>
    <row r="910" spans="1:7" x14ac:dyDescent="0.25">
      <c r="A910" t="s">
        <v>34</v>
      </c>
      <c r="B910">
        <v>1</v>
      </c>
      <c r="C910" s="3">
        <v>8.3333333333333329E-2</v>
      </c>
      <c r="D910" s="58">
        <v>45082</v>
      </c>
      <c r="E910" s="58" t="str">
        <f>TEXT(Base_de_Dados[[#This Row],[Semana]],"Mmmm")</f>
        <v>junho</v>
      </c>
      <c r="F910">
        <f t="shared" si="14"/>
        <v>2023</v>
      </c>
      <c r="G910" t="str">
        <f>IF(MONTH(Base_de_Dados[[#This Row],[Semana]])&lt;=6,"1ª Semestre","2ª Semestre")</f>
        <v>1ª Semestre</v>
      </c>
    </row>
    <row r="911" spans="1:7" x14ac:dyDescent="0.25">
      <c r="A911" t="s">
        <v>12</v>
      </c>
      <c r="B911">
        <v>1</v>
      </c>
      <c r="C911" s="3">
        <v>8.3333333333333329E-2</v>
      </c>
      <c r="D911" s="58">
        <v>45082</v>
      </c>
      <c r="E911" s="58" t="str">
        <f>TEXT(Base_de_Dados[[#This Row],[Semana]],"Mmmm")</f>
        <v>junho</v>
      </c>
      <c r="F911">
        <f t="shared" si="14"/>
        <v>2023</v>
      </c>
      <c r="G911" t="str">
        <f>IF(MONTH(Base_de_Dados[[#This Row],[Semana]])&lt;=6,"1ª Semestre","2ª Semestre")</f>
        <v>1ª Semestre</v>
      </c>
    </row>
    <row r="912" spans="1:7" x14ac:dyDescent="0.25">
      <c r="A912" t="s">
        <v>13</v>
      </c>
      <c r="B912">
        <v>1</v>
      </c>
      <c r="C912" s="3">
        <v>8.3333333333333329E-2</v>
      </c>
      <c r="D912" s="58">
        <v>45082</v>
      </c>
      <c r="E912" s="58" t="str">
        <f>TEXT(Base_de_Dados[[#This Row],[Semana]],"Mmmm")</f>
        <v>junho</v>
      </c>
      <c r="F912">
        <f t="shared" si="14"/>
        <v>2023</v>
      </c>
      <c r="G912" t="str">
        <f>IF(MONTH(Base_de_Dados[[#This Row],[Semana]])&lt;=6,"1ª Semestre","2ª Semestre")</f>
        <v>1ª Semestre</v>
      </c>
    </row>
    <row r="913" spans="1:7" x14ac:dyDescent="0.25">
      <c r="A913" t="s">
        <v>121</v>
      </c>
      <c r="B913">
        <v>2</v>
      </c>
      <c r="C913" s="3">
        <v>0.16666666666666666</v>
      </c>
      <c r="D913" s="58">
        <v>45082</v>
      </c>
      <c r="E913" s="58" t="str">
        <f>TEXT(Base_de_Dados[[#This Row],[Semana]],"Mmmm")</f>
        <v>junho</v>
      </c>
      <c r="F913">
        <f t="shared" si="14"/>
        <v>2023</v>
      </c>
      <c r="G913" t="str">
        <f>IF(MONTH(Base_de_Dados[[#This Row],[Semana]])&lt;=6,"1ª Semestre","2ª Semestre")</f>
        <v>1ª Semestre</v>
      </c>
    </row>
    <row r="914" spans="1:7" x14ac:dyDescent="0.25">
      <c r="A914" t="s">
        <v>15</v>
      </c>
      <c r="B914">
        <v>0</v>
      </c>
      <c r="C914" s="3">
        <v>0</v>
      </c>
      <c r="D914" s="58">
        <v>45082</v>
      </c>
      <c r="E914" s="58" t="str">
        <f>TEXT(Base_de_Dados[[#This Row],[Semana]],"Mmmm")</f>
        <v>junho</v>
      </c>
      <c r="F914">
        <f t="shared" si="14"/>
        <v>2023</v>
      </c>
      <c r="G914" t="str">
        <f>IF(MONTH(Base_de_Dados[[#This Row],[Semana]])&lt;=6,"1ª Semestre","2ª Semestre")</f>
        <v>1ª Semestre</v>
      </c>
    </row>
    <row r="915" spans="1:7" x14ac:dyDescent="0.25">
      <c r="A915" t="s">
        <v>16</v>
      </c>
      <c r="B915">
        <v>1</v>
      </c>
      <c r="C915" s="3">
        <v>8.3333333333333329E-2</v>
      </c>
      <c r="D915" s="58">
        <v>45082</v>
      </c>
      <c r="E915" s="58" t="str">
        <f>TEXT(Base_de_Dados[[#This Row],[Semana]],"Mmmm")</f>
        <v>junho</v>
      </c>
      <c r="F915">
        <f t="shared" si="14"/>
        <v>2023</v>
      </c>
      <c r="G915" t="str">
        <f>IF(MONTH(Base_de_Dados[[#This Row],[Semana]])&lt;=6,"1ª Semestre","2ª Semestre")</f>
        <v>1ª Semestre</v>
      </c>
    </row>
    <row r="916" spans="1:7" x14ac:dyDescent="0.25">
      <c r="A916" t="s">
        <v>166</v>
      </c>
      <c r="B916">
        <v>0</v>
      </c>
      <c r="C916" s="3">
        <v>0</v>
      </c>
      <c r="D916" s="58">
        <v>45082</v>
      </c>
      <c r="E916" s="58" t="str">
        <f>TEXT(Base_de_Dados[[#This Row],[Semana]],"Mmmm")</f>
        <v>junho</v>
      </c>
      <c r="F916">
        <f t="shared" si="14"/>
        <v>2023</v>
      </c>
      <c r="G916" t="str">
        <f>IF(MONTH(Base_de_Dados[[#This Row],[Semana]])&lt;=6,"1ª Semestre","2ª Semestre")</f>
        <v>1ª Semestre</v>
      </c>
    </row>
    <row r="917" spans="1:7" x14ac:dyDescent="0.25">
      <c r="A917" t="s">
        <v>168</v>
      </c>
      <c r="B917">
        <v>0</v>
      </c>
      <c r="C917" s="3">
        <v>0</v>
      </c>
      <c r="D917" s="58">
        <v>45082</v>
      </c>
      <c r="E917" s="58" t="str">
        <f>TEXT(Base_de_Dados[[#This Row],[Semana]],"Mmmm")</f>
        <v>junho</v>
      </c>
      <c r="F917">
        <f t="shared" si="14"/>
        <v>2023</v>
      </c>
      <c r="G917" t="str">
        <f>IF(MONTH(Base_de_Dados[[#This Row],[Semana]])&lt;=6,"1ª Semestre","2ª Semestre")</f>
        <v>1ª Semestre</v>
      </c>
    </row>
    <row r="918" spans="1:7" x14ac:dyDescent="0.25">
      <c r="A918" t="s">
        <v>176</v>
      </c>
      <c r="B918">
        <v>0</v>
      </c>
      <c r="C918" s="3">
        <v>0</v>
      </c>
      <c r="D918" s="58">
        <v>45082</v>
      </c>
      <c r="E918" s="58" t="str">
        <f>TEXT(Base_de_Dados[[#This Row],[Semana]],"Mmmm")</f>
        <v>junho</v>
      </c>
      <c r="F918">
        <f t="shared" si="14"/>
        <v>2023</v>
      </c>
      <c r="G918" t="str">
        <f>IF(MONTH(Base_de_Dados[[#This Row],[Semana]])&lt;=6,"1ª Semestre","2ª Semestre")</f>
        <v>1ª Semestre</v>
      </c>
    </row>
    <row r="919" spans="1:7" x14ac:dyDescent="0.25">
      <c r="A919" t="s">
        <v>216</v>
      </c>
      <c r="B919">
        <v>1</v>
      </c>
      <c r="C919" s="3">
        <v>8.3333333333333329E-2</v>
      </c>
      <c r="D919" s="58">
        <v>45082</v>
      </c>
      <c r="E919" s="58" t="str">
        <f>TEXT(Base_de_Dados[[#This Row],[Semana]],"Mmmm")</f>
        <v>junho</v>
      </c>
      <c r="F919">
        <f t="shared" si="14"/>
        <v>2023</v>
      </c>
      <c r="G919" t="str">
        <f>IF(MONTH(Base_de_Dados[[#This Row],[Semana]])&lt;=6,"1ª Semestre","2ª Semestre")</f>
        <v>1ª Semestre</v>
      </c>
    </row>
    <row r="920" spans="1:7" x14ac:dyDescent="0.25">
      <c r="A920" t="s">
        <v>173</v>
      </c>
      <c r="B920">
        <v>0</v>
      </c>
      <c r="C920" s="3">
        <v>0</v>
      </c>
      <c r="D920" s="58">
        <v>45082</v>
      </c>
      <c r="E920" s="58" t="str">
        <f>TEXT(Base_de_Dados[[#This Row],[Semana]],"Mmmm")</f>
        <v>junho</v>
      </c>
      <c r="F920">
        <f>YEAR(D920)</f>
        <v>2023</v>
      </c>
      <c r="G920" t="str">
        <f>IF(MONTH(Base_de_Dados[[#This Row],[Semana]])&lt;=6,"1ª Semestre","2ª Semestre")</f>
        <v>1ª Semestre</v>
      </c>
    </row>
    <row r="921" spans="1:7" x14ac:dyDescent="0.25">
      <c r="A921" t="s">
        <v>4</v>
      </c>
      <c r="B921">
        <v>3</v>
      </c>
      <c r="C921" s="3">
        <v>0.33333333333333331</v>
      </c>
      <c r="D921" s="58">
        <v>45089</v>
      </c>
      <c r="E921" s="58" t="str">
        <f>TEXT(Base_de_Dados[[#This Row],[Semana]],"Mmmm")</f>
        <v>junho</v>
      </c>
      <c r="F921">
        <f t="shared" ref="F921:F938" si="15">YEAR(D921)</f>
        <v>2023</v>
      </c>
      <c r="G921" t="str">
        <f>IF(MONTH(Base_de_Dados[[#This Row],[Semana]])&lt;=6,"1ª Semestre","2ª Semestre")</f>
        <v>1ª Semestre</v>
      </c>
    </row>
    <row r="922" spans="1:7" x14ac:dyDescent="0.25">
      <c r="A922" t="s">
        <v>5</v>
      </c>
      <c r="B922">
        <v>0</v>
      </c>
      <c r="C922" s="3">
        <v>0</v>
      </c>
      <c r="D922" s="58">
        <v>45089</v>
      </c>
      <c r="E922" s="58" t="str">
        <f>TEXT(Base_de_Dados[[#This Row],[Semana]],"Mmmm")</f>
        <v>junho</v>
      </c>
      <c r="F922">
        <f t="shared" si="15"/>
        <v>2023</v>
      </c>
      <c r="G922" t="str">
        <f>IF(MONTH(Base_de_Dados[[#This Row],[Semana]])&lt;=6,"1ª Semestre","2ª Semestre")</f>
        <v>1ª Semestre</v>
      </c>
    </row>
    <row r="923" spans="1:7" x14ac:dyDescent="0.25">
      <c r="A923" t="s">
        <v>127</v>
      </c>
      <c r="B923">
        <v>0</v>
      </c>
      <c r="C923" s="3">
        <v>0</v>
      </c>
      <c r="D923" s="58">
        <v>45089</v>
      </c>
      <c r="E923" s="58" t="str">
        <f>TEXT(Base_de_Dados[[#This Row],[Semana]],"Mmmm")</f>
        <v>junho</v>
      </c>
      <c r="F923">
        <f t="shared" si="15"/>
        <v>2023</v>
      </c>
      <c r="G923" t="str">
        <f>IF(MONTH(Base_de_Dados[[#This Row],[Semana]])&lt;=6,"1ª Semestre","2ª Semestre")</f>
        <v>1ª Semestre</v>
      </c>
    </row>
    <row r="924" spans="1:7" x14ac:dyDescent="0.25">
      <c r="A924" t="s">
        <v>7</v>
      </c>
      <c r="B924">
        <v>0</v>
      </c>
      <c r="C924" s="3">
        <v>0</v>
      </c>
      <c r="D924" s="58">
        <v>45089</v>
      </c>
      <c r="E924" s="58" t="str">
        <f>TEXT(Base_de_Dados[[#This Row],[Semana]],"Mmmm")</f>
        <v>junho</v>
      </c>
      <c r="F924">
        <f t="shared" si="15"/>
        <v>2023</v>
      </c>
      <c r="G924" t="str">
        <f>IF(MONTH(Base_de_Dados[[#This Row],[Semana]])&lt;=6,"1ª Semestre","2ª Semestre")</f>
        <v>1ª Semestre</v>
      </c>
    </row>
    <row r="925" spans="1:7" x14ac:dyDescent="0.25">
      <c r="A925" t="s">
        <v>30</v>
      </c>
      <c r="B925">
        <v>0</v>
      </c>
      <c r="C925" s="3">
        <v>0</v>
      </c>
      <c r="D925" s="58">
        <v>45089</v>
      </c>
      <c r="E925" s="58" t="str">
        <f>TEXT(Base_de_Dados[[#This Row],[Semana]],"Mmmm")</f>
        <v>junho</v>
      </c>
      <c r="F925">
        <f t="shared" si="15"/>
        <v>2023</v>
      </c>
      <c r="G925" t="str">
        <f>IF(MONTH(Base_de_Dados[[#This Row],[Semana]])&lt;=6,"1ª Semestre","2ª Semestre")</f>
        <v>1ª Semestre</v>
      </c>
    </row>
    <row r="926" spans="1:7" x14ac:dyDescent="0.25">
      <c r="A926" t="s">
        <v>118</v>
      </c>
      <c r="B926">
        <v>1</v>
      </c>
      <c r="C926" s="3">
        <v>0.1111111111111111</v>
      </c>
      <c r="D926" s="58">
        <v>45089</v>
      </c>
      <c r="E926" s="58" t="str">
        <f>TEXT(Base_de_Dados[[#This Row],[Semana]],"Mmmm")</f>
        <v>junho</v>
      </c>
      <c r="F926">
        <f t="shared" si="15"/>
        <v>2023</v>
      </c>
      <c r="G926" t="str">
        <f>IF(MONTH(Base_de_Dados[[#This Row],[Semana]])&lt;=6,"1ª Semestre","2ª Semestre")</f>
        <v>1ª Semestre</v>
      </c>
    </row>
    <row r="927" spans="1:7" x14ac:dyDescent="0.25">
      <c r="A927" t="s">
        <v>10</v>
      </c>
      <c r="B927">
        <v>1</v>
      </c>
      <c r="C927" s="3">
        <v>0.1111111111111111</v>
      </c>
      <c r="D927" s="58">
        <v>45089</v>
      </c>
      <c r="E927" s="58" t="str">
        <f>TEXT(Base_de_Dados[[#This Row],[Semana]],"Mmmm")</f>
        <v>junho</v>
      </c>
      <c r="F927">
        <f t="shared" si="15"/>
        <v>2023</v>
      </c>
      <c r="G927" t="str">
        <f>IF(MONTH(Base_de_Dados[[#This Row],[Semana]])&lt;=6,"1ª Semestre","2ª Semestre")</f>
        <v>1ª Semestre</v>
      </c>
    </row>
    <row r="928" spans="1:7" x14ac:dyDescent="0.25">
      <c r="A928" t="s">
        <v>34</v>
      </c>
      <c r="B928">
        <v>0</v>
      </c>
      <c r="C928" s="3">
        <v>0</v>
      </c>
      <c r="D928" s="58">
        <v>45089</v>
      </c>
      <c r="E928" s="58" t="str">
        <f>TEXT(Base_de_Dados[[#This Row],[Semana]],"Mmmm")</f>
        <v>junho</v>
      </c>
      <c r="F928">
        <f t="shared" si="15"/>
        <v>2023</v>
      </c>
      <c r="G928" t="str">
        <f>IF(MONTH(Base_de_Dados[[#This Row],[Semana]])&lt;=6,"1ª Semestre","2ª Semestre")</f>
        <v>1ª Semestre</v>
      </c>
    </row>
    <row r="929" spans="1:7" x14ac:dyDescent="0.25">
      <c r="A929" t="s">
        <v>12</v>
      </c>
      <c r="B929">
        <v>1</v>
      </c>
      <c r="C929" s="3">
        <v>0.1111111111111111</v>
      </c>
      <c r="D929" s="58">
        <v>45089</v>
      </c>
      <c r="E929" s="58" t="str">
        <f>TEXT(Base_de_Dados[[#This Row],[Semana]],"Mmmm")</f>
        <v>junho</v>
      </c>
      <c r="F929">
        <f t="shared" si="15"/>
        <v>2023</v>
      </c>
      <c r="G929" t="str">
        <f>IF(MONTH(Base_de_Dados[[#This Row],[Semana]])&lt;=6,"1ª Semestre","2ª Semestre")</f>
        <v>1ª Semestre</v>
      </c>
    </row>
    <row r="930" spans="1:7" x14ac:dyDescent="0.25">
      <c r="A930" t="s">
        <v>13</v>
      </c>
      <c r="B930">
        <v>2</v>
      </c>
      <c r="C930" s="3">
        <v>0.1111111111111111</v>
      </c>
      <c r="D930" s="58">
        <v>45089</v>
      </c>
      <c r="E930" s="58" t="str">
        <f>TEXT(Base_de_Dados[[#This Row],[Semana]],"Mmmm")</f>
        <v>junho</v>
      </c>
      <c r="F930">
        <f t="shared" si="15"/>
        <v>2023</v>
      </c>
      <c r="G930" t="str">
        <f>IF(MONTH(Base_de_Dados[[#This Row],[Semana]])&lt;=6,"1ª Semestre","2ª Semestre")</f>
        <v>1ª Semestre</v>
      </c>
    </row>
    <row r="931" spans="1:7" x14ac:dyDescent="0.25">
      <c r="A931" t="s">
        <v>121</v>
      </c>
      <c r="B931">
        <v>1</v>
      </c>
      <c r="C931" s="3">
        <v>0.1111111111111111</v>
      </c>
      <c r="D931" s="58">
        <v>45089</v>
      </c>
      <c r="E931" s="58" t="str">
        <f>TEXT(Base_de_Dados[[#This Row],[Semana]],"Mmmm")</f>
        <v>junho</v>
      </c>
      <c r="F931">
        <f t="shared" si="15"/>
        <v>2023</v>
      </c>
      <c r="G931" t="str">
        <f>IF(MONTH(Base_de_Dados[[#This Row],[Semana]])&lt;=6,"1ª Semestre","2ª Semestre")</f>
        <v>1ª Semestre</v>
      </c>
    </row>
    <row r="932" spans="1:7" x14ac:dyDescent="0.25">
      <c r="A932" t="s">
        <v>15</v>
      </c>
      <c r="B932">
        <v>0</v>
      </c>
      <c r="C932" s="3">
        <v>0</v>
      </c>
      <c r="D932" s="58">
        <v>45089</v>
      </c>
      <c r="E932" s="58" t="str">
        <f>TEXT(Base_de_Dados[[#This Row],[Semana]],"Mmmm")</f>
        <v>junho</v>
      </c>
      <c r="F932">
        <f t="shared" si="15"/>
        <v>2023</v>
      </c>
      <c r="G932" t="str">
        <f>IF(MONTH(Base_de_Dados[[#This Row],[Semana]])&lt;=6,"1ª Semestre","2ª Semestre")</f>
        <v>1ª Semestre</v>
      </c>
    </row>
    <row r="933" spans="1:7" x14ac:dyDescent="0.25">
      <c r="A933" t="s">
        <v>16</v>
      </c>
      <c r="B933">
        <v>1</v>
      </c>
      <c r="C933" s="3">
        <v>0.1111111111111111</v>
      </c>
      <c r="D933" s="58">
        <v>45089</v>
      </c>
      <c r="E933" s="58" t="str">
        <f>TEXT(Base_de_Dados[[#This Row],[Semana]],"Mmmm")</f>
        <v>junho</v>
      </c>
      <c r="F933">
        <f t="shared" si="15"/>
        <v>2023</v>
      </c>
      <c r="G933" t="str">
        <f>IF(MONTH(Base_de_Dados[[#This Row],[Semana]])&lt;=6,"1ª Semestre","2ª Semestre")</f>
        <v>1ª Semestre</v>
      </c>
    </row>
    <row r="934" spans="1:7" x14ac:dyDescent="0.25">
      <c r="A934" t="s">
        <v>166</v>
      </c>
      <c r="B934">
        <v>0</v>
      </c>
      <c r="C934" s="3">
        <v>0</v>
      </c>
      <c r="D934" s="58">
        <v>45089</v>
      </c>
      <c r="E934" s="58" t="str">
        <f>TEXT(Base_de_Dados[[#This Row],[Semana]],"Mmmm")</f>
        <v>junho</v>
      </c>
      <c r="F934">
        <f t="shared" si="15"/>
        <v>2023</v>
      </c>
      <c r="G934" t="str">
        <f>IF(MONTH(Base_de_Dados[[#This Row],[Semana]])&lt;=6,"1ª Semestre","2ª Semestre")</f>
        <v>1ª Semestre</v>
      </c>
    </row>
    <row r="935" spans="1:7" x14ac:dyDescent="0.25">
      <c r="A935" t="s">
        <v>168</v>
      </c>
      <c r="B935">
        <v>0</v>
      </c>
      <c r="C935" s="3">
        <v>0</v>
      </c>
      <c r="D935" s="58">
        <v>45089</v>
      </c>
      <c r="E935" s="58" t="str">
        <f>TEXT(Base_de_Dados[[#This Row],[Semana]],"Mmmm")</f>
        <v>junho</v>
      </c>
      <c r="F935">
        <f t="shared" si="15"/>
        <v>2023</v>
      </c>
      <c r="G935" t="str">
        <f>IF(MONTH(Base_de_Dados[[#This Row],[Semana]])&lt;=6,"1ª Semestre","2ª Semestre")</f>
        <v>1ª Semestre</v>
      </c>
    </row>
    <row r="936" spans="1:7" x14ac:dyDescent="0.25">
      <c r="A936" t="s">
        <v>176</v>
      </c>
      <c r="B936">
        <v>0</v>
      </c>
      <c r="C936" s="3">
        <v>0</v>
      </c>
      <c r="D936" s="58">
        <v>45089</v>
      </c>
      <c r="E936" s="58" t="str">
        <f>TEXT(Base_de_Dados[[#This Row],[Semana]],"Mmmm")</f>
        <v>junho</v>
      </c>
      <c r="F936">
        <f t="shared" si="15"/>
        <v>2023</v>
      </c>
      <c r="G936" t="str">
        <f>IF(MONTH(Base_de_Dados[[#This Row],[Semana]])&lt;=6,"1ª Semestre","2ª Semestre")</f>
        <v>1ª Semestre</v>
      </c>
    </row>
    <row r="937" spans="1:7" x14ac:dyDescent="0.25">
      <c r="A937" t="s">
        <v>216</v>
      </c>
      <c r="B937">
        <v>0</v>
      </c>
      <c r="C937" s="3">
        <v>0</v>
      </c>
      <c r="D937" s="58">
        <v>45089</v>
      </c>
      <c r="E937" s="58" t="str">
        <f>TEXT(Base_de_Dados[[#This Row],[Semana]],"Mmmm")</f>
        <v>junho</v>
      </c>
      <c r="F937">
        <f t="shared" si="15"/>
        <v>2023</v>
      </c>
      <c r="G937" t="str">
        <f>IF(MONTH(Base_de_Dados[[#This Row],[Semana]])&lt;=6,"1ª Semestre","2ª Semestre")</f>
        <v>1ª Semestre</v>
      </c>
    </row>
    <row r="938" spans="1:7" x14ac:dyDescent="0.25">
      <c r="A938" t="s">
        <v>173</v>
      </c>
      <c r="B938">
        <v>0</v>
      </c>
      <c r="C938" s="3">
        <v>0</v>
      </c>
      <c r="D938" s="58">
        <v>45089</v>
      </c>
      <c r="E938" s="58" t="str">
        <f>TEXT(Base_de_Dados[[#This Row],[Semana]],"Mmmm")</f>
        <v>junho</v>
      </c>
      <c r="F938">
        <f t="shared" si="15"/>
        <v>2023</v>
      </c>
      <c r="G938" t="str">
        <f>IF(MONTH(Base_de_Dados[[#This Row],[Semana]])&lt;=6,"1ª Semestre","2ª Semestre")</f>
        <v>1ª Semestre</v>
      </c>
    </row>
    <row r="939" spans="1:7" x14ac:dyDescent="0.25">
      <c r="A939" t="s">
        <v>4</v>
      </c>
      <c r="B939">
        <v>1</v>
      </c>
      <c r="C939" s="3">
        <v>8.3333333333333329E-2</v>
      </c>
      <c r="D939" s="58">
        <v>45096</v>
      </c>
      <c r="E939" s="58" t="str">
        <f>TEXT(Base_de_Dados[[#This Row],[Semana]],"Mmmm")</f>
        <v>junho</v>
      </c>
      <c r="F939">
        <f t="shared" ref="F939:F956" si="16">YEAR(D939)</f>
        <v>2023</v>
      </c>
      <c r="G939" t="str">
        <f>IF(MONTH(Base_de_Dados[[#This Row],[Semana]])&lt;=6,"1ª Semestre","2ª Semestre")</f>
        <v>1ª Semestre</v>
      </c>
    </row>
    <row r="940" spans="1:7" x14ac:dyDescent="0.25">
      <c r="A940" t="s">
        <v>5</v>
      </c>
      <c r="B940">
        <v>0</v>
      </c>
      <c r="C940" s="3">
        <v>0</v>
      </c>
      <c r="D940" s="58">
        <v>45096</v>
      </c>
      <c r="E940" s="58" t="str">
        <f>TEXT(Base_de_Dados[[#This Row],[Semana]],"Mmmm")</f>
        <v>junho</v>
      </c>
      <c r="F940">
        <f t="shared" si="16"/>
        <v>2023</v>
      </c>
      <c r="G940" t="str">
        <f>IF(MONTH(Base_de_Dados[[#This Row],[Semana]])&lt;=6,"1ª Semestre","2ª Semestre")</f>
        <v>1ª Semestre</v>
      </c>
    </row>
    <row r="941" spans="1:7" x14ac:dyDescent="0.25">
      <c r="A941" t="s">
        <v>127</v>
      </c>
      <c r="B941">
        <v>0</v>
      </c>
      <c r="C941" s="3">
        <v>0</v>
      </c>
      <c r="D941" s="58">
        <v>45096</v>
      </c>
      <c r="E941" s="58" t="str">
        <f>TEXT(Base_de_Dados[[#This Row],[Semana]],"Mmmm")</f>
        <v>junho</v>
      </c>
      <c r="F941">
        <f t="shared" si="16"/>
        <v>2023</v>
      </c>
      <c r="G941" t="str">
        <f>IF(MONTH(Base_de_Dados[[#This Row],[Semana]])&lt;=6,"1ª Semestre","2ª Semestre")</f>
        <v>1ª Semestre</v>
      </c>
    </row>
    <row r="942" spans="1:7" x14ac:dyDescent="0.25">
      <c r="A942" t="s">
        <v>7</v>
      </c>
      <c r="B942">
        <v>2</v>
      </c>
      <c r="C942" s="3">
        <v>0.16666666666666666</v>
      </c>
      <c r="D942" s="58">
        <v>45096</v>
      </c>
      <c r="E942" s="58" t="str">
        <f>TEXT(Base_de_Dados[[#This Row],[Semana]],"Mmmm")</f>
        <v>junho</v>
      </c>
      <c r="F942">
        <f t="shared" si="16"/>
        <v>2023</v>
      </c>
      <c r="G942" t="str">
        <f>IF(MONTH(Base_de_Dados[[#This Row],[Semana]])&lt;=6,"1ª Semestre","2ª Semestre")</f>
        <v>1ª Semestre</v>
      </c>
    </row>
    <row r="943" spans="1:7" x14ac:dyDescent="0.25">
      <c r="A943" t="s">
        <v>30</v>
      </c>
      <c r="B943">
        <v>0</v>
      </c>
      <c r="C943" s="3">
        <v>0</v>
      </c>
      <c r="D943" s="58">
        <v>45096</v>
      </c>
      <c r="E943" s="58" t="str">
        <f>TEXT(Base_de_Dados[[#This Row],[Semana]],"Mmmm")</f>
        <v>junho</v>
      </c>
      <c r="F943">
        <f t="shared" si="16"/>
        <v>2023</v>
      </c>
      <c r="G943" t="str">
        <f>IF(MONTH(Base_de_Dados[[#This Row],[Semana]])&lt;=6,"1ª Semestre","2ª Semestre")</f>
        <v>1ª Semestre</v>
      </c>
    </row>
    <row r="944" spans="1:7" x14ac:dyDescent="0.25">
      <c r="A944" t="s">
        <v>118</v>
      </c>
      <c r="B944">
        <v>1</v>
      </c>
      <c r="C944" s="3">
        <v>8.3333333333333329E-2</v>
      </c>
      <c r="D944" s="58">
        <v>45096</v>
      </c>
      <c r="E944" s="58" t="str">
        <f>TEXT(Base_de_Dados[[#This Row],[Semana]],"Mmmm")</f>
        <v>junho</v>
      </c>
      <c r="F944">
        <f t="shared" si="16"/>
        <v>2023</v>
      </c>
      <c r="G944" t="str">
        <f>IF(MONTH(Base_de_Dados[[#This Row],[Semana]])&lt;=6,"1ª Semestre","2ª Semestre")</f>
        <v>1ª Semestre</v>
      </c>
    </row>
    <row r="945" spans="1:7" x14ac:dyDescent="0.25">
      <c r="A945" t="s">
        <v>10</v>
      </c>
      <c r="B945">
        <v>1</v>
      </c>
      <c r="C945" s="3">
        <v>8.3333333333333329E-2</v>
      </c>
      <c r="D945" s="58">
        <v>45096</v>
      </c>
      <c r="E945" s="58" t="str">
        <f>TEXT(Base_de_Dados[[#This Row],[Semana]],"Mmmm")</f>
        <v>junho</v>
      </c>
      <c r="F945">
        <f t="shared" si="16"/>
        <v>2023</v>
      </c>
      <c r="G945" t="str">
        <f>IF(MONTH(Base_de_Dados[[#This Row],[Semana]])&lt;=6,"1ª Semestre","2ª Semestre")</f>
        <v>1ª Semestre</v>
      </c>
    </row>
    <row r="946" spans="1:7" x14ac:dyDescent="0.25">
      <c r="A946" t="s">
        <v>34</v>
      </c>
      <c r="B946">
        <v>0</v>
      </c>
      <c r="C946" s="3">
        <v>0</v>
      </c>
      <c r="D946" s="58">
        <v>45096</v>
      </c>
      <c r="E946" s="58" t="str">
        <f>TEXT(Base_de_Dados[[#This Row],[Semana]],"Mmmm")</f>
        <v>junho</v>
      </c>
      <c r="F946">
        <f t="shared" si="16"/>
        <v>2023</v>
      </c>
      <c r="G946" t="str">
        <f>IF(MONTH(Base_de_Dados[[#This Row],[Semana]])&lt;=6,"1ª Semestre","2ª Semestre")</f>
        <v>1ª Semestre</v>
      </c>
    </row>
    <row r="947" spans="1:7" x14ac:dyDescent="0.25">
      <c r="A947" t="s">
        <v>12</v>
      </c>
      <c r="B947">
        <v>0</v>
      </c>
      <c r="C947" s="3">
        <v>0</v>
      </c>
      <c r="D947" s="58">
        <v>45096</v>
      </c>
      <c r="E947" s="58" t="str">
        <f>TEXT(Base_de_Dados[[#This Row],[Semana]],"Mmmm")</f>
        <v>junho</v>
      </c>
      <c r="F947">
        <f t="shared" si="16"/>
        <v>2023</v>
      </c>
      <c r="G947" t="str">
        <f>IF(MONTH(Base_de_Dados[[#This Row],[Semana]])&lt;=6,"1ª Semestre","2ª Semestre")</f>
        <v>1ª Semestre</v>
      </c>
    </row>
    <row r="948" spans="1:7" x14ac:dyDescent="0.25">
      <c r="A948" t="s">
        <v>13</v>
      </c>
      <c r="B948">
        <v>1</v>
      </c>
      <c r="C948" s="3">
        <v>8.3333333333333329E-2</v>
      </c>
      <c r="D948" s="58">
        <v>45096</v>
      </c>
      <c r="E948" s="58" t="str">
        <f>TEXT(Base_de_Dados[[#This Row],[Semana]],"Mmmm")</f>
        <v>junho</v>
      </c>
      <c r="F948">
        <f t="shared" si="16"/>
        <v>2023</v>
      </c>
      <c r="G948" t="str">
        <f>IF(MONTH(Base_de_Dados[[#This Row],[Semana]])&lt;=6,"1ª Semestre","2ª Semestre")</f>
        <v>1ª Semestre</v>
      </c>
    </row>
    <row r="949" spans="1:7" x14ac:dyDescent="0.25">
      <c r="A949" t="s">
        <v>121</v>
      </c>
      <c r="B949">
        <v>0</v>
      </c>
      <c r="C949" s="3">
        <v>0</v>
      </c>
      <c r="D949" s="58">
        <v>45096</v>
      </c>
      <c r="E949" s="58" t="str">
        <f>TEXT(Base_de_Dados[[#This Row],[Semana]],"Mmmm")</f>
        <v>junho</v>
      </c>
      <c r="F949">
        <f t="shared" si="16"/>
        <v>2023</v>
      </c>
      <c r="G949" t="str">
        <f>IF(MONTH(Base_de_Dados[[#This Row],[Semana]])&lt;=6,"1ª Semestre","2ª Semestre")</f>
        <v>1ª Semestre</v>
      </c>
    </row>
    <row r="950" spans="1:7" x14ac:dyDescent="0.25">
      <c r="A950" t="s">
        <v>15</v>
      </c>
      <c r="B950">
        <v>3</v>
      </c>
      <c r="C950" s="3">
        <v>0.25</v>
      </c>
      <c r="D950" s="58">
        <v>45096</v>
      </c>
      <c r="E950" s="58" t="str">
        <f>TEXT(Base_de_Dados[[#This Row],[Semana]],"Mmmm")</f>
        <v>junho</v>
      </c>
      <c r="F950">
        <f t="shared" si="16"/>
        <v>2023</v>
      </c>
      <c r="G950" t="str">
        <f>IF(MONTH(Base_de_Dados[[#This Row],[Semana]])&lt;=6,"1ª Semestre","2ª Semestre")</f>
        <v>1ª Semestre</v>
      </c>
    </row>
    <row r="951" spans="1:7" x14ac:dyDescent="0.25">
      <c r="A951" t="s">
        <v>16</v>
      </c>
      <c r="B951">
        <v>1</v>
      </c>
      <c r="C951" s="3">
        <v>8.3333333333333329E-2</v>
      </c>
      <c r="D951" s="58">
        <v>45096</v>
      </c>
      <c r="E951" s="58" t="str">
        <f>TEXT(Base_de_Dados[[#This Row],[Semana]],"Mmmm")</f>
        <v>junho</v>
      </c>
      <c r="F951">
        <f t="shared" si="16"/>
        <v>2023</v>
      </c>
      <c r="G951" t="str">
        <f>IF(MONTH(Base_de_Dados[[#This Row],[Semana]])&lt;=6,"1ª Semestre","2ª Semestre")</f>
        <v>1ª Semestre</v>
      </c>
    </row>
    <row r="952" spans="1:7" x14ac:dyDescent="0.25">
      <c r="A952" t="s">
        <v>166</v>
      </c>
      <c r="B952">
        <v>0</v>
      </c>
      <c r="C952" s="3">
        <v>0</v>
      </c>
      <c r="D952" s="58">
        <v>45096</v>
      </c>
      <c r="E952" s="58" t="str">
        <f>TEXT(Base_de_Dados[[#This Row],[Semana]],"Mmmm")</f>
        <v>junho</v>
      </c>
      <c r="F952">
        <f t="shared" si="16"/>
        <v>2023</v>
      </c>
      <c r="G952" t="str">
        <f>IF(MONTH(Base_de_Dados[[#This Row],[Semana]])&lt;=6,"1ª Semestre","2ª Semestre")</f>
        <v>1ª Semestre</v>
      </c>
    </row>
    <row r="953" spans="1:7" x14ac:dyDescent="0.25">
      <c r="A953" t="s">
        <v>168</v>
      </c>
      <c r="B953">
        <v>0</v>
      </c>
      <c r="C953" s="3">
        <v>0</v>
      </c>
      <c r="D953" s="58">
        <v>45096</v>
      </c>
      <c r="E953" s="58" t="str">
        <f>TEXT(Base_de_Dados[[#This Row],[Semana]],"Mmmm")</f>
        <v>junho</v>
      </c>
      <c r="F953">
        <f t="shared" si="16"/>
        <v>2023</v>
      </c>
      <c r="G953" t="str">
        <f>IF(MONTH(Base_de_Dados[[#This Row],[Semana]])&lt;=6,"1ª Semestre","2ª Semestre")</f>
        <v>1ª Semestre</v>
      </c>
    </row>
    <row r="954" spans="1:7" x14ac:dyDescent="0.25">
      <c r="A954" t="s">
        <v>176</v>
      </c>
      <c r="B954">
        <v>0</v>
      </c>
      <c r="C954" s="3">
        <v>0</v>
      </c>
      <c r="D954" s="58">
        <v>45096</v>
      </c>
      <c r="E954" s="58" t="str">
        <f>TEXT(Base_de_Dados[[#This Row],[Semana]],"Mmmm")</f>
        <v>junho</v>
      </c>
      <c r="F954">
        <f t="shared" si="16"/>
        <v>2023</v>
      </c>
      <c r="G954" t="str">
        <f>IF(MONTH(Base_de_Dados[[#This Row],[Semana]])&lt;=6,"1ª Semestre","2ª Semestre")</f>
        <v>1ª Semestre</v>
      </c>
    </row>
    <row r="955" spans="1:7" x14ac:dyDescent="0.25">
      <c r="A955" t="s">
        <v>216</v>
      </c>
      <c r="B955">
        <v>2</v>
      </c>
      <c r="C955" s="3">
        <v>0.16666666666666666</v>
      </c>
      <c r="D955" s="58">
        <v>45096</v>
      </c>
      <c r="E955" s="58" t="str">
        <f>TEXT(Base_de_Dados[[#This Row],[Semana]],"Mmmm")</f>
        <v>junho</v>
      </c>
      <c r="F955">
        <f t="shared" si="16"/>
        <v>2023</v>
      </c>
      <c r="G955" t="str">
        <f>IF(MONTH(Base_de_Dados[[#This Row],[Semana]])&lt;=6,"1ª Semestre","2ª Semestre")</f>
        <v>1ª Semestre</v>
      </c>
    </row>
    <row r="956" spans="1:7" x14ac:dyDescent="0.25">
      <c r="A956" t="s">
        <v>173</v>
      </c>
      <c r="B956">
        <v>0</v>
      </c>
      <c r="C956" s="3">
        <v>0</v>
      </c>
      <c r="D956" s="58">
        <v>45096</v>
      </c>
      <c r="E956" s="58" t="str">
        <f>TEXT(Base_de_Dados[[#This Row],[Semana]],"Mmmm")</f>
        <v>junho</v>
      </c>
      <c r="F956">
        <f t="shared" si="16"/>
        <v>2023</v>
      </c>
      <c r="G956" t="str">
        <f>IF(MONTH(Base_de_Dados[[#This Row],[Semana]])&lt;=6,"1ª Semestre","2ª Semestre")</f>
        <v>1ª Semestre</v>
      </c>
    </row>
    <row r="957" spans="1:7" x14ac:dyDescent="0.25">
      <c r="A957" t="s">
        <v>4</v>
      </c>
      <c r="B957">
        <v>0</v>
      </c>
      <c r="C957" s="3">
        <v>0</v>
      </c>
      <c r="D957" s="58">
        <v>45103</v>
      </c>
      <c r="E957" s="58" t="str">
        <f>TEXT(Base_de_Dados[[#This Row],[Semana]],"Mmmm")</f>
        <v>junho</v>
      </c>
      <c r="F957">
        <f t="shared" ref="F957:F974" si="17">YEAR(D957)</f>
        <v>2023</v>
      </c>
      <c r="G957" t="str">
        <f>IF(MONTH(Base_de_Dados[[#This Row],[Semana]])&lt;=6,"1ª Semestre","2ª Semestre")</f>
        <v>1ª Semestre</v>
      </c>
    </row>
    <row r="958" spans="1:7" x14ac:dyDescent="0.25">
      <c r="A958" t="s">
        <v>5</v>
      </c>
      <c r="B958">
        <v>0</v>
      </c>
      <c r="C958" s="3">
        <v>0</v>
      </c>
      <c r="D958" s="58">
        <v>45103</v>
      </c>
      <c r="E958" s="58" t="str">
        <f>TEXT(Base_de_Dados[[#This Row],[Semana]],"Mmmm")</f>
        <v>junho</v>
      </c>
      <c r="F958">
        <f t="shared" si="17"/>
        <v>2023</v>
      </c>
      <c r="G958" t="str">
        <f>IF(MONTH(Base_de_Dados[[#This Row],[Semana]])&lt;=6,"1ª Semestre","2ª Semestre")</f>
        <v>1ª Semestre</v>
      </c>
    </row>
    <row r="959" spans="1:7" x14ac:dyDescent="0.25">
      <c r="A959" t="s">
        <v>127</v>
      </c>
      <c r="B959">
        <v>0</v>
      </c>
      <c r="C959" s="3">
        <v>0</v>
      </c>
      <c r="D959" s="58">
        <v>45103</v>
      </c>
      <c r="E959" s="58" t="str">
        <f>TEXT(Base_de_Dados[[#This Row],[Semana]],"Mmmm")</f>
        <v>junho</v>
      </c>
      <c r="F959">
        <f t="shared" si="17"/>
        <v>2023</v>
      </c>
      <c r="G959" t="str">
        <f>IF(MONTH(Base_de_Dados[[#This Row],[Semana]])&lt;=6,"1ª Semestre","2ª Semestre")</f>
        <v>1ª Semestre</v>
      </c>
    </row>
    <row r="960" spans="1:7" x14ac:dyDescent="0.25">
      <c r="A960" t="s">
        <v>7</v>
      </c>
      <c r="B960">
        <v>0</v>
      </c>
      <c r="C960" s="3">
        <v>0</v>
      </c>
      <c r="D960" s="58">
        <v>45103</v>
      </c>
      <c r="E960" s="58" t="str">
        <f>TEXT(Base_de_Dados[[#This Row],[Semana]],"Mmmm")</f>
        <v>junho</v>
      </c>
      <c r="F960">
        <f t="shared" si="17"/>
        <v>2023</v>
      </c>
      <c r="G960" t="str">
        <f>IF(MONTH(Base_de_Dados[[#This Row],[Semana]])&lt;=6,"1ª Semestre","2ª Semestre")</f>
        <v>1ª Semestre</v>
      </c>
    </row>
    <row r="961" spans="1:7" x14ac:dyDescent="0.25">
      <c r="A961" t="s">
        <v>30</v>
      </c>
      <c r="B961">
        <v>0</v>
      </c>
      <c r="C961" s="3">
        <v>0</v>
      </c>
      <c r="D961" s="58">
        <v>45103</v>
      </c>
      <c r="E961" s="58" t="str">
        <f>TEXT(Base_de_Dados[[#This Row],[Semana]],"Mmmm")</f>
        <v>junho</v>
      </c>
      <c r="F961">
        <f t="shared" si="17"/>
        <v>2023</v>
      </c>
      <c r="G961" t="str">
        <f>IF(MONTH(Base_de_Dados[[#This Row],[Semana]])&lt;=6,"1ª Semestre","2ª Semestre")</f>
        <v>1ª Semestre</v>
      </c>
    </row>
    <row r="962" spans="1:7" x14ac:dyDescent="0.25">
      <c r="A962" t="s">
        <v>118</v>
      </c>
      <c r="B962">
        <v>3</v>
      </c>
      <c r="C962" s="3">
        <v>0.25</v>
      </c>
      <c r="D962" s="58">
        <v>45103</v>
      </c>
      <c r="E962" s="58" t="str">
        <f>TEXT(Base_de_Dados[[#This Row],[Semana]],"Mmmm")</f>
        <v>junho</v>
      </c>
      <c r="F962">
        <f t="shared" si="17"/>
        <v>2023</v>
      </c>
      <c r="G962" t="str">
        <f>IF(MONTH(Base_de_Dados[[#This Row],[Semana]])&lt;=6,"1ª Semestre","2ª Semestre")</f>
        <v>1ª Semestre</v>
      </c>
    </row>
    <row r="963" spans="1:7" x14ac:dyDescent="0.25">
      <c r="A963" t="s">
        <v>10</v>
      </c>
      <c r="B963">
        <v>0</v>
      </c>
      <c r="C963" s="3">
        <v>0</v>
      </c>
      <c r="D963" s="58">
        <v>45103</v>
      </c>
      <c r="E963" s="58" t="str">
        <f>TEXT(Base_de_Dados[[#This Row],[Semana]],"Mmmm")</f>
        <v>junho</v>
      </c>
      <c r="F963">
        <f t="shared" si="17"/>
        <v>2023</v>
      </c>
      <c r="G963" t="str">
        <f>IF(MONTH(Base_de_Dados[[#This Row],[Semana]])&lt;=6,"1ª Semestre","2ª Semestre")</f>
        <v>1ª Semestre</v>
      </c>
    </row>
    <row r="964" spans="1:7" x14ac:dyDescent="0.25">
      <c r="A964" t="s">
        <v>34</v>
      </c>
      <c r="B964">
        <v>0</v>
      </c>
      <c r="C964" s="3">
        <v>0</v>
      </c>
      <c r="D964" s="58">
        <v>45103</v>
      </c>
      <c r="E964" s="58" t="str">
        <f>TEXT(Base_de_Dados[[#This Row],[Semana]],"Mmmm")</f>
        <v>junho</v>
      </c>
      <c r="F964">
        <f t="shared" si="17"/>
        <v>2023</v>
      </c>
      <c r="G964" t="str">
        <f>IF(MONTH(Base_de_Dados[[#This Row],[Semana]])&lt;=6,"1ª Semestre","2ª Semestre")</f>
        <v>1ª Semestre</v>
      </c>
    </row>
    <row r="965" spans="1:7" x14ac:dyDescent="0.25">
      <c r="A965" t="s">
        <v>12</v>
      </c>
      <c r="B965">
        <v>0</v>
      </c>
      <c r="C965" s="3">
        <v>0</v>
      </c>
      <c r="D965" s="58">
        <v>45103</v>
      </c>
      <c r="E965" s="58" t="str">
        <f>TEXT(Base_de_Dados[[#This Row],[Semana]],"Mmmm")</f>
        <v>junho</v>
      </c>
      <c r="F965">
        <f t="shared" si="17"/>
        <v>2023</v>
      </c>
      <c r="G965" t="str">
        <f>IF(MONTH(Base_de_Dados[[#This Row],[Semana]])&lt;=6,"1ª Semestre","2ª Semestre")</f>
        <v>1ª Semestre</v>
      </c>
    </row>
    <row r="966" spans="1:7" x14ac:dyDescent="0.25">
      <c r="A966" t="s">
        <v>13</v>
      </c>
      <c r="B966">
        <v>3</v>
      </c>
      <c r="C966" s="3">
        <v>0.25</v>
      </c>
      <c r="D966" s="58">
        <v>45103</v>
      </c>
      <c r="E966" s="58" t="str">
        <f>TEXT(Base_de_Dados[[#This Row],[Semana]],"Mmmm")</f>
        <v>junho</v>
      </c>
      <c r="F966">
        <f t="shared" si="17"/>
        <v>2023</v>
      </c>
      <c r="G966" t="str">
        <f>IF(MONTH(Base_de_Dados[[#This Row],[Semana]])&lt;=6,"1ª Semestre","2ª Semestre")</f>
        <v>1ª Semestre</v>
      </c>
    </row>
    <row r="967" spans="1:7" x14ac:dyDescent="0.25">
      <c r="A967" t="s">
        <v>121</v>
      </c>
      <c r="B967">
        <v>1</v>
      </c>
      <c r="C967" s="3">
        <v>8.3333333333333329E-2</v>
      </c>
      <c r="D967" s="58">
        <v>45103</v>
      </c>
      <c r="E967" s="58" t="str">
        <f>TEXT(Base_de_Dados[[#This Row],[Semana]],"Mmmm")</f>
        <v>junho</v>
      </c>
      <c r="F967">
        <f t="shared" si="17"/>
        <v>2023</v>
      </c>
      <c r="G967" t="str">
        <f>IF(MONTH(Base_de_Dados[[#This Row],[Semana]])&lt;=6,"1ª Semestre","2ª Semestre")</f>
        <v>1ª Semestre</v>
      </c>
    </row>
    <row r="968" spans="1:7" x14ac:dyDescent="0.25">
      <c r="A968" t="s">
        <v>15</v>
      </c>
      <c r="B968">
        <v>0</v>
      </c>
      <c r="C968" s="3">
        <v>0</v>
      </c>
      <c r="D968" s="58">
        <v>45103</v>
      </c>
      <c r="E968" s="58" t="str">
        <f>TEXT(Base_de_Dados[[#This Row],[Semana]],"Mmmm")</f>
        <v>junho</v>
      </c>
      <c r="F968">
        <f t="shared" si="17"/>
        <v>2023</v>
      </c>
      <c r="G968" t="str">
        <f>IF(MONTH(Base_de_Dados[[#This Row],[Semana]])&lt;=6,"1ª Semestre","2ª Semestre")</f>
        <v>1ª Semestre</v>
      </c>
    </row>
    <row r="969" spans="1:7" x14ac:dyDescent="0.25">
      <c r="A969" t="s">
        <v>16</v>
      </c>
      <c r="B969">
        <v>3</v>
      </c>
      <c r="C969" s="3">
        <v>0.25</v>
      </c>
      <c r="D969" s="58">
        <v>45103</v>
      </c>
      <c r="E969" s="58" t="str">
        <f>TEXT(Base_de_Dados[[#This Row],[Semana]],"Mmmm")</f>
        <v>junho</v>
      </c>
      <c r="F969">
        <f t="shared" si="17"/>
        <v>2023</v>
      </c>
      <c r="G969" t="str">
        <f>IF(MONTH(Base_de_Dados[[#This Row],[Semana]])&lt;=6,"1ª Semestre","2ª Semestre")</f>
        <v>1ª Semestre</v>
      </c>
    </row>
    <row r="970" spans="1:7" x14ac:dyDescent="0.25">
      <c r="A970" t="s">
        <v>166</v>
      </c>
      <c r="B970">
        <v>2</v>
      </c>
      <c r="C970" s="3">
        <v>0.16666666666666666</v>
      </c>
      <c r="D970" s="58">
        <v>45103</v>
      </c>
      <c r="E970" s="58" t="str">
        <f>TEXT(Base_de_Dados[[#This Row],[Semana]],"Mmmm")</f>
        <v>junho</v>
      </c>
      <c r="F970">
        <f t="shared" si="17"/>
        <v>2023</v>
      </c>
      <c r="G970" t="str">
        <f>IF(MONTH(Base_de_Dados[[#This Row],[Semana]])&lt;=6,"1ª Semestre","2ª Semestre")</f>
        <v>1ª Semestre</v>
      </c>
    </row>
    <row r="971" spans="1:7" x14ac:dyDescent="0.25">
      <c r="A971" t="s">
        <v>168</v>
      </c>
      <c r="B971">
        <v>0</v>
      </c>
      <c r="C971" s="3">
        <v>0</v>
      </c>
      <c r="D971" s="58">
        <v>45103</v>
      </c>
      <c r="E971" s="58" t="str">
        <f>TEXT(Base_de_Dados[[#This Row],[Semana]],"Mmmm")</f>
        <v>junho</v>
      </c>
      <c r="F971">
        <f t="shared" si="17"/>
        <v>2023</v>
      </c>
      <c r="G971" t="str">
        <f>IF(MONTH(Base_de_Dados[[#This Row],[Semana]])&lt;=6,"1ª Semestre","2ª Semestre")</f>
        <v>1ª Semestre</v>
      </c>
    </row>
    <row r="972" spans="1:7" x14ac:dyDescent="0.25">
      <c r="A972" t="s">
        <v>176</v>
      </c>
      <c r="B972">
        <v>0</v>
      </c>
      <c r="C972" s="3">
        <v>0</v>
      </c>
      <c r="D972" s="58">
        <v>45103</v>
      </c>
      <c r="E972" s="58" t="str">
        <f>TEXT(Base_de_Dados[[#This Row],[Semana]],"Mmmm")</f>
        <v>junho</v>
      </c>
      <c r="F972">
        <f t="shared" si="17"/>
        <v>2023</v>
      </c>
      <c r="G972" t="str">
        <f>IF(MONTH(Base_de_Dados[[#This Row],[Semana]])&lt;=6,"1ª Semestre","2ª Semestre")</f>
        <v>1ª Semestre</v>
      </c>
    </row>
    <row r="973" spans="1:7" x14ac:dyDescent="0.25">
      <c r="A973" t="s">
        <v>216</v>
      </c>
      <c r="B973">
        <v>0</v>
      </c>
      <c r="C973" s="3">
        <v>0</v>
      </c>
      <c r="D973" s="58">
        <v>45103</v>
      </c>
      <c r="E973" s="58" t="str">
        <f>TEXT(Base_de_Dados[[#This Row],[Semana]],"Mmmm")</f>
        <v>junho</v>
      </c>
      <c r="F973">
        <f t="shared" si="17"/>
        <v>2023</v>
      </c>
      <c r="G973" t="str">
        <f>IF(MONTH(Base_de_Dados[[#This Row],[Semana]])&lt;=6,"1ª Semestre","2ª Semestre")</f>
        <v>1ª Semestre</v>
      </c>
    </row>
    <row r="974" spans="1:7" x14ac:dyDescent="0.25">
      <c r="A974" t="s">
        <v>173</v>
      </c>
      <c r="B974">
        <v>0</v>
      </c>
      <c r="C974" s="3">
        <v>0</v>
      </c>
      <c r="D974" s="58">
        <v>45103</v>
      </c>
      <c r="E974" s="58" t="str">
        <f>TEXT(Base_de_Dados[[#This Row],[Semana]],"Mmmm")</f>
        <v>junho</v>
      </c>
      <c r="F974">
        <f t="shared" si="17"/>
        <v>2023</v>
      </c>
      <c r="G974" t="str">
        <f>IF(MONTH(Base_de_Dados[[#This Row],[Semana]])&lt;=6,"1ª Semestre","2ª Semestre")</f>
        <v>1ª Semestre</v>
      </c>
    </row>
    <row r="975" spans="1:7" x14ac:dyDescent="0.25">
      <c r="A975" t="s">
        <v>4</v>
      </c>
      <c r="B975">
        <v>0</v>
      </c>
      <c r="C975" s="3">
        <v>0</v>
      </c>
      <c r="D975" s="58">
        <v>45110</v>
      </c>
      <c r="E975" s="58" t="str">
        <f>TEXT(Base_de_Dados[[#This Row],[Semana]],"Mmmm")</f>
        <v>julho</v>
      </c>
      <c r="F975">
        <f t="shared" ref="F975:F992" si="18">YEAR(D975)</f>
        <v>2023</v>
      </c>
      <c r="G975" t="str">
        <f>IF(MONTH(Base_de_Dados[[#This Row],[Semana]])&lt;=6,"1ª Semestre","2ª Semestre")</f>
        <v>2ª Semestre</v>
      </c>
    </row>
    <row r="976" spans="1:7" x14ac:dyDescent="0.25">
      <c r="A976" t="s">
        <v>5</v>
      </c>
      <c r="B976">
        <v>0</v>
      </c>
      <c r="C976" s="3">
        <v>0</v>
      </c>
      <c r="D976" s="58">
        <v>45110</v>
      </c>
      <c r="E976" s="58" t="str">
        <f>TEXT(Base_de_Dados[[#This Row],[Semana]],"Mmmm")</f>
        <v>julho</v>
      </c>
      <c r="F976">
        <f t="shared" si="18"/>
        <v>2023</v>
      </c>
      <c r="G976" t="str">
        <f>IF(MONTH(Base_de_Dados[[#This Row],[Semana]])&lt;=6,"1ª Semestre","2ª Semestre")</f>
        <v>2ª Semestre</v>
      </c>
    </row>
    <row r="977" spans="1:7" x14ac:dyDescent="0.25">
      <c r="A977" t="s">
        <v>127</v>
      </c>
      <c r="B977">
        <v>0</v>
      </c>
      <c r="C977" s="3">
        <v>0</v>
      </c>
      <c r="D977" s="58">
        <v>45110</v>
      </c>
      <c r="E977" s="58" t="str">
        <f>TEXT(Base_de_Dados[[#This Row],[Semana]],"Mmmm")</f>
        <v>julho</v>
      </c>
      <c r="F977">
        <f t="shared" si="18"/>
        <v>2023</v>
      </c>
      <c r="G977" t="str">
        <f>IF(MONTH(Base_de_Dados[[#This Row],[Semana]])&lt;=6,"1ª Semestre","2ª Semestre")</f>
        <v>2ª Semestre</v>
      </c>
    </row>
    <row r="978" spans="1:7" x14ac:dyDescent="0.25">
      <c r="A978" t="s">
        <v>7</v>
      </c>
      <c r="B978">
        <v>0</v>
      </c>
      <c r="C978" s="3">
        <v>0</v>
      </c>
      <c r="D978" s="58">
        <v>45110</v>
      </c>
      <c r="E978" s="58" t="str">
        <f>TEXT(Base_de_Dados[[#This Row],[Semana]],"Mmmm")</f>
        <v>julho</v>
      </c>
      <c r="F978">
        <f t="shared" si="18"/>
        <v>2023</v>
      </c>
      <c r="G978" t="str">
        <f>IF(MONTH(Base_de_Dados[[#This Row],[Semana]])&lt;=6,"1ª Semestre","2ª Semestre")</f>
        <v>2ª Semestre</v>
      </c>
    </row>
    <row r="979" spans="1:7" x14ac:dyDescent="0.25">
      <c r="A979" t="s">
        <v>30</v>
      </c>
      <c r="B979">
        <v>0</v>
      </c>
      <c r="C979" s="3">
        <v>0</v>
      </c>
      <c r="D979" s="58">
        <v>45110</v>
      </c>
      <c r="E979" s="58" t="str">
        <f>TEXT(Base_de_Dados[[#This Row],[Semana]],"Mmmm")</f>
        <v>julho</v>
      </c>
      <c r="F979">
        <f t="shared" si="18"/>
        <v>2023</v>
      </c>
      <c r="G979" t="str">
        <f>IF(MONTH(Base_de_Dados[[#This Row],[Semana]])&lt;=6,"1ª Semestre","2ª Semestre")</f>
        <v>2ª Semestre</v>
      </c>
    </row>
    <row r="980" spans="1:7" x14ac:dyDescent="0.25">
      <c r="A980" t="s">
        <v>118</v>
      </c>
      <c r="B980">
        <v>2</v>
      </c>
      <c r="C980" s="3">
        <v>0.5</v>
      </c>
      <c r="D980" s="58">
        <v>45110</v>
      </c>
      <c r="E980" s="58" t="str">
        <f>TEXT(Base_de_Dados[[#This Row],[Semana]],"Mmmm")</f>
        <v>julho</v>
      </c>
      <c r="F980">
        <f t="shared" si="18"/>
        <v>2023</v>
      </c>
      <c r="G980" t="str">
        <f>IF(MONTH(Base_de_Dados[[#This Row],[Semana]])&lt;=6,"1ª Semestre","2ª Semestre")</f>
        <v>2ª Semestre</v>
      </c>
    </row>
    <row r="981" spans="1:7" x14ac:dyDescent="0.25">
      <c r="A981" t="s">
        <v>10</v>
      </c>
      <c r="B981">
        <v>0</v>
      </c>
      <c r="C981" s="3">
        <v>0</v>
      </c>
      <c r="D981" s="58">
        <v>45110</v>
      </c>
      <c r="E981" s="58" t="str">
        <f>TEXT(Base_de_Dados[[#This Row],[Semana]],"Mmmm")</f>
        <v>julho</v>
      </c>
      <c r="F981">
        <f t="shared" si="18"/>
        <v>2023</v>
      </c>
      <c r="G981" t="str">
        <f>IF(MONTH(Base_de_Dados[[#This Row],[Semana]])&lt;=6,"1ª Semestre","2ª Semestre")</f>
        <v>2ª Semestre</v>
      </c>
    </row>
    <row r="982" spans="1:7" x14ac:dyDescent="0.25">
      <c r="A982" t="s">
        <v>34</v>
      </c>
      <c r="B982">
        <v>0</v>
      </c>
      <c r="C982" s="3">
        <v>0</v>
      </c>
      <c r="D982" s="58">
        <v>45110</v>
      </c>
      <c r="E982" s="58" t="str">
        <f>TEXT(Base_de_Dados[[#This Row],[Semana]],"Mmmm")</f>
        <v>julho</v>
      </c>
      <c r="F982">
        <f t="shared" si="18"/>
        <v>2023</v>
      </c>
      <c r="G982" t="str">
        <f>IF(MONTH(Base_de_Dados[[#This Row],[Semana]])&lt;=6,"1ª Semestre","2ª Semestre")</f>
        <v>2ª Semestre</v>
      </c>
    </row>
    <row r="983" spans="1:7" x14ac:dyDescent="0.25">
      <c r="A983" t="s">
        <v>12</v>
      </c>
      <c r="B983">
        <v>0</v>
      </c>
      <c r="C983" s="3">
        <v>0</v>
      </c>
      <c r="D983" s="58">
        <v>45110</v>
      </c>
      <c r="E983" s="58" t="str">
        <f>TEXT(Base_de_Dados[[#This Row],[Semana]],"Mmmm")</f>
        <v>julho</v>
      </c>
      <c r="F983">
        <f t="shared" si="18"/>
        <v>2023</v>
      </c>
      <c r="G983" t="str">
        <f>IF(MONTH(Base_de_Dados[[#This Row],[Semana]])&lt;=6,"1ª Semestre","2ª Semestre")</f>
        <v>2ª Semestre</v>
      </c>
    </row>
    <row r="984" spans="1:7" x14ac:dyDescent="0.25">
      <c r="A984" t="s">
        <v>13</v>
      </c>
      <c r="B984">
        <v>1</v>
      </c>
      <c r="C984" s="3">
        <v>0.25</v>
      </c>
      <c r="D984" s="58">
        <v>45110</v>
      </c>
      <c r="E984" s="58" t="str">
        <f>TEXT(Base_de_Dados[[#This Row],[Semana]],"Mmmm")</f>
        <v>julho</v>
      </c>
      <c r="F984">
        <f t="shared" si="18"/>
        <v>2023</v>
      </c>
      <c r="G984" t="str">
        <f>IF(MONTH(Base_de_Dados[[#This Row],[Semana]])&lt;=6,"1ª Semestre","2ª Semestre")</f>
        <v>2ª Semestre</v>
      </c>
    </row>
    <row r="985" spans="1:7" x14ac:dyDescent="0.25">
      <c r="A985" t="s">
        <v>121</v>
      </c>
      <c r="B985">
        <v>0</v>
      </c>
      <c r="C985" s="3">
        <v>0</v>
      </c>
      <c r="D985" s="58">
        <v>45110</v>
      </c>
      <c r="E985" s="58" t="str">
        <f>TEXT(Base_de_Dados[[#This Row],[Semana]],"Mmmm")</f>
        <v>julho</v>
      </c>
      <c r="F985">
        <f t="shared" si="18"/>
        <v>2023</v>
      </c>
      <c r="G985" t="str">
        <f>IF(MONTH(Base_de_Dados[[#This Row],[Semana]])&lt;=6,"1ª Semestre","2ª Semestre")</f>
        <v>2ª Semestre</v>
      </c>
    </row>
    <row r="986" spans="1:7" x14ac:dyDescent="0.25">
      <c r="A986" t="s">
        <v>15</v>
      </c>
      <c r="B986">
        <v>1</v>
      </c>
      <c r="C986" s="3">
        <v>0.25</v>
      </c>
      <c r="D986" s="58">
        <v>45110</v>
      </c>
      <c r="E986" s="58" t="str">
        <f>TEXT(Base_de_Dados[[#This Row],[Semana]],"Mmmm")</f>
        <v>julho</v>
      </c>
      <c r="F986">
        <f t="shared" si="18"/>
        <v>2023</v>
      </c>
      <c r="G986" t="str">
        <f>IF(MONTH(Base_de_Dados[[#This Row],[Semana]])&lt;=6,"1ª Semestre","2ª Semestre")</f>
        <v>2ª Semestre</v>
      </c>
    </row>
    <row r="987" spans="1:7" x14ac:dyDescent="0.25">
      <c r="A987" t="s">
        <v>16</v>
      </c>
      <c r="B987">
        <v>0</v>
      </c>
      <c r="C987" s="3">
        <v>0</v>
      </c>
      <c r="D987" s="58">
        <v>45110</v>
      </c>
      <c r="E987" s="58" t="str">
        <f>TEXT(Base_de_Dados[[#This Row],[Semana]],"Mmmm")</f>
        <v>julho</v>
      </c>
      <c r="F987">
        <f t="shared" si="18"/>
        <v>2023</v>
      </c>
      <c r="G987" t="str">
        <f>IF(MONTH(Base_de_Dados[[#This Row],[Semana]])&lt;=6,"1ª Semestre","2ª Semestre")</f>
        <v>2ª Semestre</v>
      </c>
    </row>
    <row r="988" spans="1:7" x14ac:dyDescent="0.25">
      <c r="A988" t="s">
        <v>166</v>
      </c>
      <c r="B988">
        <v>0</v>
      </c>
      <c r="C988" s="3">
        <v>0</v>
      </c>
      <c r="D988" s="58">
        <v>45110</v>
      </c>
      <c r="E988" s="58" t="str">
        <f>TEXT(Base_de_Dados[[#This Row],[Semana]],"Mmmm")</f>
        <v>julho</v>
      </c>
      <c r="F988">
        <f t="shared" si="18"/>
        <v>2023</v>
      </c>
      <c r="G988" t="str">
        <f>IF(MONTH(Base_de_Dados[[#This Row],[Semana]])&lt;=6,"1ª Semestre","2ª Semestre")</f>
        <v>2ª Semestre</v>
      </c>
    </row>
    <row r="989" spans="1:7" x14ac:dyDescent="0.25">
      <c r="A989" t="s">
        <v>168</v>
      </c>
      <c r="B989">
        <v>0</v>
      </c>
      <c r="C989" s="3">
        <v>0</v>
      </c>
      <c r="D989" s="58">
        <v>45110</v>
      </c>
      <c r="E989" s="58" t="str">
        <f>TEXT(Base_de_Dados[[#This Row],[Semana]],"Mmmm")</f>
        <v>julho</v>
      </c>
      <c r="F989">
        <f t="shared" si="18"/>
        <v>2023</v>
      </c>
      <c r="G989" t="str">
        <f>IF(MONTH(Base_de_Dados[[#This Row],[Semana]])&lt;=6,"1ª Semestre","2ª Semestre")</f>
        <v>2ª Semestre</v>
      </c>
    </row>
    <row r="990" spans="1:7" x14ac:dyDescent="0.25">
      <c r="A990" t="s">
        <v>176</v>
      </c>
      <c r="B990">
        <v>0</v>
      </c>
      <c r="C990" s="3">
        <v>0</v>
      </c>
      <c r="D990" s="58">
        <v>45110</v>
      </c>
      <c r="E990" s="58" t="str">
        <f>TEXT(Base_de_Dados[[#This Row],[Semana]],"Mmmm")</f>
        <v>julho</v>
      </c>
      <c r="F990">
        <f t="shared" si="18"/>
        <v>2023</v>
      </c>
      <c r="G990" t="str">
        <f>IF(MONTH(Base_de_Dados[[#This Row],[Semana]])&lt;=6,"1ª Semestre","2ª Semestre")</f>
        <v>2ª Semestre</v>
      </c>
    </row>
    <row r="991" spans="1:7" x14ac:dyDescent="0.25">
      <c r="A991" t="s">
        <v>216</v>
      </c>
      <c r="B991">
        <v>0</v>
      </c>
      <c r="C991" s="3">
        <v>0</v>
      </c>
      <c r="D991" s="58">
        <v>45110</v>
      </c>
      <c r="E991" s="58" t="str">
        <f>TEXT(Base_de_Dados[[#This Row],[Semana]],"Mmmm")</f>
        <v>julho</v>
      </c>
      <c r="F991">
        <f t="shared" si="18"/>
        <v>2023</v>
      </c>
      <c r="G991" t="str">
        <f>IF(MONTH(Base_de_Dados[[#This Row],[Semana]])&lt;=6,"1ª Semestre","2ª Semestre")</f>
        <v>2ª Semestre</v>
      </c>
    </row>
    <row r="992" spans="1:7" x14ac:dyDescent="0.25">
      <c r="A992" t="s">
        <v>173</v>
      </c>
      <c r="B992">
        <v>0</v>
      </c>
      <c r="C992" s="3">
        <v>0</v>
      </c>
      <c r="D992" s="58">
        <v>45110</v>
      </c>
      <c r="E992" s="58" t="str">
        <f>TEXT(Base_de_Dados[[#This Row],[Semana]],"Mmmm")</f>
        <v>julho</v>
      </c>
      <c r="F992">
        <f t="shared" si="18"/>
        <v>2023</v>
      </c>
      <c r="G992" t="str">
        <f>IF(MONTH(Base_de_Dados[[#This Row],[Semana]])&lt;=6,"1ª Semestre","2ª Semestre")</f>
        <v>2ª Semestre</v>
      </c>
    </row>
    <row r="993" spans="1:7" x14ac:dyDescent="0.25">
      <c r="A993" t="s">
        <v>4</v>
      </c>
      <c r="B993">
        <v>1</v>
      </c>
      <c r="C993" s="3">
        <v>0.1111111111111111</v>
      </c>
      <c r="D993" s="58">
        <v>45117</v>
      </c>
      <c r="E993" s="58" t="str">
        <f>TEXT(Base_de_Dados[[#This Row],[Semana]],"Mmmm")</f>
        <v>julho</v>
      </c>
      <c r="F993">
        <f t="shared" ref="F993:F1010" si="19">YEAR(D993)</f>
        <v>2023</v>
      </c>
      <c r="G993" t="str">
        <f>IF(MONTH(Base_de_Dados[[#This Row],[Semana]])&lt;=6,"1ª Semestre","2ª Semestre")</f>
        <v>2ª Semestre</v>
      </c>
    </row>
    <row r="994" spans="1:7" x14ac:dyDescent="0.25">
      <c r="A994" t="s">
        <v>5</v>
      </c>
      <c r="B994">
        <v>0</v>
      </c>
      <c r="C994" s="3">
        <v>0</v>
      </c>
      <c r="D994" s="58">
        <v>45117</v>
      </c>
      <c r="E994" s="58" t="str">
        <f>TEXT(Base_de_Dados[[#This Row],[Semana]],"Mmmm")</f>
        <v>julho</v>
      </c>
      <c r="F994">
        <f t="shared" si="19"/>
        <v>2023</v>
      </c>
      <c r="G994" t="str">
        <f>IF(MONTH(Base_de_Dados[[#This Row],[Semana]])&lt;=6,"1ª Semestre","2ª Semestre")</f>
        <v>2ª Semestre</v>
      </c>
    </row>
    <row r="995" spans="1:7" x14ac:dyDescent="0.25">
      <c r="A995" t="s">
        <v>127</v>
      </c>
      <c r="B995">
        <v>0</v>
      </c>
      <c r="C995" s="3">
        <v>0</v>
      </c>
      <c r="D995" s="58">
        <v>45117</v>
      </c>
      <c r="E995" s="58" t="str">
        <f>TEXT(Base_de_Dados[[#This Row],[Semana]],"Mmmm")</f>
        <v>julho</v>
      </c>
      <c r="F995">
        <f t="shared" si="19"/>
        <v>2023</v>
      </c>
      <c r="G995" t="str">
        <f>IF(MONTH(Base_de_Dados[[#This Row],[Semana]])&lt;=6,"1ª Semestre","2ª Semestre")</f>
        <v>2ª Semestre</v>
      </c>
    </row>
    <row r="996" spans="1:7" x14ac:dyDescent="0.25">
      <c r="A996" t="s">
        <v>7</v>
      </c>
      <c r="B996">
        <v>0</v>
      </c>
      <c r="C996" s="3">
        <v>0</v>
      </c>
      <c r="D996" s="58">
        <v>45117</v>
      </c>
      <c r="E996" s="58" t="str">
        <f>TEXT(Base_de_Dados[[#This Row],[Semana]],"Mmmm")</f>
        <v>julho</v>
      </c>
      <c r="F996">
        <f t="shared" si="19"/>
        <v>2023</v>
      </c>
      <c r="G996" t="str">
        <f>IF(MONTH(Base_de_Dados[[#This Row],[Semana]])&lt;=6,"1ª Semestre","2ª Semestre")</f>
        <v>2ª Semestre</v>
      </c>
    </row>
    <row r="997" spans="1:7" x14ac:dyDescent="0.25">
      <c r="A997" t="s">
        <v>30</v>
      </c>
      <c r="B997">
        <v>7</v>
      </c>
      <c r="C997" s="3">
        <v>0.77777777777777779</v>
      </c>
      <c r="D997" s="58">
        <v>45117</v>
      </c>
      <c r="E997" s="58" t="str">
        <f>TEXT(Base_de_Dados[[#This Row],[Semana]],"Mmmm")</f>
        <v>julho</v>
      </c>
      <c r="F997">
        <f t="shared" si="19"/>
        <v>2023</v>
      </c>
      <c r="G997" t="str">
        <f>IF(MONTH(Base_de_Dados[[#This Row],[Semana]])&lt;=6,"1ª Semestre","2ª Semestre")</f>
        <v>2ª Semestre</v>
      </c>
    </row>
    <row r="998" spans="1:7" x14ac:dyDescent="0.25">
      <c r="A998" t="s">
        <v>118</v>
      </c>
      <c r="B998">
        <v>0</v>
      </c>
      <c r="C998" s="3">
        <v>0</v>
      </c>
      <c r="D998" s="58">
        <v>45117</v>
      </c>
      <c r="E998" s="58" t="str">
        <f>TEXT(Base_de_Dados[[#This Row],[Semana]],"Mmmm")</f>
        <v>julho</v>
      </c>
      <c r="F998">
        <f t="shared" si="19"/>
        <v>2023</v>
      </c>
      <c r="G998" t="str">
        <f>IF(MONTH(Base_de_Dados[[#This Row],[Semana]])&lt;=6,"1ª Semestre","2ª Semestre")</f>
        <v>2ª Semestre</v>
      </c>
    </row>
    <row r="999" spans="1:7" x14ac:dyDescent="0.25">
      <c r="A999" t="s">
        <v>10</v>
      </c>
      <c r="B999">
        <v>0</v>
      </c>
      <c r="C999" s="3">
        <v>0</v>
      </c>
      <c r="D999" s="58">
        <v>45117</v>
      </c>
      <c r="E999" s="58" t="str">
        <f>TEXT(Base_de_Dados[[#This Row],[Semana]],"Mmmm")</f>
        <v>julho</v>
      </c>
      <c r="F999">
        <f t="shared" si="19"/>
        <v>2023</v>
      </c>
      <c r="G999" t="str">
        <f>IF(MONTH(Base_de_Dados[[#This Row],[Semana]])&lt;=6,"1ª Semestre","2ª Semestre")</f>
        <v>2ª Semestre</v>
      </c>
    </row>
    <row r="1000" spans="1:7" x14ac:dyDescent="0.25">
      <c r="A1000" t="s">
        <v>34</v>
      </c>
      <c r="B1000">
        <v>0</v>
      </c>
      <c r="C1000" s="3">
        <v>0</v>
      </c>
      <c r="D1000" s="58">
        <v>45117</v>
      </c>
      <c r="E1000" s="58" t="str">
        <f>TEXT(Base_de_Dados[[#This Row],[Semana]],"Mmmm")</f>
        <v>julho</v>
      </c>
      <c r="F1000">
        <f t="shared" si="19"/>
        <v>2023</v>
      </c>
      <c r="G1000" t="str">
        <f>IF(MONTH(Base_de_Dados[[#This Row],[Semana]])&lt;=6,"1ª Semestre","2ª Semestre")</f>
        <v>2ª Semestre</v>
      </c>
    </row>
    <row r="1001" spans="1:7" x14ac:dyDescent="0.25">
      <c r="A1001" t="s">
        <v>12</v>
      </c>
      <c r="B1001">
        <v>0</v>
      </c>
      <c r="C1001" s="3">
        <v>0</v>
      </c>
      <c r="D1001" s="58">
        <v>45117</v>
      </c>
      <c r="E1001" s="58" t="str">
        <f>TEXT(Base_de_Dados[[#This Row],[Semana]],"Mmmm")</f>
        <v>julho</v>
      </c>
      <c r="F1001">
        <f t="shared" si="19"/>
        <v>2023</v>
      </c>
      <c r="G1001" t="str">
        <f>IF(MONTH(Base_de_Dados[[#This Row],[Semana]])&lt;=6,"1ª Semestre","2ª Semestre")</f>
        <v>2ª Semestre</v>
      </c>
    </row>
    <row r="1002" spans="1:7" x14ac:dyDescent="0.25">
      <c r="A1002" t="s">
        <v>13</v>
      </c>
      <c r="B1002">
        <v>1</v>
      </c>
      <c r="C1002" s="3">
        <v>0.1111111111111111</v>
      </c>
      <c r="D1002" s="58">
        <v>45117</v>
      </c>
      <c r="E1002" s="58" t="str">
        <f>TEXT(Base_de_Dados[[#This Row],[Semana]],"Mmmm")</f>
        <v>julho</v>
      </c>
      <c r="F1002">
        <f t="shared" si="19"/>
        <v>2023</v>
      </c>
      <c r="G1002" t="str">
        <f>IF(MONTH(Base_de_Dados[[#This Row],[Semana]])&lt;=6,"1ª Semestre","2ª Semestre")</f>
        <v>2ª Semestre</v>
      </c>
    </row>
    <row r="1003" spans="1:7" x14ac:dyDescent="0.25">
      <c r="A1003" t="s">
        <v>121</v>
      </c>
      <c r="B1003">
        <v>0</v>
      </c>
      <c r="C1003" s="3">
        <v>0</v>
      </c>
      <c r="D1003" s="58">
        <v>45117</v>
      </c>
      <c r="E1003" s="58" t="str">
        <f>TEXT(Base_de_Dados[[#This Row],[Semana]],"Mmmm")</f>
        <v>julho</v>
      </c>
      <c r="F1003">
        <f t="shared" si="19"/>
        <v>2023</v>
      </c>
      <c r="G1003" t="str">
        <f>IF(MONTH(Base_de_Dados[[#This Row],[Semana]])&lt;=6,"1ª Semestre","2ª Semestre")</f>
        <v>2ª Semestre</v>
      </c>
    </row>
    <row r="1004" spans="1:7" x14ac:dyDescent="0.25">
      <c r="A1004" t="s">
        <v>15</v>
      </c>
      <c r="B1004">
        <v>0</v>
      </c>
      <c r="C1004" s="3">
        <v>0</v>
      </c>
      <c r="D1004" s="58">
        <v>45117</v>
      </c>
      <c r="E1004" s="58" t="str">
        <f>TEXT(Base_de_Dados[[#This Row],[Semana]],"Mmmm")</f>
        <v>julho</v>
      </c>
      <c r="F1004">
        <f t="shared" si="19"/>
        <v>2023</v>
      </c>
      <c r="G1004" t="str">
        <f>IF(MONTH(Base_de_Dados[[#This Row],[Semana]])&lt;=6,"1ª Semestre","2ª Semestre")</f>
        <v>2ª Semestre</v>
      </c>
    </row>
    <row r="1005" spans="1:7" x14ac:dyDescent="0.25">
      <c r="A1005" t="s">
        <v>16</v>
      </c>
      <c r="B1005">
        <v>0</v>
      </c>
      <c r="C1005" s="3">
        <v>0</v>
      </c>
      <c r="D1005" s="58">
        <v>45117</v>
      </c>
      <c r="E1005" s="58" t="str">
        <f>TEXT(Base_de_Dados[[#This Row],[Semana]],"Mmmm")</f>
        <v>julho</v>
      </c>
      <c r="F1005">
        <f t="shared" si="19"/>
        <v>2023</v>
      </c>
      <c r="G1005" t="str">
        <f>IF(MONTH(Base_de_Dados[[#This Row],[Semana]])&lt;=6,"1ª Semestre","2ª Semestre")</f>
        <v>2ª Semestre</v>
      </c>
    </row>
    <row r="1006" spans="1:7" x14ac:dyDescent="0.25">
      <c r="A1006" t="s">
        <v>166</v>
      </c>
      <c r="B1006">
        <v>0</v>
      </c>
      <c r="C1006" s="3">
        <v>0</v>
      </c>
      <c r="D1006" s="58">
        <v>45117</v>
      </c>
      <c r="E1006" s="58" t="str">
        <f>TEXT(Base_de_Dados[[#This Row],[Semana]],"Mmmm")</f>
        <v>julho</v>
      </c>
      <c r="F1006">
        <f t="shared" si="19"/>
        <v>2023</v>
      </c>
      <c r="G1006" t="str">
        <f>IF(MONTH(Base_de_Dados[[#This Row],[Semana]])&lt;=6,"1ª Semestre","2ª Semestre")</f>
        <v>2ª Semestre</v>
      </c>
    </row>
    <row r="1007" spans="1:7" x14ac:dyDescent="0.25">
      <c r="A1007" t="s">
        <v>168</v>
      </c>
      <c r="B1007">
        <v>0</v>
      </c>
      <c r="C1007" s="3">
        <v>0</v>
      </c>
      <c r="D1007" s="58">
        <v>45117</v>
      </c>
      <c r="E1007" s="58" t="str">
        <f>TEXT(Base_de_Dados[[#This Row],[Semana]],"Mmmm")</f>
        <v>julho</v>
      </c>
      <c r="F1007">
        <f t="shared" si="19"/>
        <v>2023</v>
      </c>
      <c r="G1007" t="str">
        <f>IF(MONTH(Base_de_Dados[[#This Row],[Semana]])&lt;=6,"1ª Semestre","2ª Semestre")</f>
        <v>2ª Semestre</v>
      </c>
    </row>
    <row r="1008" spans="1:7" x14ac:dyDescent="0.25">
      <c r="A1008" t="s">
        <v>176</v>
      </c>
      <c r="B1008">
        <v>0</v>
      </c>
      <c r="C1008" s="3">
        <v>0</v>
      </c>
      <c r="D1008" s="58">
        <v>45117</v>
      </c>
      <c r="E1008" s="58" t="str">
        <f>TEXT(Base_de_Dados[[#This Row],[Semana]],"Mmmm")</f>
        <v>julho</v>
      </c>
      <c r="F1008">
        <f t="shared" si="19"/>
        <v>2023</v>
      </c>
      <c r="G1008" t="str">
        <f>IF(MONTH(Base_de_Dados[[#This Row],[Semana]])&lt;=6,"1ª Semestre","2ª Semestre")</f>
        <v>2ª Semestre</v>
      </c>
    </row>
    <row r="1009" spans="1:7" x14ac:dyDescent="0.25">
      <c r="A1009" t="s">
        <v>216</v>
      </c>
      <c r="B1009">
        <v>0</v>
      </c>
      <c r="C1009" s="3">
        <v>0</v>
      </c>
      <c r="D1009" s="58">
        <v>45117</v>
      </c>
      <c r="E1009" s="58" t="str">
        <f>TEXT(Base_de_Dados[[#This Row],[Semana]],"Mmmm")</f>
        <v>julho</v>
      </c>
      <c r="F1009">
        <f t="shared" si="19"/>
        <v>2023</v>
      </c>
      <c r="G1009" t="str">
        <f>IF(MONTH(Base_de_Dados[[#This Row],[Semana]])&lt;=6,"1ª Semestre","2ª Semestre")</f>
        <v>2ª Semestre</v>
      </c>
    </row>
    <row r="1010" spans="1:7" x14ac:dyDescent="0.25">
      <c r="A1010" t="s">
        <v>173</v>
      </c>
      <c r="B1010">
        <v>0</v>
      </c>
      <c r="C1010" s="3">
        <v>0</v>
      </c>
      <c r="D1010" s="58">
        <v>45117</v>
      </c>
      <c r="E1010" s="58" t="str">
        <f>TEXT(Base_de_Dados[[#This Row],[Semana]],"Mmmm")</f>
        <v>julho</v>
      </c>
      <c r="F1010">
        <f t="shared" si="19"/>
        <v>2023</v>
      </c>
      <c r="G1010" t="str">
        <f>IF(MONTH(Base_de_Dados[[#This Row],[Semana]])&lt;=6,"1ª Semestre","2ª Semestre")</f>
        <v>2ª Semestre</v>
      </c>
    </row>
    <row r="1011" spans="1:7" x14ac:dyDescent="0.25">
      <c r="A1011" t="s">
        <v>4</v>
      </c>
      <c r="B1011">
        <v>3</v>
      </c>
      <c r="C1011" s="3">
        <v>0.6</v>
      </c>
      <c r="D1011" s="58">
        <v>45124</v>
      </c>
      <c r="E1011" s="58" t="str">
        <f>TEXT(Base_de_Dados[[#This Row],[Semana]],"Mmmm")</f>
        <v>julho</v>
      </c>
      <c r="F1011">
        <f t="shared" ref="F1011:F1028" si="20">YEAR(D1011)</f>
        <v>2023</v>
      </c>
      <c r="G1011" t="str">
        <f>IF(MONTH(Base_de_Dados[[#This Row],[Semana]])&lt;=6,"1ª Semestre","2ª Semestre")</f>
        <v>2ª Semestre</v>
      </c>
    </row>
    <row r="1012" spans="1:7" x14ac:dyDescent="0.25">
      <c r="A1012" t="s">
        <v>5</v>
      </c>
      <c r="B1012">
        <v>0</v>
      </c>
      <c r="C1012" s="3">
        <v>0</v>
      </c>
      <c r="D1012" s="58">
        <v>45124</v>
      </c>
      <c r="E1012" s="58" t="str">
        <f>TEXT(Base_de_Dados[[#This Row],[Semana]],"Mmmm")</f>
        <v>julho</v>
      </c>
      <c r="F1012">
        <f t="shared" si="20"/>
        <v>2023</v>
      </c>
      <c r="G1012" t="str">
        <f>IF(MONTH(Base_de_Dados[[#This Row],[Semana]])&lt;=6,"1ª Semestre","2ª Semestre")</f>
        <v>2ª Semestre</v>
      </c>
    </row>
    <row r="1013" spans="1:7" x14ac:dyDescent="0.25">
      <c r="A1013" t="s">
        <v>127</v>
      </c>
      <c r="B1013">
        <v>0</v>
      </c>
      <c r="C1013" s="3">
        <v>0</v>
      </c>
      <c r="D1013" s="58">
        <v>45124</v>
      </c>
      <c r="E1013" s="58" t="str">
        <f>TEXT(Base_de_Dados[[#This Row],[Semana]],"Mmmm")</f>
        <v>julho</v>
      </c>
      <c r="F1013">
        <f t="shared" si="20"/>
        <v>2023</v>
      </c>
      <c r="G1013" t="str">
        <f>IF(MONTH(Base_de_Dados[[#This Row],[Semana]])&lt;=6,"1ª Semestre","2ª Semestre")</f>
        <v>2ª Semestre</v>
      </c>
    </row>
    <row r="1014" spans="1:7" x14ac:dyDescent="0.25">
      <c r="A1014" t="s">
        <v>7</v>
      </c>
      <c r="B1014">
        <v>0</v>
      </c>
      <c r="C1014" s="3">
        <v>0</v>
      </c>
      <c r="D1014" s="58">
        <v>45124</v>
      </c>
      <c r="E1014" s="58" t="str">
        <f>TEXT(Base_de_Dados[[#This Row],[Semana]],"Mmmm")</f>
        <v>julho</v>
      </c>
      <c r="F1014">
        <f t="shared" si="20"/>
        <v>2023</v>
      </c>
      <c r="G1014" t="str">
        <f>IF(MONTH(Base_de_Dados[[#This Row],[Semana]])&lt;=6,"1ª Semestre","2ª Semestre")</f>
        <v>2ª Semestre</v>
      </c>
    </row>
    <row r="1015" spans="1:7" x14ac:dyDescent="0.25">
      <c r="A1015" t="s">
        <v>30</v>
      </c>
      <c r="B1015">
        <v>2</v>
      </c>
      <c r="C1015" s="3">
        <v>0.4</v>
      </c>
      <c r="D1015" s="58">
        <v>45124</v>
      </c>
      <c r="E1015" s="58" t="str">
        <f>TEXT(Base_de_Dados[[#This Row],[Semana]],"Mmmm")</f>
        <v>julho</v>
      </c>
      <c r="F1015">
        <f t="shared" si="20"/>
        <v>2023</v>
      </c>
      <c r="G1015" t="str">
        <f>IF(MONTH(Base_de_Dados[[#This Row],[Semana]])&lt;=6,"1ª Semestre","2ª Semestre")</f>
        <v>2ª Semestre</v>
      </c>
    </row>
    <row r="1016" spans="1:7" x14ac:dyDescent="0.25">
      <c r="A1016" t="s">
        <v>118</v>
      </c>
      <c r="B1016">
        <v>0</v>
      </c>
      <c r="C1016" s="3">
        <v>0</v>
      </c>
      <c r="D1016" s="58">
        <v>45124</v>
      </c>
      <c r="E1016" s="58" t="str">
        <f>TEXT(Base_de_Dados[[#This Row],[Semana]],"Mmmm")</f>
        <v>julho</v>
      </c>
      <c r="F1016">
        <f t="shared" si="20"/>
        <v>2023</v>
      </c>
      <c r="G1016" t="str">
        <f>IF(MONTH(Base_de_Dados[[#This Row],[Semana]])&lt;=6,"1ª Semestre","2ª Semestre")</f>
        <v>2ª Semestre</v>
      </c>
    </row>
    <row r="1017" spans="1:7" x14ac:dyDescent="0.25">
      <c r="A1017" t="s">
        <v>10</v>
      </c>
      <c r="B1017">
        <v>0</v>
      </c>
      <c r="C1017" s="3">
        <v>0</v>
      </c>
      <c r="D1017" s="58">
        <v>45124</v>
      </c>
      <c r="E1017" s="58" t="str">
        <f>TEXT(Base_de_Dados[[#This Row],[Semana]],"Mmmm")</f>
        <v>julho</v>
      </c>
      <c r="F1017">
        <f t="shared" si="20"/>
        <v>2023</v>
      </c>
      <c r="G1017" t="str">
        <f>IF(MONTH(Base_de_Dados[[#This Row],[Semana]])&lt;=6,"1ª Semestre","2ª Semestre")</f>
        <v>2ª Semestre</v>
      </c>
    </row>
    <row r="1018" spans="1:7" x14ac:dyDescent="0.25">
      <c r="A1018" t="s">
        <v>34</v>
      </c>
      <c r="B1018">
        <v>0</v>
      </c>
      <c r="C1018" s="3">
        <v>0</v>
      </c>
      <c r="D1018" s="58">
        <v>45124</v>
      </c>
      <c r="E1018" s="58" t="str">
        <f>TEXT(Base_de_Dados[[#This Row],[Semana]],"Mmmm")</f>
        <v>julho</v>
      </c>
      <c r="F1018">
        <f t="shared" si="20"/>
        <v>2023</v>
      </c>
      <c r="G1018" t="str">
        <f>IF(MONTH(Base_de_Dados[[#This Row],[Semana]])&lt;=6,"1ª Semestre","2ª Semestre")</f>
        <v>2ª Semestre</v>
      </c>
    </row>
    <row r="1019" spans="1:7" x14ac:dyDescent="0.25">
      <c r="A1019" t="s">
        <v>12</v>
      </c>
      <c r="B1019">
        <v>0</v>
      </c>
      <c r="C1019" s="3">
        <v>0</v>
      </c>
      <c r="D1019" s="58">
        <v>45124</v>
      </c>
      <c r="E1019" s="58" t="str">
        <f>TEXT(Base_de_Dados[[#This Row],[Semana]],"Mmmm")</f>
        <v>julho</v>
      </c>
      <c r="F1019">
        <f t="shared" si="20"/>
        <v>2023</v>
      </c>
      <c r="G1019" t="str">
        <f>IF(MONTH(Base_de_Dados[[#This Row],[Semana]])&lt;=6,"1ª Semestre","2ª Semestre")</f>
        <v>2ª Semestre</v>
      </c>
    </row>
    <row r="1020" spans="1:7" x14ac:dyDescent="0.25">
      <c r="A1020" t="s">
        <v>13</v>
      </c>
      <c r="B1020">
        <v>0</v>
      </c>
      <c r="C1020" s="3">
        <v>0</v>
      </c>
      <c r="D1020" s="58">
        <v>45124</v>
      </c>
      <c r="E1020" s="58" t="str">
        <f>TEXT(Base_de_Dados[[#This Row],[Semana]],"Mmmm")</f>
        <v>julho</v>
      </c>
      <c r="F1020">
        <f t="shared" si="20"/>
        <v>2023</v>
      </c>
      <c r="G1020" t="str">
        <f>IF(MONTH(Base_de_Dados[[#This Row],[Semana]])&lt;=6,"1ª Semestre","2ª Semestre")</f>
        <v>2ª Semestre</v>
      </c>
    </row>
    <row r="1021" spans="1:7" x14ac:dyDescent="0.25">
      <c r="A1021" t="s">
        <v>121</v>
      </c>
      <c r="B1021">
        <v>0</v>
      </c>
      <c r="C1021" s="3">
        <v>0</v>
      </c>
      <c r="D1021" s="58">
        <v>45124</v>
      </c>
      <c r="E1021" s="58" t="str">
        <f>TEXT(Base_de_Dados[[#This Row],[Semana]],"Mmmm")</f>
        <v>julho</v>
      </c>
      <c r="F1021">
        <f t="shared" si="20"/>
        <v>2023</v>
      </c>
      <c r="G1021" t="str">
        <f>IF(MONTH(Base_de_Dados[[#This Row],[Semana]])&lt;=6,"1ª Semestre","2ª Semestre")</f>
        <v>2ª Semestre</v>
      </c>
    </row>
    <row r="1022" spans="1:7" x14ac:dyDescent="0.25">
      <c r="A1022" t="s">
        <v>15</v>
      </c>
      <c r="B1022">
        <v>0</v>
      </c>
      <c r="C1022" s="3">
        <v>0</v>
      </c>
      <c r="D1022" s="58">
        <v>45124</v>
      </c>
      <c r="E1022" s="58" t="str">
        <f>TEXT(Base_de_Dados[[#This Row],[Semana]],"Mmmm")</f>
        <v>julho</v>
      </c>
      <c r="F1022">
        <f t="shared" si="20"/>
        <v>2023</v>
      </c>
      <c r="G1022" t="str">
        <f>IF(MONTH(Base_de_Dados[[#This Row],[Semana]])&lt;=6,"1ª Semestre","2ª Semestre")</f>
        <v>2ª Semestre</v>
      </c>
    </row>
    <row r="1023" spans="1:7" x14ac:dyDescent="0.25">
      <c r="A1023" t="s">
        <v>16</v>
      </c>
      <c r="B1023">
        <v>0</v>
      </c>
      <c r="C1023" s="3">
        <v>0</v>
      </c>
      <c r="D1023" s="58">
        <v>45124</v>
      </c>
      <c r="E1023" s="58" t="str">
        <f>TEXT(Base_de_Dados[[#This Row],[Semana]],"Mmmm")</f>
        <v>julho</v>
      </c>
      <c r="F1023">
        <f t="shared" si="20"/>
        <v>2023</v>
      </c>
      <c r="G1023" t="str">
        <f>IF(MONTH(Base_de_Dados[[#This Row],[Semana]])&lt;=6,"1ª Semestre","2ª Semestre")</f>
        <v>2ª Semestre</v>
      </c>
    </row>
    <row r="1024" spans="1:7" x14ac:dyDescent="0.25">
      <c r="A1024" t="s">
        <v>166</v>
      </c>
      <c r="B1024">
        <v>0</v>
      </c>
      <c r="C1024" s="3">
        <v>0</v>
      </c>
      <c r="D1024" s="58">
        <v>45124</v>
      </c>
      <c r="E1024" s="58" t="str">
        <f>TEXT(Base_de_Dados[[#This Row],[Semana]],"Mmmm")</f>
        <v>julho</v>
      </c>
      <c r="F1024">
        <f t="shared" si="20"/>
        <v>2023</v>
      </c>
      <c r="G1024" t="str">
        <f>IF(MONTH(Base_de_Dados[[#This Row],[Semana]])&lt;=6,"1ª Semestre","2ª Semestre")</f>
        <v>2ª Semestre</v>
      </c>
    </row>
    <row r="1025" spans="1:7" x14ac:dyDescent="0.25">
      <c r="A1025" t="s">
        <v>168</v>
      </c>
      <c r="B1025">
        <v>0</v>
      </c>
      <c r="C1025" s="3">
        <v>0</v>
      </c>
      <c r="D1025" s="58">
        <v>45124</v>
      </c>
      <c r="E1025" s="58" t="str">
        <f>TEXT(Base_de_Dados[[#This Row],[Semana]],"Mmmm")</f>
        <v>julho</v>
      </c>
      <c r="F1025">
        <f t="shared" si="20"/>
        <v>2023</v>
      </c>
      <c r="G1025" t="str">
        <f>IF(MONTH(Base_de_Dados[[#This Row],[Semana]])&lt;=6,"1ª Semestre","2ª Semestre")</f>
        <v>2ª Semestre</v>
      </c>
    </row>
    <row r="1026" spans="1:7" x14ac:dyDescent="0.25">
      <c r="A1026" t="s">
        <v>176</v>
      </c>
      <c r="B1026">
        <v>0</v>
      </c>
      <c r="C1026" s="3">
        <v>0</v>
      </c>
      <c r="D1026" s="58">
        <v>45124</v>
      </c>
      <c r="E1026" s="58" t="str">
        <f>TEXT(Base_de_Dados[[#This Row],[Semana]],"Mmmm")</f>
        <v>julho</v>
      </c>
      <c r="F1026">
        <f t="shared" si="20"/>
        <v>2023</v>
      </c>
      <c r="G1026" t="str">
        <f>IF(MONTH(Base_de_Dados[[#This Row],[Semana]])&lt;=6,"1ª Semestre","2ª Semestre")</f>
        <v>2ª Semestre</v>
      </c>
    </row>
    <row r="1027" spans="1:7" x14ac:dyDescent="0.25">
      <c r="A1027" t="s">
        <v>216</v>
      </c>
      <c r="B1027">
        <v>0</v>
      </c>
      <c r="C1027" s="3">
        <v>0</v>
      </c>
      <c r="D1027" s="58">
        <v>45124</v>
      </c>
      <c r="E1027" s="58" t="str">
        <f>TEXT(Base_de_Dados[[#This Row],[Semana]],"Mmmm")</f>
        <v>julho</v>
      </c>
      <c r="F1027">
        <f t="shared" si="20"/>
        <v>2023</v>
      </c>
      <c r="G1027" t="str">
        <f>IF(MONTH(Base_de_Dados[[#This Row],[Semana]])&lt;=6,"1ª Semestre","2ª Semestre")</f>
        <v>2ª Semestre</v>
      </c>
    </row>
    <row r="1028" spans="1:7" x14ac:dyDescent="0.25">
      <c r="A1028" t="s">
        <v>173</v>
      </c>
      <c r="B1028">
        <v>0</v>
      </c>
      <c r="C1028" s="3">
        <v>0</v>
      </c>
      <c r="D1028" s="58">
        <v>45124</v>
      </c>
      <c r="E1028" s="58" t="str">
        <f>TEXT(Base_de_Dados[[#This Row],[Semana]],"Mmmm")</f>
        <v>julho</v>
      </c>
      <c r="F1028">
        <f t="shared" si="20"/>
        <v>2023</v>
      </c>
      <c r="G1028" t="str">
        <f>IF(MONTH(Base_de_Dados[[#This Row],[Semana]])&lt;=6,"1ª Semestre","2ª Semestre")</f>
        <v>2ª Semestre</v>
      </c>
    </row>
    <row r="1029" spans="1:7" x14ac:dyDescent="0.25">
      <c r="A1029" t="s">
        <v>4</v>
      </c>
      <c r="B1029">
        <v>1</v>
      </c>
      <c r="C1029" s="3">
        <v>0.14285714285714285</v>
      </c>
      <c r="D1029" s="58">
        <v>45131</v>
      </c>
      <c r="E1029" s="58" t="str">
        <f>TEXT(Base_de_Dados[[#This Row],[Semana]],"Mmmm")</f>
        <v>julho</v>
      </c>
      <c r="F1029">
        <f t="shared" ref="F1029:F1046" si="21">YEAR(D1029)</f>
        <v>2023</v>
      </c>
      <c r="G1029" t="str">
        <f>IF(MONTH(Base_de_Dados[[#This Row],[Semana]])&lt;=6,"1ª Semestre","2ª Semestre")</f>
        <v>2ª Semestre</v>
      </c>
    </row>
    <row r="1030" spans="1:7" x14ac:dyDescent="0.25">
      <c r="A1030" t="s">
        <v>5</v>
      </c>
      <c r="B1030">
        <v>0</v>
      </c>
      <c r="C1030" s="3">
        <v>0</v>
      </c>
      <c r="D1030" s="58">
        <v>45131</v>
      </c>
      <c r="E1030" s="58" t="str">
        <f>TEXT(Base_de_Dados[[#This Row],[Semana]],"Mmmm")</f>
        <v>julho</v>
      </c>
      <c r="F1030">
        <f t="shared" si="21"/>
        <v>2023</v>
      </c>
      <c r="G1030" t="str">
        <f>IF(MONTH(Base_de_Dados[[#This Row],[Semana]])&lt;=6,"1ª Semestre","2ª Semestre")</f>
        <v>2ª Semestre</v>
      </c>
    </row>
    <row r="1031" spans="1:7" x14ac:dyDescent="0.25">
      <c r="A1031" t="s">
        <v>127</v>
      </c>
      <c r="B1031">
        <v>0</v>
      </c>
      <c r="C1031" s="3">
        <v>0</v>
      </c>
      <c r="D1031" s="58">
        <v>45131</v>
      </c>
      <c r="E1031" s="58" t="str">
        <f>TEXT(Base_de_Dados[[#This Row],[Semana]],"Mmmm")</f>
        <v>julho</v>
      </c>
      <c r="F1031">
        <f t="shared" si="21"/>
        <v>2023</v>
      </c>
      <c r="G1031" t="str">
        <f>IF(MONTH(Base_de_Dados[[#This Row],[Semana]])&lt;=6,"1ª Semestre","2ª Semestre")</f>
        <v>2ª Semestre</v>
      </c>
    </row>
    <row r="1032" spans="1:7" x14ac:dyDescent="0.25">
      <c r="A1032" t="s">
        <v>7</v>
      </c>
      <c r="B1032">
        <v>0</v>
      </c>
      <c r="C1032" s="3">
        <v>0</v>
      </c>
      <c r="D1032" s="58">
        <v>45131</v>
      </c>
      <c r="E1032" s="58" t="str">
        <f>TEXT(Base_de_Dados[[#This Row],[Semana]],"Mmmm")</f>
        <v>julho</v>
      </c>
      <c r="F1032">
        <f t="shared" si="21"/>
        <v>2023</v>
      </c>
      <c r="G1032" t="str">
        <f>IF(MONTH(Base_de_Dados[[#This Row],[Semana]])&lt;=6,"1ª Semestre","2ª Semestre")</f>
        <v>2ª Semestre</v>
      </c>
    </row>
    <row r="1033" spans="1:7" x14ac:dyDescent="0.25">
      <c r="A1033" t="s">
        <v>30</v>
      </c>
      <c r="B1033">
        <v>3</v>
      </c>
      <c r="C1033" s="3">
        <v>0.42857142857142855</v>
      </c>
      <c r="D1033" s="58">
        <v>45131</v>
      </c>
      <c r="E1033" s="58" t="str">
        <f>TEXT(Base_de_Dados[[#This Row],[Semana]],"Mmmm")</f>
        <v>julho</v>
      </c>
      <c r="F1033">
        <f t="shared" si="21"/>
        <v>2023</v>
      </c>
      <c r="G1033" t="str">
        <f>IF(MONTH(Base_de_Dados[[#This Row],[Semana]])&lt;=6,"1ª Semestre","2ª Semestre")</f>
        <v>2ª Semestre</v>
      </c>
    </row>
    <row r="1034" spans="1:7" x14ac:dyDescent="0.25">
      <c r="A1034" t="s">
        <v>118</v>
      </c>
      <c r="B1034">
        <v>0</v>
      </c>
      <c r="C1034" s="3">
        <v>0</v>
      </c>
      <c r="D1034" s="58">
        <v>45131</v>
      </c>
      <c r="E1034" s="58" t="str">
        <f>TEXT(Base_de_Dados[[#This Row],[Semana]],"Mmmm")</f>
        <v>julho</v>
      </c>
      <c r="F1034">
        <f t="shared" si="21"/>
        <v>2023</v>
      </c>
      <c r="G1034" t="str">
        <f>IF(MONTH(Base_de_Dados[[#This Row],[Semana]])&lt;=6,"1ª Semestre","2ª Semestre")</f>
        <v>2ª Semestre</v>
      </c>
    </row>
    <row r="1035" spans="1:7" x14ac:dyDescent="0.25">
      <c r="A1035" t="s">
        <v>10</v>
      </c>
      <c r="B1035">
        <v>0</v>
      </c>
      <c r="C1035" s="3">
        <v>0</v>
      </c>
      <c r="D1035" s="58">
        <v>45131</v>
      </c>
      <c r="E1035" s="58" t="str">
        <f>TEXT(Base_de_Dados[[#This Row],[Semana]],"Mmmm")</f>
        <v>julho</v>
      </c>
      <c r="F1035">
        <f t="shared" si="21"/>
        <v>2023</v>
      </c>
      <c r="G1035" t="str">
        <f>IF(MONTH(Base_de_Dados[[#This Row],[Semana]])&lt;=6,"1ª Semestre","2ª Semestre")</f>
        <v>2ª Semestre</v>
      </c>
    </row>
    <row r="1036" spans="1:7" x14ac:dyDescent="0.25">
      <c r="A1036" t="s">
        <v>34</v>
      </c>
      <c r="B1036">
        <v>0</v>
      </c>
      <c r="C1036" s="3">
        <v>0</v>
      </c>
      <c r="D1036" s="58">
        <v>45131</v>
      </c>
      <c r="E1036" s="58" t="str">
        <f>TEXT(Base_de_Dados[[#This Row],[Semana]],"Mmmm")</f>
        <v>julho</v>
      </c>
      <c r="F1036">
        <f t="shared" si="21"/>
        <v>2023</v>
      </c>
      <c r="G1036" t="str">
        <f>IF(MONTH(Base_de_Dados[[#This Row],[Semana]])&lt;=6,"1ª Semestre","2ª Semestre")</f>
        <v>2ª Semestre</v>
      </c>
    </row>
    <row r="1037" spans="1:7" x14ac:dyDescent="0.25">
      <c r="A1037" t="s">
        <v>12</v>
      </c>
      <c r="B1037">
        <v>0</v>
      </c>
      <c r="C1037" s="3">
        <v>0</v>
      </c>
      <c r="D1037" s="58">
        <v>45131</v>
      </c>
      <c r="E1037" s="58" t="str">
        <f>TEXT(Base_de_Dados[[#This Row],[Semana]],"Mmmm")</f>
        <v>julho</v>
      </c>
      <c r="F1037">
        <f t="shared" si="21"/>
        <v>2023</v>
      </c>
      <c r="G1037" t="str">
        <f>IF(MONTH(Base_de_Dados[[#This Row],[Semana]])&lt;=6,"1ª Semestre","2ª Semestre")</f>
        <v>2ª Semestre</v>
      </c>
    </row>
    <row r="1038" spans="1:7" x14ac:dyDescent="0.25">
      <c r="A1038" t="s">
        <v>13</v>
      </c>
      <c r="B1038">
        <v>0</v>
      </c>
      <c r="C1038" s="3">
        <v>0</v>
      </c>
      <c r="D1038" s="58">
        <v>45131</v>
      </c>
      <c r="E1038" s="58" t="str">
        <f>TEXT(Base_de_Dados[[#This Row],[Semana]],"Mmmm")</f>
        <v>julho</v>
      </c>
      <c r="F1038">
        <f t="shared" si="21"/>
        <v>2023</v>
      </c>
      <c r="G1038" t="str">
        <f>IF(MONTH(Base_de_Dados[[#This Row],[Semana]])&lt;=6,"1ª Semestre","2ª Semestre")</f>
        <v>2ª Semestre</v>
      </c>
    </row>
    <row r="1039" spans="1:7" x14ac:dyDescent="0.25">
      <c r="A1039" t="s">
        <v>121</v>
      </c>
      <c r="B1039">
        <v>0</v>
      </c>
      <c r="C1039" s="3">
        <v>0</v>
      </c>
      <c r="D1039" s="58">
        <v>45131</v>
      </c>
      <c r="E1039" s="58" t="str">
        <f>TEXT(Base_de_Dados[[#This Row],[Semana]],"Mmmm")</f>
        <v>julho</v>
      </c>
      <c r="F1039">
        <f t="shared" si="21"/>
        <v>2023</v>
      </c>
      <c r="G1039" t="str">
        <f>IF(MONTH(Base_de_Dados[[#This Row],[Semana]])&lt;=6,"1ª Semestre","2ª Semestre")</f>
        <v>2ª Semestre</v>
      </c>
    </row>
    <row r="1040" spans="1:7" x14ac:dyDescent="0.25">
      <c r="A1040" t="s">
        <v>15</v>
      </c>
      <c r="B1040">
        <v>0</v>
      </c>
      <c r="C1040" s="3">
        <v>0</v>
      </c>
      <c r="D1040" s="58">
        <v>45131</v>
      </c>
      <c r="E1040" s="58" t="str">
        <f>TEXT(Base_de_Dados[[#This Row],[Semana]],"Mmmm")</f>
        <v>julho</v>
      </c>
      <c r="F1040">
        <f t="shared" si="21"/>
        <v>2023</v>
      </c>
      <c r="G1040" t="str">
        <f>IF(MONTH(Base_de_Dados[[#This Row],[Semana]])&lt;=6,"1ª Semestre","2ª Semestre")</f>
        <v>2ª Semestre</v>
      </c>
    </row>
    <row r="1041" spans="1:7" x14ac:dyDescent="0.25">
      <c r="A1041" t="s">
        <v>16</v>
      </c>
      <c r="B1041">
        <v>0</v>
      </c>
      <c r="C1041" s="3">
        <v>0</v>
      </c>
      <c r="D1041" s="58">
        <v>45131</v>
      </c>
      <c r="E1041" s="58" t="str">
        <f>TEXT(Base_de_Dados[[#This Row],[Semana]],"Mmmm")</f>
        <v>julho</v>
      </c>
      <c r="F1041">
        <f t="shared" si="21"/>
        <v>2023</v>
      </c>
      <c r="G1041" t="str">
        <f>IF(MONTH(Base_de_Dados[[#This Row],[Semana]])&lt;=6,"1ª Semestre","2ª Semestre")</f>
        <v>2ª Semestre</v>
      </c>
    </row>
    <row r="1042" spans="1:7" x14ac:dyDescent="0.25">
      <c r="A1042" t="s">
        <v>166</v>
      </c>
      <c r="B1042">
        <v>0</v>
      </c>
      <c r="C1042" s="3">
        <v>0</v>
      </c>
      <c r="D1042" s="58">
        <v>45131</v>
      </c>
      <c r="E1042" s="58" t="str">
        <f>TEXT(Base_de_Dados[[#This Row],[Semana]],"Mmmm")</f>
        <v>julho</v>
      </c>
      <c r="F1042">
        <f t="shared" si="21"/>
        <v>2023</v>
      </c>
      <c r="G1042" t="str">
        <f>IF(MONTH(Base_de_Dados[[#This Row],[Semana]])&lt;=6,"1ª Semestre","2ª Semestre")</f>
        <v>2ª Semestre</v>
      </c>
    </row>
    <row r="1043" spans="1:7" x14ac:dyDescent="0.25">
      <c r="A1043" t="s">
        <v>168</v>
      </c>
      <c r="B1043">
        <v>0</v>
      </c>
      <c r="C1043" s="3">
        <v>0</v>
      </c>
      <c r="D1043" s="58">
        <v>45131</v>
      </c>
      <c r="E1043" s="58" t="str">
        <f>TEXT(Base_de_Dados[[#This Row],[Semana]],"Mmmm")</f>
        <v>julho</v>
      </c>
      <c r="F1043">
        <f t="shared" si="21"/>
        <v>2023</v>
      </c>
      <c r="G1043" t="str">
        <f>IF(MONTH(Base_de_Dados[[#This Row],[Semana]])&lt;=6,"1ª Semestre","2ª Semestre")</f>
        <v>2ª Semestre</v>
      </c>
    </row>
    <row r="1044" spans="1:7" x14ac:dyDescent="0.25">
      <c r="A1044" t="s">
        <v>176</v>
      </c>
      <c r="B1044">
        <v>0</v>
      </c>
      <c r="C1044" s="3">
        <v>0</v>
      </c>
      <c r="D1044" s="58">
        <v>45131</v>
      </c>
      <c r="E1044" s="58" t="str">
        <f>TEXT(Base_de_Dados[[#This Row],[Semana]],"Mmmm")</f>
        <v>julho</v>
      </c>
      <c r="F1044">
        <f t="shared" si="21"/>
        <v>2023</v>
      </c>
      <c r="G1044" t="str">
        <f>IF(MONTH(Base_de_Dados[[#This Row],[Semana]])&lt;=6,"1ª Semestre","2ª Semestre")</f>
        <v>2ª Semestre</v>
      </c>
    </row>
    <row r="1045" spans="1:7" x14ac:dyDescent="0.25">
      <c r="A1045" t="s">
        <v>216</v>
      </c>
      <c r="B1045">
        <v>2</v>
      </c>
      <c r="C1045" s="3">
        <v>0.2857142857142857</v>
      </c>
      <c r="D1045" s="58">
        <v>45131</v>
      </c>
      <c r="E1045" s="58" t="str">
        <f>TEXT(Base_de_Dados[[#This Row],[Semana]],"Mmmm")</f>
        <v>julho</v>
      </c>
      <c r="F1045">
        <f t="shared" si="21"/>
        <v>2023</v>
      </c>
      <c r="G1045" t="str">
        <f>IF(MONTH(Base_de_Dados[[#This Row],[Semana]])&lt;=6,"1ª Semestre","2ª Semestre")</f>
        <v>2ª Semestre</v>
      </c>
    </row>
    <row r="1046" spans="1:7" x14ac:dyDescent="0.25">
      <c r="A1046" t="s">
        <v>173</v>
      </c>
      <c r="B1046">
        <v>1</v>
      </c>
      <c r="C1046" s="3">
        <v>0.14285714285714285</v>
      </c>
      <c r="D1046" s="58">
        <v>45131</v>
      </c>
      <c r="E1046" s="58" t="str">
        <f>TEXT(Base_de_Dados[[#This Row],[Semana]],"Mmmm")</f>
        <v>julho</v>
      </c>
      <c r="F1046">
        <f t="shared" si="21"/>
        <v>2023</v>
      </c>
      <c r="G1046" t="str">
        <f>IF(MONTH(Base_de_Dados[[#This Row],[Semana]])&lt;=6,"1ª Semestre","2ª Semestre")</f>
        <v>2ª Semestre</v>
      </c>
    </row>
    <row r="1047" spans="1:7" x14ac:dyDescent="0.25">
      <c r="A1047" s="70" t="s">
        <v>4</v>
      </c>
      <c r="B1047">
        <v>0</v>
      </c>
      <c r="C1047" s="3">
        <v>0</v>
      </c>
      <c r="D1047" s="58">
        <v>45139</v>
      </c>
      <c r="E1047" s="58" t="str">
        <f>TEXT(Base_de_Dados[[#This Row],[Semana]],"Mmmm")</f>
        <v>agosto</v>
      </c>
      <c r="F1047">
        <f t="shared" ref="F1047:F1064" si="22">YEAR(D1047)</f>
        <v>2023</v>
      </c>
      <c r="G1047" t="str">
        <f>IF(MONTH(Base_de_Dados[[#This Row],[Semana]])&lt;=6,"1ª Semestre","2ª Semestre")</f>
        <v>2ª Semestre</v>
      </c>
    </row>
    <row r="1048" spans="1:7" x14ac:dyDescent="0.25">
      <c r="A1048" s="70" t="s">
        <v>5</v>
      </c>
      <c r="B1048">
        <v>2</v>
      </c>
      <c r="C1048" s="3">
        <v>0.4</v>
      </c>
      <c r="D1048" s="58">
        <v>45139</v>
      </c>
      <c r="E1048" s="58" t="str">
        <f>TEXT(Base_de_Dados[[#This Row],[Semana]],"Mmmm")</f>
        <v>agosto</v>
      </c>
      <c r="F1048">
        <f t="shared" si="22"/>
        <v>2023</v>
      </c>
      <c r="G1048" t="str">
        <f>IF(MONTH(Base_de_Dados[[#This Row],[Semana]])&lt;=6,"1ª Semestre","2ª Semestre")</f>
        <v>2ª Semestre</v>
      </c>
    </row>
    <row r="1049" spans="1:7" x14ac:dyDescent="0.25">
      <c r="A1049" s="70" t="s">
        <v>127</v>
      </c>
      <c r="B1049">
        <v>0</v>
      </c>
      <c r="C1049" s="3">
        <v>0</v>
      </c>
      <c r="D1049" s="58">
        <v>45139</v>
      </c>
      <c r="E1049" s="58" t="str">
        <f>TEXT(Base_de_Dados[[#This Row],[Semana]],"Mmmm")</f>
        <v>agosto</v>
      </c>
      <c r="F1049">
        <f t="shared" si="22"/>
        <v>2023</v>
      </c>
      <c r="G1049" t="str">
        <f>IF(MONTH(Base_de_Dados[[#This Row],[Semana]])&lt;=6,"1ª Semestre","2ª Semestre")</f>
        <v>2ª Semestre</v>
      </c>
    </row>
    <row r="1050" spans="1:7" x14ac:dyDescent="0.25">
      <c r="A1050" s="70" t="s">
        <v>7</v>
      </c>
      <c r="B1050">
        <v>0</v>
      </c>
      <c r="C1050" s="3">
        <v>0</v>
      </c>
      <c r="D1050" s="58">
        <v>45139</v>
      </c>
      <c r="E1050" s="58" t="str">
        <f>TEXT(Base_de_Dados[[#This Row],[Semana]],"Mmmm")</f>
        <v>agosto</v>
      </c>
      <c r="F1050">
        <f t="shared" si="22"/>
        <v>2023</v>
      </c>
      <c r="G1050" t="str">
        <f>IF(MONTH(Base_de_Dados[[#This Row],[Semana]])&lt;=6,"1ª Semestre","2ª Semestre")</f>
        <v>2ª Semestre</v>
      </c>
    </row>
    <row r="1051" spans="1:7" x14ac:dyDescent="0.25">
      <c r="A1051" s="70" t="s">
        <v>30</v>
      </c>
      <c r="B1051">
        <v>1</v>
      </c>
      <c r="C1051" s="3">
        <v>0.2</v>
      </c>
      <c r="D1051" s="58">
        <v>45139</v>
      </c>
      <c r="E1051" s="58" t="str">
        <f>TEXT(Base_de_Dados[[#This Row],[Semana]],"Mmmm")</f>
        <v>agosto</v>
      </c>
      <c r="F1051">
        <f t="shared" si="22"/>
        <v>2023</v>
      </c>
      <c r="G1051" t="str">
        <f>IF(MONTH(Base_de_Dados[[#This Row],[Semana]])&lt;=6,"1ª Semestre","2ª Semestre")</f>
        <v>2ª Semestre</v>
      </c>
    </row>
    <row r="1052" spans="1:7" x14ac:dyDescent="0.25">
      <c r="A1052" s="70" t="s">
        <v>118</v>
      </c>
      <c r="B1052">
        <v>2</v>
      </c>
      <c r="C1052" s="3">
        <v>0.4</v>
      </c>
      <c r="D1052" s="58">
        <v>45139</v>
      </c>
      <c r="E1052" s="58" t="str">
        <f>TEXT(Base_de_Dados[[#This Row],[Semana]],"Mmmm")</f>
        <v>agosto</v>
      </c>
      <c r="F1052">
        <f t="shared" si="22"/>
        <v>2023</v>
      </c>
      <c r="G1052" t="str">
        <f>IF(MONTH(Base_de_Dados[[#This Row],[Semana]])&lt;=6,"1ª Semestre","2ª Semestre")</f>
        <v>2ª Semestre</v>
      </c>
    </row>
    <row r="1053" spans="1:7" x14ac:dyDescent="0.25">
      <c r="A1053" s="70" t="s">
        <v>10</v>
      </c>
      <c r="B1053">
        <v>0</v>
      </c>
      <c r="C1053" s="3">
        <v>0</v>
      </c>
      <c r="D1053" s="58">
        <v>45139</v>
      </c>
      <c r="E1053" s="58" t="str">
        <f>TEXT(Base_de_Dados[[#This Row],[Semana]],"Mmmm")</f>
        <v>agosto</v>
      </c>
      <c r="F1053">
        <f t="shared" si="22"/>
        <v>2023</v>
      </c>
      <c r="G1053" t="str">
        <f>IF(MONTH(Base_de_Dados[[#This Row],[Semana]])&lt;=6,"1ª Semestre","2ª Semestre")</f>
        <v>2ª Semestre</v>
      </c>
    </row>
    <row r="1054" spans="1:7" x14ac:dyDescent="0.25">
      <c r="A1054" s="70" t="s">
        <v>34</v>
      </c>
      <c r="B1054">
        <v>0</v>
      </c>
      <c r="C1054" s="3">
        <v>0</v>
      </c>
      <c r="D1054" s="58">
        <v>45139</v>
      </c>
      <c r="E1054" s="58" t="str">
        <f>TEXT(Base_de_Dados[[#This Row],[Semana]],"Mmmm")</f>
        <v>agosto</v>
      </c>
      <c r="F1054">
        <f t="shared" si="22"/>
        <v>2023</v>
      </c>
      <c r="G1054" t="str">
        <f>IF(MONTH(Base_de_Dados[[#This Row],[Semana]])&lt;=6,"1ª Semestre","2ª Semestre")</f>
        <v>2ª Semestre</v>
      </c>
    </row>
    <row r="1055" spans="1:7" x14ac:dyDescent="0.25">
      <c r="A1055" s="70" t="s">
        <v>12</v>
      </c>
      <c r="B1055">
        <v>0</v>
      </c>
      <c r="C1055" s="3">
        <v>0</v>
      </c>
      <c r="D1055" s="58">
        <v>45139</v>
      </c>
      <c r="E1055" s="58" t="str">
        <f>TEXT(Base_de_Dados[[#This Row],[Semana]],"Mmmm")</f>
        <v>agosto</v>
      </c>
      <c r="F1055">
        <f t="shared" si="22"/>
        <v>2023</v>
      </c>
      <c r="G1055" t="str">
        <f>IF(MONTH(Base_de_Dados[[#This Row],[Semana]])&lt;=6,"1ª Semestre","2ª Semestre")</f>
        <v>2ª Semestre</v>
      </c>
    </row>
    <row r="1056" spans="1:7" x14ac:dyDescent="0.25">
      <c r="A1056" s="70" t="s">
        <v>13</v>
      </c>
      <c r="B1056">
        <v>0</v>
      </c>
      <c r="C1056" s="3">
        <v>0</v>
      </c>
      <c r="D1056" s="58">
        <v>45139</v>
      </c>
      <c r="E1056" s="58" t="str">
        <f>TEXT(Base_de_Dados[[#This Row],[Semana]],"Mmmm")</f>
        <v>agosto</v>
      </c>
      <c r="F1056">
        <f t="shared" si="22"/>
        <v>2023</v>
      </c>
      <c r="G1056" t="str">
        <f>IF(MONTH(Base_de_Dados[[#This Row],[Semana]])&lt;=6,"1ª Semestre","2ª Semestre")</f>
        <v>2ª Semestre</v>
      </c>
    </row>
    <row r="1057" spans="1:7" x14ac:dyDescent="0.25">
      <c r="A1057" s="70" t="s">
        <v>121</v>
      </c>
      <c r="B1057">
        <v>0</v>
      </c>
      <c r="C1057" s="3">
        <v>0</v>
      </c>
      <c r="D1057" s="58">
        <v>45139</v>
      </c>
      <c r="E1057" s="58" t="str">
        <f>TEXT(Base_de_Dados[[#This Row],[Semana]],"Mmmm")</f>
        <v>agosto</v>
      </c>
      <c r="F1057">
        <f t="shared" si="22"/>
        <v>2023</v>
      </c>
      <c r="G1057" t="str">
        <f>IF(MONTH(Base_de_Dados[[#This Row],[Semana]])&lt;=6,"1ª Semestre","2ª Semestre")</f>
        <v>2ª Semestre</v>
      </c>
    </row>
    <row r="1058" spans="1:7" x14ac:dyDescent="0.25">
      <c r="A1058" s="70" t="s">
        <v>15</v>
      </c>
      <c r="B1058">
        <v>0</v>
      </c>
      <c r="C1058" s="3">
        <v>0</v>
      </c>
      <c r="D1058" s="58">
        <v>45139</v>
      </c>
      <c r="E1058" s="58" t="str">
        <f>TEXT(Base_de_Dados[[#This Row],[Semana]],"Mmmm")</f>
        <v>agosto</v>
      </c>
      <c r="F1058">
        <f t="shared" si="22"/>
        <v>2023</v>
      </c>
      <c r="G1058" t="str">
        <f>IF(MONTH(Base_de_Dados[[#This Row],[Semana]])&lt;=6,"1ª Semestre","2ª Semestre")</f>
        <v>2ª Semestre</v>
      </c>
    </row>
    <row r="1059" spans="1:7" x14ac:dyDescent="0.25">
      <c r="A1059" s="70" t="s">
        <v>16</v>
      </c>
      <c r="B1059">
        <v>0</v>
      </c>
      <c r="C1059" s="3">
        <v>0</v>
      </c>
      <c r="D1059" s="58">
        <v>45139</v>
      </c>
      <c r="E1059" s="58" t="str">
        <f>TEXT(Base_de_Dados[[#This Row],[Semana]],"Mmmm")</f>
        <v>agosto</v>
      </c>
      <c r="F1059">
        <f t="shared" si="22"/>
        <v>2023</v>
      </c>
      <c r="G1059" t="str">
        <f>IF(MONTH(Base_de_Dados[[#This Row],[Semana]])&lt;=6,"1ª Semestre","2ª Semestre")</f>
        <v>2ª Semestre</v>
      </c>
    </row>
    <row r="1060" spans="1:7" x14ac:dyDescent="0.25">
      <c r="A1060" s="70" t="s">
        <v>166</v>
      </c>
      <c r="B1060">
        <v>0</v>
      </c>
      <c r="C1060" s="3">
        <v>0</v>
      </c>
      <c r="D1060" s="58">
        <v>45139</v>
      </c>
      <c r="E1060" s="58" t="str">
        <f>TEXT(Base_de_Dados[[#This Row],[Semana]],"Mmmm")</f>
        <v>agosto</v>
      </c>
      <c r="F1060">
        <f t="shared" si="22"/>
        <v>2023</v>
      </c>
      <c r="G1060" t="str">
        <f>IF(MONTH(Base_de_Dados[[#This Row],[Semana]])&lt;=6,"1ª Semestre","2ª Semestre")</f>
        <v>2ª Semestre</v>
      </c>
    </row>
    <row r="1061" spans="1:7" x14ac:dyDescent="0.25">
      <c r="A1061" s="70" t="s">
        <v>168</v>
      </c>
      <c r="B1061">
        <v>0</v>
      </c>
      <c r="C1061" s="3">
        <v>0</v>
      </c>
      <c r="D1061" s="58">
        <v>45139</v>
      </c>
      <c r="E1061" s="58" t="str">
        <f>TEXT(Base_de_Dados[[#This Row],[Semana]],"Mmmm")</f>
        <v>agosto</v>
      </c>
      <c r="F1061">
        <f t="shared" si="22"/>
        <v>2023</v>
      </c>
      <c r="G1061" t="str">
        <f>IF(MONTH(Base_de_Dados[[#This Row],[Semana]])&lt;=6,"1ª Semestre","2ª Semestre")</f>
        <v>2ª Semestre</v>
      </c>
    </row>
    <row r="1062" spans="1:7" x14ac:dyDescent="0.25">
      <c r="A1062" s="70" t="s">
        <v>176</v>
      </c>
      <c r="B1062">
        <v>0</v>
      </c>
      <c r="C1062" s="3">
        <v>0</v>
      </c>
      <c r="D1062" s="58">
        <v>45139</v>
      </c>
      <c r="E1062" s="58" t="str">
        <f>TEXT(Base_de_Dados[[#This Row],[Semana]],"Mmmm")</f>
        <v>agosto</v>
      </c>
      <c r="F1062">
        <f t="shared" si="22"/>
        <v>2023</v>
      </c>
      <c r="G1062" t="str">
        <f>IF(MONTH(Base_de_Dados[[#This Row],[Semana]])&lt;=6,"1ª Semestre","2ª Semestre")</f>
        <v>2ª Semestre</v>
      </c>
    </row>
    <row r="1063" spans="1:7" x14ac:dyDescent="0.25">
      <c r="A1063" s="70" t="s">
        <v>216</v>
      </c>
      <c r="B1063">
        <v>0</v>
      </c>
      <c r="C1063" s="3">
        <v>0</v>
      </c>
      <c r="D1063" s="58">
        <v>45139</v>
      </c>
      <c r="E1063" s="58" t="str">
        <f>TEXT(Base_de_Dados[[#This Row],[Semana]],"Mmmm")</f>
        <v>agosto</v>
      </c>
      <c r="F1063">
        <f t="shared" si="22"/>
        <v>2023</v>
      </c>
      <c r="G1063" t="str">
        <f>IF(MONTH(Base_de_Dados[[#This Row],[Semana]])&lt;=6,"1ª Semestre","2ª Semestre")</f>
        <v>2ª Semestre</v>
      </c>
    </row>
    <row r="1064" spans="1:7" x14ac:dyDescent="0.25">
      <c r="A1064" s="70" t="s">
        <v>173</v>
      </c>
      <c r="B1064">
        <v>0</v>
      </c>
      <c r="C1064" s="3">
        <v>0</v>
      </c>
      <c r="D1064" s="58">
        <v>45139</v>
      </c>
      <c r="E1064" s="58" t="str">
        <f>TEXT(Base_de_Dados[[#This Row],[Semana]],"Mmmm")</f>
        <v>agosto</v>
      </c>
      <c r="F1064">
        <f t="shared" si="22"/>
        <v>2023</v>
      </c>
      <c r="G1064" t="str">
        <f>IF(MONTH(Base_de_Dados[[#This Row],[Semana]])&lt;=6,"1ª Semestre","2ª Semestre")</f>
        <v>2ª Semestre</v>
      </c>
    </row>
  </sheetData>
  <phoneticPr fontId="3" type="noConversion"/>
  <conditionalFormatting sqref="A343:E920 A921:G1048576">
    <cfRule type="containsText" dxfId="53" priority="1" operator="containsText" text="Entupimento">
      <formula>NOT(ISERROR(SEARCH("Entupimento",A343)))</formula>
    </cfRule>
  </conditionalFormatting>
  <conditionalFormatting sqref="A1:G2 A3:E342 F3:G920">
    <cfRule type="containsText" dxfId="52" priority="2" operator="containsText" text="Injeferd">
      <formula>NOT(ISERROR(SEARCH("Injeferd",A1)))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290C-18E4-4FFF-BF0A-AE2F8293BE9E}">
  <dimension ref="A3:E34"/>
  <sheetViews>
    <sheetView showGridLines="0" workbookViewId="0">
      <selection activeCell="W26" sqref="W26"/>
    </sheetView>
  </sheetViews>
  <sheetFormatPr defaultRowHeight="15" x14ac:dyDescent="0.25"/>
  <cols>
    <col min="1" max="1" width="18.7109375" bestFit="1" customWidth="1"/>
    <col min="2" max="2" width="21" customWidth="1"/>
    <col min="3" max="3" width="7.140625" bestFit="1" customWidth="1"/>
    <col min="4" max="4" width="18.7109375" bestFit="1" customWidth="1"/>
    <col min="5" max="5" width="18.28515625" customWidth="1"/>
    <col min="6" max="6" width="7.140625" bestFit="1" customWidth="1"/>
    <col min="7" max="7" width="6.140625" bestFit="1" customWidth="1"/>
    <col min="8" max="8" width="10.7109375" bestFit="1" customWidth="1"/>
    <col min="9" max="9" width="9.28515625" bestFit="1" customWidth="1"/>
    <col min="10" max="13" width="6.7109375" bestFit="1" customWidth="1"/>
    <col min="14" max="14" width="8.7109375" bestFit="1" customWidth="1"/>
    <col min="15" max="19" width="7.140625" bestFit="1" customWidth="1"/>
    <col min="20" max="20" width="9.140625" bestFit="1" customWidth="1"/>
    <col min="21" max="24" width="6.7109375" bestFit="1" customWidth="1"/>
    <col min="25" max="25" width="8.7109375" bestFit="1" customWidth="1"/>
    <col min="26" max="26" width="6.140625" bestFit="1" customWidth="1"/>
    <col min="27" max="27" width="8.140625" bestFit="1" customWidth="1"/>
    <col min="28" max="28" width="10.7109375" bestFit="1" customWidth="1"/>
  </cols>
  <sheetData>
    <row r="3" spans="1:5" x14ac:dyDescent="0.25">
      <c r="A3" s="59" t="s">
        <v>210</v>
      </c>
      <c r="B3" t="s">
        <v>211</v>
      </c>
      <c r="D3" s="59" t="s">
        <v>210</v>
      </c>
      <c r="E3" t="s">
        <v>212</v>
      </c>
    </row>
    <row r="4" spans="1:5" x14ac:dyDescent="0.25">
      <c r="A4" s="60" t="s">
        <v>127</v>
      </c>
      <c r="B4" s="61">
        <v>1</v>
      </c>
      <c r="D4" s="60" t="s">
        <v>127</v>
      </c>
      <c r="E4">
        <v>1</v>
      </c>
    </row>
    <row r="21" spans="2:4" x14ac:dyDescent="0.25">
      <c r="B21" t="str">
        <f>A4</f>
        <v>Transplantio</v>
      </c>
      <c r="C21">
        <f>E4</f>
        <v>1</v>
      </c>
      <c r="D21" s="62">
        <f>C21/$C$34</f>
        <v>1</v>
      </c>
    </row>
    <row r="22" spans="2:4" x14ac:dyDescent="0.25">
      <c r="B22">
        <f t="shared" ref="B22:B33" si="0">A5</f>
        <v>0</v>
      </c>
      <c r="C22">
        <f t="shared" ref="C22:C33" si="1">E5</f>
        <v>0</v>
      </c>
      <c r="D22" s="62">
        <f t="shared" ref="D22:D33" si="2">C22/$C$34</f>
        <v>0</v>
      </c>
    </row>
    <row r="23" spans="2:4" x14ac:dyDescent="0.25">
      <c r="B23">
        <f t="shared" si="0"/>
        <v>0</v>
      </c>
      <c r="C23">
        <f t="shared" si="1"/>
        <v>0</v>
      </c>
      <c r="D23" s="62">
        <f t="shared" si="2"/>
        <v>0</v>
      </c>
    </row>
    <row r="24" spans="2:4" x14ac:dyDescent="0.25">
      <c r="B24">
        <f t="shared" si="0"/>
        <v>0</v>
      </c>
      <c r="C24">
        <f t="shared" si="1"/>
        <v>0</v>
      </c>
      <c r="D24" s="62">
        <f t="shared" si="2"/>
        <v>0</v>
      </c>
    </row>
    <row r="25" spans="2:4" x14ac:dyDescent="0.25">
      <c r="B25">
        <f t="shared" si="0"/>
        <v>0</v>
      </c>
      <c r="C25">
        <f t="shared" si="1"/>
        <v>0</v>
      </c>
      <c r="D25" s="62">
        <f t="shared" si="2"/>
        <v>0</v>
      </c>
    </row>
    <row r="26" spans="2:4" x14ac:dyDescent="0.25">
      <c r="B26">
        <f t="shared" si="0"/>
        <v>0</v>
      </c>
      <c r="C26">
        <f t="shared" si="1"/>
        <v>0</v>
      </c>
      <c r="D26" s="62">
        <f t="shared" si="2"/>
        <v>0</v>
      </c>
    </row>
    <row r="27" spans="2:4" x14ac:dyDescent="0.25">
      <c r="B27">
        <f t="shared" si="0"/>
        <v>0</v>
      </c>
      <c r="C27">
        <f t="shared" si="1"/>
        <v>0</v>
      </c>
      <c r="D27" s="62">
        <f t="shared" si="2"/>
        <v>0</v>
      </c>
    </row>
    <row r="28" spans="2:4" x14ac:dyDescent="0.25">
      <c r="B28">
        <f t="shared" si="0"/>
        <v>0</v>
      </c>
      <c r="C28">
        <f t="shared" si="1"/>
        <v>0</v>
      </c>
      <c r="D28" s="62">
        <f t="shared" si="2"/>
        <v>0</v>
      </c>
    </row>
    <row r="29" spans="2:4" x14ac:dyDescent="0.25">
      <c r="B29">
        <f t="shared" si="0"/>
        <v>0</v>
      </c>
      <c r="C29">
        <f t="shared" si="1"/>
        <v>0</v>
      </c>
      <c r="D29" s="62">
        <f t="shared" si="2"/>
        <v>0</v>
      </c>
    </row>
    <row r="30" spans="2:4" x14ac:dyDescent="0.25">
      <c r="B30">
        <f t="shared" si="0"/>
        <v>0</v>
      </c>
      <c r="C30">
        <f t="shared" si="1"/>
        <v>0</v>
      </c>
      <c r="D30" s="62">
        <f t="shared" si="2"/>
        <v>0</v>
      </c>
    </row>
    <row r="31" spans="2:4" x14ac:dyDescent="0.25">
      <c r="B31">
        <f t="shared" si="0"/>
        <v>0</v>
      </c>
      <c r="C31">
        <f t="shared" si="1"/>
        <v>0</v>
      </c>
      <c r="D31" s="62">
        <f t="shared" si="2"/>
        <v>0</v>
      </c>
    </row>
    <row r="32" spans="2:4" x14ac:dyDescent="0.25">
      <c r="B32">
        <f t="shared" si="0"/>
        <v>0</v>
      </c>
      <c r="C32">
        <f t="shared" si="1"/>
        <v>0</v>
      </c>
      <c r="D32" s="62">
        <f t="shared" si="2"/>
        <v>0</v>
      </c>
    </row>
    <row r="33" spans="2:4" x14ac:dyDescent="0.25">
      <c r="B33">
        <f t="shared" si="0"/>
        <v>0</v>
      </c>
      <c r="C33">
        <f t="shared" si="1"/>
        <v>0</v>
      </c>
      <c r="D33" s="62">
        <f t="shared" si="2"/>
        <v>0</v>
      </c>
    </row>
    <row r="34" spans="2:4" x14ac:dyDescent="0.25">
      <c r="C34">
        <f>SUM(C21:C33)</f>
        <v>1</v>
      </c>
      <c r="D34" s="62"/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6D4C-0CEA-4FEF-8ABB-53C7AA33D9C3}">
  <dimension ref="A3:E45"/>
  <sheetViews>
    <sheetView showGridLines="0" workbookViewId="0">
      <selection activeCell="B11" sqref="B11"/>
    </sheetView>
  </sheetViews>
  <sheetFormatPr defaultRowHeight="15" x14ac:dyDescent="0.25"/>
  <cols>
    <col min="1" max="1" width="18.7109375" bestFit="1" customWidth="1"/>
    <col min="2" max="2" width="16.28515625" bestFit="1" customWidth="1"/>
    <col min="3" max="3" width="7" bestFit="1" customWidth="1"/>
    <col min="4" max="4" width="18.7109375" bestFit="1" customWidth="1"/>
    <col min="5" max="5" width="15.7109375" bestFit="1" customWidth="1"/>
    <col min="6" max="6" width="12" bestFit="1" customWidth="1"/>
    <col min="7" max="7" width="7.28515625" bestFit="1" customWidth="1"/>
    <col min="8" max="9" width="12" bestFit="1" customWidth="1"/>
    <col min="10" max="11" width="6.7109375" bestFit="1" customWidth="1"/>
    <col min="12" max="14" width="12" bestFit="1" customWidth="1"/>
    <col min="15" max="15" width="7.140625" bestFit="1" customWidth="1"/>
    <col min="16" max="16" width="12" bestFit="1" customWidth="1"/>
    <col min="17" max="18" width="6.7109375" bestFit="1" customWidth="1"/>
    <col min="19" max="19" width="12" bestFit="1" customWidth="1"/>
    <col min="20" max="20" width="6.7109375" bestFit="1" customWidth="1"/>
    <col min="21" max="21" width="6.140625" bestFit="1" customWidth="1"/>
    <col min="22" max="22" width="12" bestFit="1" customWidth="1"/>
  </cols>
  <sheetData>
    <row r="3" spans="1:5" x14ac:dyDescent="0.25">
      <c r="A3" s="59" t="s">
        <v>210</v>
      </c>
      <c r="B3" t="s">
        <v>213</v>
      </c>
      <c r="D3" s="59" t="s">
        <v>210</v>
      </c>
      <c r="E3" t="s">
        <v>214</v>
      </c>
    </row>
    <row r="4" spans="1:5" x14ac:dyDescent="0.25">
      <c r="A4" s="60" t="s">
        <v>10</v>
      </c>
      <c r="B4" s="61">
        <v>8.0000000000000002E-3</v>
      </c>
      <c r="D4" s="60" t="s">
        <v>5</v>
      </c>
      <c r="E4">
        <v>6</v>
      </c>
    </row>
    <row r="5" spans="1:5" x14ac:dyDescent="0.25">
      <c r="A5" s="60" t="s">
        <v>30</v>
      </c>
      <c r="B5" s="61">
        <v>1.6E-2</v>
      </c>
      <c r="D5" s="60" t="s">
        <v>13</v>
      </c>
      <c r="E5">
        <v>3</v>
      </c>
    </row>
    <row r="6" spans="1:5" x14ac:dyDescent="0.25">
      <c r="A6" s="60" t="s">
        <v>127</v>
      </c>
      <c r="B6" s="61">
        <v>1.6E-2</v>
      </c>
      <c r="D6" s="60" t="s">
        <v>118</v>
      </c>
      <c r="E6">
        <v>17</v>
      </c>
    </row>
    <row r="7" spans="1:5" x14ac:dyDescent="0.25">
      <c r="A7" s="60" t="s">
        <v>173</v>
      </c>
      <c r="B7" s="61">
        <v>2.4E-2</v>
      </c>
      <c r="D7" s="60" t="s">
        <v>15</v>
      </c>
      <c r="E7">
        <v>63</v>
      </c>
    </row>
    <row r="8" spans="1:5" x14ac:dyDescent="0.25">
      <c r="A8" s="60" t="s">
        <v>13</v>
      </c>
      <c r="B8" s="61">
        <v>2.4E-2</v>
      </c>
      <c r="D8" s="60" t="s">
        <v>121</v>
      </c>
      <c r="E8">
        <v>4</v>
      </c>
    </row>
    <row r="9" spans="1:5" x14ac:dyDescent="0.25">
      <c r="A9" s="60" t="s">
        <v>121</v>
      </c>
      <c r="B9" s="61">
        <v>3.2000000000000001E-2</v>
      </c>
      <c r="D9" s="60" t="s">
        <v>10</v>
      </c>
      <c r="E9">
        <v>1</v>
      </c>
    </row>
    <row r="10" spans="1:5" x14ac:dyDescent="0.25">
      <c r="A10" s="60" t="s">
        <v>5</v>
      </c>
      <c r="B10" s="61">
        <v>4.8000000000000001E-2</v>
      </c>
      <c r="D10" s="60" t="s">
        <v>12</v>
      </c>
      <c r="E10">
        <v>7</v>
      </c>
    </row>
    <row r="11" spans="1:5" x14ac:dyDescent="0.25">
      <c r="A11" s="60" t="s">
        <v>4</v>
      </c>
      <c r="B11" s="61">
        <v>4.8000000000000001E-2</v>
      </c>
      <c r="D11" s="60" t="s">
        <v>30</v>
      </c>
      <c r="E11">
        <v>2</v>
      </c>
    </row>
    <row r="12" spans="1:5" x14ac:dyDescent="0.25">
      <c r="A12" s="60" t="s">
        <v>12</v>
      </c>
      <c r="B12" s="61">
        <v>5.6000000000000001E-2</v>
      </c>
      <c r="D12" s="60" t="s">
        <v>4</v>
      </c>
      <c r="E12">
        <v>6</v>
      </c>
    </row>
    <row r="13" spans="1:5" x14ac:dyDescent="0.25">
      <c r="A13" s="60" t="s">
        <v>166</v>
      </c>
      <c r="B13" s="61">
        <v>8.7999999999999995E-2</v>
      </c>
      <c r="D13" s="60" t="s">
        <v>127</v>
      </c>
      <c r="E13">
        <v>2</v>
      </c>
    </row>
    <row r="14" spans="1:5" x14ac:dyDescent="0.25">
      <c r="A14" s="60" t="s">
        <v>118</v>
      </c>
      <c r="B14" s="61">
        <v>0.13600000000000001</v>
      </c>
      <c r="D14" s="60" t="s">
        <v>166</v>
      </c>
      <c r="E14">
        <v>11</v>
      </c>
    </row>
    <row r="15" spans="1:5" x14ac:dyDescent="0.25">
      <c r="A15" s="60" t="s">
        <v>15</v>
      </c>
      <c r="B15" s="61">
        <v>0.504</v>
      </c>
      <c r="D15" s="60" t="s">
        <v>173</v>
      </c>
      <c r="E15">
        <v>3</v>
      </c>
    </row>
    <row r="29" spans="2:4" x14ac:dyDescent="0.25">
      <c r="B29" s="69" t="s">
        <v>215</v>
      </c>
      <c r="C29" s="69"/>
      <c r="D29" s="69"/>
    </row>
    <row r="30" spans="2:4" x14ac:dyDescent="0.25">
      <c r="B30" t="str">
        <f t="shared" ref="B30:B44" si="0">A4</f>
        <v>Mecânico/Trator</v>
      </c>
      <c r="C30">
        <f t="shared" ref="C30:C44" si="1">E4</f>
        <v>6</v>
      </c>
      <c r="D30" s="62">
        <f t="shared" ref="D30:D44" si="2">C30/$C$45</f>
        <v>4.8000000000000001E-2</v>
      </c>
    </row>
    <row r="31" spans="2:4" x14ac:dyDescent="0.25">
      <c r="B31" t="str">
        <f t="shared" si="0"/>
        <v>Plantio</v>
      </c>
      <c r="C31">
        <f t="shared" si="1"/>
        <v>3</v>
      </c>
      <c r="D31" s="62">
        <f t="shared" si="2"/>
        <v>2.4E-2</v>
      </c>
    </row>
    <row r="32" spans="2:4" x14ac:dyDescent="0.25">
      <c r="B32" t="str">
        <f t="shared" si="0"/>
        <v>Transplantio</v>
      </c>
      <c r="C32">
        <f t="shared" si="1"/>
        <v>17</v>
      </c>
      <c r="D32" s="62">
        <f t="shared" si="2"/>
        <v>0.13600000000000001</v>
      </c>
    </row>
    <row r="33" spans="2:4" x14ac:dyDescent="0.25">
      <c r="B33" t="str">
        <f t="shared" si="0"/>
        <v>Entupimento</v>
      </c>
      <c r="C33">
        <f t="shared" si="1"/>
        <v>63</v>
      </c>
      <c r="D33" s="62">
        <f t="shared" si="2"/>
        <v>0.504</v>
      </c>
    </row>
    <row r="34" spans="2:4" x14ac:dyDescent="0.25">
      <c r="B34" t="str">
        <f t="shared" si="0"/>
        <v>Entrega do Produto</v>
      </c>
      <c r="C34">
        <f t="shared" si="1"/>
        <v>4</v>
      </c>
      <c r="D34" s="62">
        <f t="shared" si="2"/>
        <v>3.2000000000000001E-2</v>
      </c>
    </row>
    <row r="35" spans="2:4" x14ac:dyDescent="0.25">
      <c r="B35" t="str">
        <f t="shared" si="0"/>
        <v>Limpeza e aferições</v>
      </c>
      <c r="C35">
        <f t="shared" si="1"/>
        <v>1</v>
      </c>
      <c r="D35" s="62">
        <f t="shared" si="2"/>
        <v>8.0000000000000002E-3</v>
      </c>
    </row>
    <row r="36" spans="2:4" x14ac:dyDescent="0.25">
      <c r="B36" t="str">
        <f t="shared" si="0"/>
        <v>Adubação</v>
      </c>
      <c r="C36">
        <f t="shared" si="1"/>
        <v>7</v>
      </c>
      <c r="D36" s="62">
        <f t="shared" si="2"/>
        <v>5.6000000000000001E-2</v>
      </c>
    </row>
    <row r="37" spans="2:4" x14ac:dyDescent="0.25">
      <c r="B37" t="str">
        <f t="shared" si="0"/>
        <v>Pulverização</v>
      </c>
      <c r="C37">
        <f t="shared" si="1"/>
        <v>2</v>
      </c>
      <c r="D37" s="62">
        <f t="shared" si="2"/>
        <v>1.6E-2</v>
      </c>
    </row>
    <row r="38" spans="2:4" x14ac:dyDescent="0.25">
      <c r="B38" t="str">
        <f t="shared" si="0"/>
        <v>Pivô Atolado</v>
      </c>
      <c r="C38">
        <f t="shared" si="1"/>
        <v>6</v>
      </c>
      <c r="D38" s="62">
        <f t="shared" si="2"/>
        <v>4.8000000000000001E-2</v>
      </c>
    </row>
    <row r="39" spans="2:4" x14ac:dyDescent="0.25">
      <c r="B39" t="str">
        <f t="shared" si="0"/>
        <v>Gerador</v>
      </c>
      <c r="C39">
        <f t="shared" si="1"/>
        <v>2</v>
      </c>
      <c r="D39" s="62">
        <f t="shared" si="2"/>
        <v>1.6E-2</v>
      </c>
    </row>
    <row r="40" spans="2:4" x14ac:dyDescent="0.25">
      <c r="B40" t="str">
        <f t="shared" si="0"/>
        <v>Erosão/Rastro</v>
      </c>
      <c r="C40">
        <f t="shared" si="1"/>
        <v>11</v>
      </c>
      <c r="D40" s="62">
        <f t="shared" si="2"/>
        <v>8.7999999999999995E-2</v>
      </c>
    </row>
    <row r="41" spans="2:4" x14ac:dyDescent="0.25">
      <c r="B41" t="str">
        <f t="shared" si="0"/>
        <v>Falta de Água</v>
      </c>
      <c r="C41">
        <f t="shared" si="1"/>
        <v>3</v>
      </c>
      <c r="D41" s="62">
        <f t="shared" si="2"/>
        <v>2.4E-2</v>
      </c>
    </row>
    <row r="42" spans="2:4" x14ac:dyDescent="0.25">
      <c r="B42">
        <f t="shared" si="0"/>
        <v>0</v>
      </c>
      <c r="C42">
        <f t="shared" si="1"/>
        <v>0</v>
      </c>
      <c r="D42" s="62">
        <f t="shared" si="2"/>
        <v>0</v>
      </c>
    </row>
    <row r="43" spans="2:4" x14ac:dyDescent="0.25">
      <c r="B43">
        <f t="shared" si="0"/>
        <v>0</v>
      </c>
      <c r="C43">
        <f t="shared" si="1"/>
        <v>0</v>
      </c>
      <c r="D43" s="62">
        <f t="shared" si="2"/>
        <v>0</v>
      </c>
    </row>
    <row r="44" spans="2:4" x14ac:dyDescent="0.25">
      <c r="B44">
        <f t="shared" si="0"/>
        <v>0</v>
      </c>
      <c r="C44">
        <f t="shared" si="1"/>
        <v>0</v>
      </c>
      <c r="D44" s="62">
        <f t="shared" si="2"/>
        <v>0</v>
      </c>
    </row>
    <row r="45" spans="2:4" x14ac:dyDescent="0.25">
      <c r="C45">
        <f>SUM(C30:C44)</f>
        <v>125</v>
      </c>
    </row>
  </sheetData>
  <mergeCells count="1">
    <mergeCell ref="B29:D29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88F1-AB0F-40FE-B3DC-06D36F207869}">
  <dimension ref="A1"/>
  <sheetViews>
    <sheetView showGridLines="0" showRowColHeaders="0" zoomScaleNormal="100" workbookViewId="0">
      <selection activeCell="V1" sqref="V1:V3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1302E2-CC41-4447-870C-58BFE45704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76</vt:i4>
      </vt:variant>
    </vt:vector>
  </HeadingPairs>
  <TitlesOfParts>
    <vt:vector size="76" baseType="lpstr">
      <vt:lpstr>Acumulado</vt:lpstr>
      <vt:lpstr>21 02 2022</vt:lpstr>
      <vt:lpstr>28 02 2022</vt:lpstr>
      <vt:lpstr>07 03 2022</vt:lpstr>
      <vt:lpstr>14 03 2022</vt:lpstr>
      <vt:lpstr>21 03 2022</vt:lpstr>
      <vt:lpstr>28 03 2022</vt:lpstr>
      <vt:lpstr>04 04 2022</vt:lpstr>
      <vt:lpstr>11 04 2022</vt:lpstr>
      <vt:lpstr>18 04 2022</vt:lpstr>
      <vt:lpstr>25 04 2022</vt:lpstr>
      <vt:lpstr>02 05 2022</vt:lpstr>
      <vt:lpstr>09 05 2022</vt:lpstr>
      <vt:lpstr>16 05 2022 </vt:lpstr>
      <vt:lpstr>23 05 2022 </vt:lpstr>
      <vt:lpstr>30 05 2022 </vt:lpstr>
      <vt:lpstr>06 06 2022  </vt:lpstr>
      <vt:lpstr>13 06 2022  </vt:lpstr>
      <vt:lpstr>20 06 2022  </vt:lpstr>
      <vt:lpstr>27 06 2022   </vt:lpstr>
      <vt:lpstr>04 07 2022    </vt:lpstr>
      <vt:lpstr>11 07 2022     </vt:lpstr>
      <vt:lpstr>18 07 2022    </vt:lpstr>
      <vt:lpstr>25 07 2022  </vt:lpstr>
      <vt:lpstr>01 08 2022   </vt:lpstr>
      <vt:lpstr>08 08 2022    </vt:lpstr>
      <vt:lpstr>15 08 2022     </vt:lpstr>
      <vt:lpstr>22 08 2022      </vt:lpstr>
      <vt:lpstr>29 08 2022       </vt:lpstr>
      <vt:lpstr>05 09 2022        </vt:lpstr>
      <vt:lpstr>12 09 2022         </vt:lpstr>
      <vt:lpstr>19 09 2022         </vt:lpstr>
      <vt:lpstr>26 09 2022          </vt:lpstr>
      <vt:lpstr>03 10 2022           </vt:lpstr>
      <vt:lpstr>10 10 2022            </vt:lpstr>
      <vt:lpstr>17 10 2022           </vt:lpstr>
      <vt:lpstr>24 10 2022</vt:lpstr>
      <vt:lpstr>31 10 2022</vt:lpstr>
      <vt:lpstr>07 11 2022</vt:lpstr>
      <vt:lpstr>14 11 2022</vt:lpstr>
      <vt:lpstr>28 11 2022</vt:lpstr>
      <vt:lpstr>05 12 2022</vt:lpstr>
      <vt:lpstr>02 01 2023</vt:lpstr>
      <vt:lpstr>16 01 2023</vt:lpstr>
      <vt:lpstr>23 01 2023</vt:lpstr>
      <vt:lpstr>30 01 2023</vt:lpstr>
      <vt:lpstr>06 02 2023</vt:lpstr>
      <vt:lpstr>13 02 2023</vt:lpstr>
      <vt:lpstr>20 02 2023</vt:lpstr>
      <vt:lpstr>27 02 2023</vt:lpstr>
      <vt:lpstr>06 03 2023</vt:lpstr>
      <vt:lpstr>13 03 2023</vt:lpstr>
      <vt:lpstr>20 03 2023</vt:lpstr>
      <vt:lpstr>27 03 2023</vt:lpstr>
      <vt:lpstr>03 04 2023</vt:lpstr>
      <vt:lpstr>10 04 2023</vt:lpstr>
      <vt:lpstr>17 04 2023</vt:lpstr>
      <vt:lpstr>24 04 2023</vt:lpstr>
      <vt:lpstr>01 05 2023</vt:lpstr>
      <vt:lpstr>08 05 2023</vt:lpstr>
      <vt:lpstr>15 05 2023</vt:lpstr>
      <vt:lpstr>22 05 2023</vt:lpstr>
      <vt:lpstr>29 05 2023</vt:lpstr>
      <vt:lpstr>05 06 2023</vt:lpstr>
      <vt:lpstr>12 06 2023</vt:lpstr>
      <vt:lpstr>19 06 2023</vt:lpstr>
      <vt:lpstr>26 06 2023</vt:lpstr>
      <vt:lpstr>03 07 2023</vt:lpstr>
      <vt:lpstr>10 07 2023</vt:lpstr>
      <vt:lpstr>17 07 2023</vt:lpstr>
      <vt:lpstr>24 07 2023</vt:lpstr>
      <vt:lpstr>31 07 2023</vt:lpstr>
      <vt:lpstr>Base de Dados</vt:lpstr>
      <vt:lpstr>Analise Semanal</vt:lpstr>
      <vt:lpstr>Analise Anual</vt:lpstr>
      <vt:lpstr>Dashboard Indicadores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Kalito Silva</dc:creator>
  <cp:keywords/>
  <dc:description/>
  <cp:lastModifiedBy>Kalito Silva</cp:lastModifiedBy>
  <cp:revision/>
  <dcterms:created xsi:type="dcterms:W3CDTF">2022-02-17T20:52:24Z</dcterms:created>
  <dcterms:modified xsi:type="dcterms:W3CDTF">2023-08-02T15:00:55Z</dcterms:modified>
  <cp:category/>
  <cp:contentStatus/>
</cp:coreProperties>
</file>