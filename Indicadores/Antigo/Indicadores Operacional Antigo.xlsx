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colombaagropecuaria.sharepoint.com/sites/arquivos/Documentos Compartilhados/Sistema de Irrigacao/Suporte Irrigação/Kalito/Indicadores/"/>
    </mc:Choice>
  </mc:AlternateContent>
  <xr:revisionPtr revIDLastSave="172" documentId="6_{6A5602B1-6CC6-4F93-A7BA-AD9A0B611B57}" xr6:coauthVersionLast="47" xr6:coauthVersionMax="47" xr10:uidLastSave="{AAC0EBDA-7712-469E-8ABF-6B2975D00621}"/>
  <bookViews>
    <workbookView xWindow="-120" yWindow="-120" windowWidth="20730" windowHeight="11160" firstSheet="20" activeTab="20" xr2:uid="{BD5C5A8C-1367-44D9-856B-9E5869C29C53}"/>
  </bookViews>
  <sheets>
    <sheet name="21 02 2022" sheetId="1" r:id="rId1"/>
    <sheet name="28 02 2022" sheetId="4" r:id="rId2"/>
    <sheet name="07 03 2022" sheetId="5" r:id="rId3"/>
    <sheet name="14 03 2022" sheetId="6" r:id="rId4"/>
    <sheet name="21 03 2022" sheetId="7" r:id="rId5"/>
    <sheet name="28 03 2022" sheetId="8" r:id="rId6"/>
    <sheet name="04 04 2022" sheetId="9" r:id="rId7"/>
    <sheet name="11 04 2022" sheetId="10" r:id="rId8"/>
    <sheet name="18 04 2022" sheetId="11" r:id="rId9"/>
    <sheet name="25 04 2022" sheetId="12" r:id="rId10"/>
    <sheet name="02 05 2022" sheetId="13" r:id="rId11"/>
    <sheet name="09 05 2022" sheetId="14" r:id="rId12"/>
    <sheet name="16 05 2022 " sheetId="15" r:id="rId13"/>
    <sheet name="23 05 2022 " sheetId="16" r:id="rId14"/>
    <sheet name="30 05 2022 " sheetId="17" r:id="rId15"/>
    <sheet name="06 06 2022  " sheetId="18" r:id="rId16"/>
    <sheet name="20 06 2022  " sheetId="20" r:id="rId17"/>
    <sheet name="13 06 2022  " sheetId="19" r:id="rId18"/>
    <sheet name="27 06 2022   " sheetId="21" r:id="rId19"/>
    <sheet name="04 07 2022    " sheetId="22" r:id="rId20"/>
    <sheet name="Acumulado" sheetId="3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7" i="22" l="1"/>
  <c r="W15" i="3" s="1"/>
  <c r="K16" i="22"/>
  <c r="W14" i="3" s="1"/>
  <c r="K15" i="22"/>
  <c r="W13" i="3" s="1"/>
  <c r="K14" i="22"/>
  <c r="W12" i="3" s="1"/>
  <c r="K13" i="22"/>
  <c r="W11" i="3" s="1"/>
  <c r="K12" i="22"/>
  <c r="W10" i="3" s="1"/>
  <c r="K11" i="22"/>
  <c r="W9" i="3" s="1"/>
  <c r="K10" i="22"/>
  <c r="W8" i="3" s="1"/>
  <c r="K9" i="22"/>
  <c r="W7" i="3" s="1"/>
  <c r="K8" i="22"/>
  <c r="W6" i="3" s="1"/>
  <c r="K7" i="22"/>
  <c r="W5" i="3" s="1"/>
  <c r="K6" i="22"/>
  <c r="W4" i="3" s="1"/>
  <c r="K5" i="22"/>
  <c r="W3" i="3" s="1"/>
  <c r="B4" i="22"/>
  <c r="C3" i="22"/>
  <c r="K17" i="21"/>
  <c r="T15" i="3" s="1"/>
  <c r="K16" i="21"/>
  <c r="T14" i="3" s="1"/>
  <c r="K15" i="21"/>
  <c r="T13" i="3" s="1"/>
  <c r="K14" i="21"/>
  <c r="T12" i="3" s="1"/>
  <c r="K13" i="21"/>
  <c r="T11" i="3" s="1"/>
  <c r="K12" i="21"/>
  <c r="T10" i="3" s="1"/>
  <c r="K11" i="21"/>
  <c r="T9" i="3" s="1"/>
  <c r="K10" i="21"/>
  <c r="T8" i="3" s="1"/>
  <c r="K9" i="21"/>
  <c r="T7" i="3" s="1"/>
  <c r="K8" i="21"/>
  <c r="T6" i="3" s="1"/>
  <c r="K7" i="21"/>
  <c r="T5" i="3" s="1"/>
  <c r="K6" i="21"/>
  <c r="T4" i="3" s="1"/>
  <c r="K5" i="21"/>
  <c r="T3" i="3" s="1"/>
  <c r="B4" i="21"/>
  <c r="C3" i="21"/>
  <c r="K17" i="20"/>
  <c r="K16" i="20"/>
  <c r="K15" i="20"/>
  <c r="K14" i="20"/>
  <c r="K13" i="20"/>
  <c r="K12" i="20"/>
  <c r="K11" i="20"/>
  <c r="K10" i="20"/>
  <c r="K9" i="20"/>
  <c r="K8" i="20"/>
  <c r="K7" i="20"/>
  <c r="K6" i="20"/>
  <c r="K5" i="20"/>
  <c r="B4" i="20"/>
  <c r="C3" i="20"/>
  <c r="K17" i="19"/>
  <c r="R15" i="3" s="1"/>
  <c r="K16" i="19"/>
  <c r="R14" i="3" s="1"/>
  <c r="K15" i="19"/>
  <c r="R13" i="3" s="1"/>
  <c r="K14" i="19"/>
  <c r="R12" i="3" s="1"/>
  <c r="K13" i="19"/>
  <c r="R11" i="3" s="1"/>
  <c r="K12" i="19"/>
  <c r="R10" i="3" s="1"/>
  <c r="K11" i="19"/>
  <c r="R9" i="3" s="1"/>
  <c r="K10" i="19"/>
  <c r="R8" i="3" s="1"/>
  <c r="K9" i="19"/>
  <c r="R7" i="3" s="1"/>
  <c r="K8" i="19"/>
  <c r="R6" i="3" s="1"/>
  <c r="K7" i="19"/>
  <c r="R5" i="3" s="1"/>
  <c r="K6" i="19"/>
  <c r="R4" i="3" s="1"/>
  <c r="K5" i="19"/>
  <c r="R3" i="3" s="1"/>
  <c r="B4" i="19"/>
  <c r="C3" i="19"/>
  <c r="K17" i="18"/>
  <c r="Q15" i="3" s="1"/>
  <c r="K16" i="18"/>
  <c r="Q14" i="3" s="1"/>
  <c r="K15" i="18"/>
  <c r="Q13" i="3" s="1"/>
  <c r="K14" i="18"/>
  <c r="Q12" i="3" s="1"/>
  <c r="K13" i="18"/>
  <c r="Q11" i="3" s="1"/>
  <c r="K12" i="18"/>
  <c r="Q10" i="3" s="1"/>
  <c r="K11" i="18"/>
  <c r="Q9" i="3" s="1"/>
  <c r="K10" i="18"/>
  <c r="Q8" i="3" s="1"/>
  <c r="K9" i="18"/>
  <c r="Q7" i="3" s="1"/>
  <c r="K8" i="18"/>
  <c r="Q6" i="3" s="1"/>
  <c r="K7" i="18"/>
  <c r="Q5" i="3" s="1"/>
  <c r="K6" i="18"/>
  <c r="Q4" i="3" s="1"/>
  <c r="K5" i="18"/>
  <c r="Q3" i="3" s="1"/>
  <c r="B4" i="18"/>
  <c r="C3" i="18"/>
  <c r="K17" i="17"/>
  <c r="P15" i="3" s="1"/>
  <c r="K16" i="17"/>
  <c r="P14" i="3" s="1"/>
  <c r="K15" i="17"/>
  <c r="P13" i="3" s="1"/>
  <c r="K14" i="17"/>
  <c r="P12" i="3" s="1"/>
  <c r="K13" i="17"/>
  <c r="P11" i="3" s="1"/>
  <c r="K12" i="17"/>
  <c r="P10" i="3" s="1"/>
  <c r="K11" i="17"/>
  <c r="P9" i="3" s="1"/>
  <c r="K10" i="17"/>
  <c r="P8" i="3" s="1"/>
  <c r="K9" i="17"/>
  <c r="P7" i="3" s="1"/>
  <c r="K8" i="17"/>
  <c r="P6" i="3" s="1"/>
  <c r="K7" i="17"/>
  <c r="P5" i="3" s="1"/>
  <c r="K6" i="17"/>
  <c r="P4" i="3" s="1"/>
  <c r="K5" i="17"/>
  <c r="P3" i="3" s="1"/>
  <c r="B4" i="17"/>
  <c r="C3" i="17"/>
  <c r="P16" i="3"/>
  <c r="Q16" i="3"/>
  <c r="R16" i="3"/>
  <c r="S16" i="3"/>
  <c r="K17" i="16"/>
  <c r="O15" i="3" s="1"/>
  <c r="U15" i="3" s="1"/>
  <c r="K16" i="16"/>
  <c r="O14" i="3" s="1"/>
  <c r="K15" i="16"/>
  <c r="O13" i="3" s="1"/>
  <c r="K14" i="16"/>
  <c r="O12" i="3" s="1"/>
  <c r="K13" i="16"/>
  <c r="O11" i="3" s="1"/>
  <c r="K12" i="16"/>
  <c r="O10" i="3" s="1"/>
  <c r="K11" i="16"/>
  <c r="O9" i="3" s="1"/>
  <c r="K10" i="16"/>
  <c r="O8" i="3" s="1"/>
  <c r="K9" i="16"/>
  <c r="O7" i="3" s="1"/>
  <c r="K8" i="16"/>
  <c r="O6" i="3" s="1"/>
  <c r="K7" i="16"/>
  <c r="O5" i="3" s="1"/>
  <c r="K6" i="16"/>
  <c r="O4" i="3" s="1"/>
  <c r="K5" i="16"/>
  <c r="B4" i="16"/>
  <c r="C3" i="16"/>
  <c r="K16" i="15"/>
  <c r="N14" i="3" s="1"/>
  <c r="K15" i="15"/>
  <c r="N13" i="3" s="1"/>
  <c r="K14" i="15"/>
  <c r="N12" i="3" s="1"/>
  <c r="K13" i="15"/>
  <c r="N11" i="3" s="1"/>
  <c r="K12" i="15"/>
  <c r="N10" i="3" s="1"/>
  <c r="K11" i="15"/>
  <c r="N9" i="3" s="1"/>
  <c r="K10" i="15"/>
  <c r="N8" i="3" s="1"/>
  <c r="K9" i="15"/>
  <c r="N7" i="3" s="1"/>
  <c r="K8" i="15"/>
  <c r="N6" i="3" s="1"/>
  <c r="K7" i="15"/>
  <c r="N5" i="3" s="1"/>
  <c r="K6" i="15"/>
  <c r="N4" i="3" s="1"/>
  <c r="K5" i="15"/>
  <c r="N3" i="3" s="1"/>
  <c r="N16" i="3" s="1"/>
  <c r="B4" i="15"/>
  <c r="C3" i="15"/>
  <c r="K16" i="14"/>
  <c r="M14" i="3" s="1"/>
  <c r="K15" i="14"/>
  <c r="M13" i="3" s="1"/>
  <c r="K14" i="14"/>
  <c r="M12" i="3" s="1"/>
  <c r="K13" i="14"/>
  <c r="M11" i="3" s="1"/>
  <c r="K12" i="14"/>
  <c r="M10" i="3" s="1"/>
  <c r="K11" i="14"/>
  <c r="M9" i="3" s="1"/>
  <c r="K10" i="14"/>
  <c r="M8" i="3" s="1"/>
  <c r="K9" i="14"/>
  <c r="M7" i="3" s="1"/>
  <c r="K8" i="14"/>
  <c r="M6" i="3" s="1"/>
  <c r="K7" i="14"/>
  <c r="M5" i="3" s="1"/>
  <c r="K6" i="14"/>
  <c r="M4" i="3" s="1"/>
  <c r="K5" i="14"/>
  <c r="M3" i="3" s="1"/>
  <c r="M16" i="3" s="1"/>
  <c r="B4" i="14"/>
  <c r="C3" i="14"/>
  <c r="C4" i="14" s="1"/>
  <c r="K16" i="13"/>
  <c r="L14" i="3" s="1"/>
  <c r="K15" i="13"/>
  <c r="L13" i="3" s="1"/>
  <c r="K14" i="13"/>
  <c r="L12" i="3" s="1"/>
  <c r="K13" i="13"/>
  <c r="L11" i="3" s="1"/>
  <c r="K12" i="13"/>
  <c r="L10" i="3" s="1"/>
  <c r="K11" i="13"/>
  <c r="L9" i="3" s="1"/>
  <c r="K10" i="13"/>
  <c r="L8" i="3" s="1"/>
  <c r="K9" i="13"/>
  <c r="L7" i="3" s="1"/>
  <c r="K8" i="13"/>
  <c r="L6" i="3" s="1"/>
  <c r="K7" i="13"/>
  <c r="L5" i="3" s="1"/>
  <c r="K6" i="13"/>
  <c r="L4" i="3" s="1"/>
  <c r="K5" i="13"/>
  <c r="K17" i="13" s="1"/>
  <c r="B4" i="13"/>
  <c r="C3" i="13"/>
  <c r="C4" i="13" s="1"/>
  <c r="K16" i="12"/>
  <c r="K14" i="3" s="1"/>
  <c r="K18" i="16" l="1"/>
  <c r="O3" i="3"/>
  <c r="O16" i="3" s="1"/>
  <c r="T16" i="3"/>
  <c r="U14" i="3"/>
  <c r="C4" i="22"/>
  <c r="D3" i="22"/>
  <c r="K18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C4" i="21"/>
  <c r="D3" i="21"/>
  <c r="K18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C4" i="20"/>
  <c r="D3" i="20"/>
  <c r="K18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C4" i="19"/>
  <c r="D3" i="19"/>
  <c r="K18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C4" i="18"/>
  <c r="D3" i="18"/>
  <c r="K18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C4" i="17"/>
  <c r="D3" i="17"/>
  <c r="K18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7" i="16"/>
  <c r="C4" i="16"/>
  <c r="D3" i="16"/>
  <c r="L5" i="16"/>
  <c r="L6" i="16"/>
  <c r="L7" i="16"/>
  <c r="L8" i="16"/>
  <c r="L9" i="16"/>
  <c r="L10" i="16"/>
  <c r="L11" i="16"/>
  <c r="L12" i="16"/>
  <c r="L13" i="16"/>
  <c r="L14" i="16"/>
  <c r="L15" i="16"/>
  <c r="L16" i="16"/>
  <c r="C4" i="15"/>
  <c r="D3" i="15"/>
  <c r="K17" i="15"/>
  <c r="L5" i="15"/>
  <c r="L6" i="15"/>
  <c r="L7" i="15"/>
  <c r="L8" i="15"/>
  <c r="L9" i="15"/>
  <c r="L10" i="15"/>
  <c r="L11" i="15"/>
  <c r="L12" i="15"/>
  <c r="L13" i="15"/>
  <c r="L14" i="15"/>
  <c r="L15" i="15"/>
  <c r="L16" i="15"/>
  <c r="K17" i="14"/>
  <c r="L13" i="14" s="1"/>
  <c r="D3" i="14"/>
  <c r="D4" i="14" s="1"/>
  <c r="L11" i="13"/>
  <c r="L3" i="3"/>
  <c r="L16" i="3" s="1"/>
  <c r="D3" i="13"/>
  <c r="D4" i="13" s="1"/>
  <c r="L15" i="13"/>
  <c r="E3" i="13"/>
  <c r="D4" i="22" l="1"/>
  <c r="E3" i="22"/>
  <c r="D4" i="21"/>
  <c r="E3" i="21"/>
  <c r="D4" i="20"/>
  <c r="E3" i="20"/>
  <c r="D4" i="19"/>
  <c r="E3" i="19"/>
  <c r="D4" i="18"/>
  <c r="E3" i="18"/>
  <c r="D4" i="17"/>
  <c r="E3" i="17"/>
  <c r="D4" i="16"/>
  <c r="E3" i="16"/>
  <c r="D4" i="15"/>
  <c r="E3" i="15"/>
  <c r="L16" i="14"/>
  <c r="L8" i="14"/>
  <c r="L6" i="14"/>
  <c r="L9" i="14"/>
  <c r="L7" i="14"/>
  <c r="L11" i="14"/>
  <c r="L5" i="14"/>
  <c r="L14" i="14"/>
  <c r="L15" i="14"/>
  <c r="L12" i="14"/>
  <c r="L10" i="14"/>
  <c r="E3" i="14"/>
  <c r="E4" i="14" s="1"/>
  <c r="L13" i="13"/>
  <c r="L12" i="13"/>
  <c r="L8" i="13"/>
  <c r="L5" i="13"/>
  <c r="L10" i="13"/>
  <c r="L6" i="13"/>
  <c r="L7" i="13"/>
  <c r="L9" i="13"/>
  <c r="L16" i="13"/>
  <c r="L14" i="13"/>
  <c r="E4" i="13"/>
  <c r="F3" i="13"/>
  <c r="E4" i="22" l="1"/>
  <c r="F3" i="22"/>
  <c r="E4" i="21"/>
  <c r="F3" i="21"/>
  <c r="E4" i="20"/>
  <c r="F3" i="20"/>
  <c r="E4" i="19"/>
  <c r="F3" i="19"/>
  <c r="E4" i="18"/>
  <c r="F3" i="18"/>
  <c r="E4" i="17"/>
  <c r="F3" i="17"/>
  <c r="E4" i="16"/>
  <c r="F3" i="16"/>
  <c r="E4" i="15"/>
  <c r="F3" i="15"/>
  <c r="F3" i="14"/>
  <c r="G3" i="14"/>
  <c r="F4" i="14"/>
  <c r="G3" i="13"/>
  <c r="F4" i="13"/>
  <c r="F4" i="22" l="1"/>
  <c r="G3" i="22"/>
  <c r="F4" i="21"/>
  <c r="G3" i="21"/>
  <c r="F4" i="20"/>
  <c r="G3" i="20"/>
  <c r="F4" i="19"/>
  <c r="G3" i="19"/>
  <c r="F4" i="18"/>
  <c r="G3" i="18"/>
  <c r="F4" i="17"/>
  <c r="G3" i="17"/>
  <c r="F4" i="16"/>
  <c r="G3" i="16"/>
  <c r="F4" i="15"/>
  <c r="G3" i="15"/>
  <c r="G4" i="14"/>
  <c r="H3" i="14"/>
  <c r="H4" i="14" s="1"/>
  <c r="G4" i="13"/>
  <c r="H3" i="13"/>
  <c r="H4" i="13" s="1"/>
  <c r="G4" i="22" l="1"/>
  <c r="H3" i="22"/>
  <c r="H4" i="22" s="1"/>
  <c r="G4" i="21"/>
  <c r="H3" i="21"/>
  <c r="H4" i="21" s="1"/>
  <c r="G4" i="20"/>
  <c r="H3" i="20"/>
  <c r="H4" i="20" s="1"/>
  <c r="G4" i="19"/>
  <c r="H3" i="19"/>
  <c r="H4" i="19" s="1"/>
  <c r="G4" i="18"/>
  <c r="H3" i="18"/>
  <c r="H4" i="18" s="1"/>
  <c r="G4" i="17"/>
  <c r="H3" i="17"/>
  <c r="H4" i="17" s="1"/>
  <c r="G4" i="16"/>
  <c r="H3" i="16"/>
  <c r="H4" i="16" s="1"/>
  <c r="G4" i="15"/>
  <c r="H3" i="15"/>
  <c r="H4" i="15" s="1"/>
  <c r="K15" i="12"/>
  <c r="K13" i="3" s="1"/>
  <c r="K14" i="12"/>
  <c r="K12" i="3" s="1"/>
  <c r="K13" i="12"/>
  <c r="K11" i="3" s="1"/>
  <c r="K12" i="12"/>
  <c r="K10" i="3" s="1"/>
  <c r="K11" i="12"/>
  <c r="K9" i="3" s="1"/>
  <c r="K10" i="12"/>
  <c r="K8" i="3" s="1"/>
  <c r="K9" i="12"/>
  <c r="K7" i="3" s="1"/>
  <c r="K8" i="12"/>
  <c r="K6" i="3" s="1"/>
  <c r="K7" i="12"/>
  <c r="K5" i="3" s="1"/>
  <c r="K6" i="12"/>
  <c r="K4" i="3" s="1"/>
  <c r="K5" i="12"/>
  <c r="K3" i="3" s="1"/>
  <c r="K16" i="3" s="1"/>
  <c r="B4" i="12"/>
  <c r="C3" i="12"/>
  <c r="C4" i="12" s="1"/>
  <c r="K15" i="11"/>
  <c r="J13" i="3" s="1"/>
  <c r="K14" i="11"/>
  <c r="J12" i="3" s="1"/>
  <c r="K13" i="11"/>
  <c r="J11" i="3" s="1"/>
  <c r="K12" i="11"/>
  <c r="J10" i="3" s="1"/>
  <c r="K11" i="11"/>
  <c r="J9" i="3" s="1"/>
  <c r="K10" i="11"/>
  <c r="J8" i="3" s="1"/>
  <c r="K9" i="11"/>
  <c r="J7" i="3" s="1"/>
  <c r="K8" i="11"/>
  <c r="J6" i="3" s="1"/>
  <c r="K7" i="11"/>
  <c r="J5" i="3" s="1"/>
  <c r="K6" i="11"/>
  <c r="J4" i="3" s="1"/>
  <c r="K5" i="11"/>
  <c r="J3" i="3" s="1"/>
  <c r="J16" i="3" s="1"/>
  <c r="B4" i="11"/>
  <c r="C3" i="11"/>
  <c r="K15" i="10"/>
  <c r="I13" i="3" s="1"/>
  <c r="K14" i="10"/>
  <c r="I12" i="3" s="1"/>
  <c r="K13" i="10"/>
  <c r="I11" i="3" s="1"/>
  <c r="K12" i="10"/>
  <c r="I10" i="3" s="1"/>
  <c r="K11" i="10"/>
  <c r="I9" i="3" s="1"/>
  <c r="K10" i="10"/>
  <c r="I8" i="3" s="1"/>
  <c r="K9" i="10"/>
  <c r="I7" i="3" s="1"/>
  <c r="K8" i="10"/>
  <c r="I6" i="3" s="1"/>
  <c r="K7" i="10"/>
  <c r="I5" i="3" s="1"/>
  <c r="K6" i="10"/>
  <c r="I4" i="3" s="1"/>
  <c r="K5" i="10"/>
  <c r="I3" i="3" s="1"/>
  <c r="I16" i="3" s="1"/>
  <c r="B4" i="10"/>
  <c r="C3" i="10"/>
  <c r="C4" i="10" s="1"/>
  <c r="K15" i="9"/>
  <c r="H13" i="3" s="1"/>
  <c r="K14" i="9"/>
  <c r="H12" i="3" s="1"/>
  <c r="K13" i="9"/>
  <c r="H11" i="3" s="1"/>
  <c r="K12" i="9"/>
  <c r="H10" i="3" s="1"/>
  <c r="K11" i="9"/>
  <c r="H9" i="3" s="1"/>
  <c r="K10" i="9"/>
  <c r="H8" i="3" s="1"/>
  <c r="K9" i="9"/>
  <c r="H7" i="3" s="1"/>
  <c r="K8" i="9"/>
  <c r="H6" i="3" s="1"/>
  <c r="K7" i="9"/>
  <c r="H5" i="3" s="1"/>
  <c r="K6" i="9"/>
  <c r="H4" i="3" s="1"/>
  <c r="K5" i="9"/>
  <c r="H3" i="3" s="1"/>
  <c r="H16" i="3" s="1"/>
  <c r="B4" i="9"/>
  <c r="C3" i="9"/>
  <c r="D3" i="9" s="1"/>
  <c r="E3" i="9" s="1"/>
  <c r="K15" i="8"/>
  <c r="G13" i="3" s="1"/>
  <c r="K14" i="8"/>
  <c r="G12" i="3" s="1"/>
  <c r="K13" i="8"/>
  <c r="G11" i="3" s="1"/>
  <c r="K12" i="8"/>
  <c r="G10" i="3" s="1"/>
  <c r="K11" i="8"/>
  <c r="G9" i="3" s="1"/>
  <c r="K10" i="8"/>
  <c r="G8" i="3" s="1"/>
  <c r="K9" i="8"/>
  <c r="G7" i="3" s="1"/>
  <c r="K8" i="8"/>
  <c r="G6" i="3" s="1"/>
  <c r="K7" i="8"/>
  <c r="G5" i="3" s="1"/>
  <c r="K6" i="8"/>
  <c r="G4" i="3" s="1"/>
  <c r="K5" i="8"/>
  <c r="B4" i="8"/>
  <c r="C3" i="8"/>
  <c r="D3" i="8" s="1"/>
  <c r="K15" i="7"/>
  <c r="F13" i="3" s="1"/>
  <c r="K14" i="7"/>
  <c r="F12" i="3" s="1"/>
  <c r="K13" i="7"/>
  <c r="F11" i="3" s="1"/>
  <c r="K12" i="7"/>
  <c r="F10" i="3" s="1"/>
  <c r="K11" i="7"/>
  <c r="F9" i="3" s="1"/>
  <c r="K10" i="7"/>
  <c r="F8" i="3" s="1"/>
  <c r="K9" i="7"/>
  <c r="F7" i="3" s="1"/>
  <c r="K8" i="7"/>
  <c r="F6" i="3" s="1"/>
  <c r="K7" i="7"/>
  <c r="F5" i="3" s="1"/>
  <c r="K6" i="7"/>
  <c r="F4" i="3" s="1"/>
  <c r="K5" i="7"/>
  <c r="F3" i="3" s="1"/>
  <c r="F16" i="3" s="1"/>
  <c r="B4" i="7"/>
  <c r="C3" i="7"/>
  <c r="D3" i="7" s="1"/>
  <c r="D3" i="11" l="1"/>
  <c r="C4" i="11"/>
  <c r="K17" i="12"/>
  <c r="D3" i="12"/>
  <c r="K16" i="11"/>
  <c r="L13" i="11" s="1"/>
  <c r="E3" i="11"/>
  <c r="D4" i="11"/>
  <c r="K16" i="10"/>
  <c r="L14" i="10" s="1"/>
  <c r="L10" i="10"/>
  <c r="L6" i="10"/>
  <c r="L12" i="10"/>
  <c r="L8" i="10"/>
  <c r="L9" i="10"/>
  <c r="L13" i="10"/>
  <c r="L7" i="10"/>
  <c r="L11" i="10"/>
  <c r="L15" i="10"/>
  <c r="D3" i="10"/>
  <c r="L5" i="10"/>
  <c r="K16" i="9"/>
  <c r="L8" i="9" s="1"/>
  <c r="C4" i="9"/>
  <c r="E4" i="9"/>
  <c r="F3" i="9"/>
  <c r="D4" i="9"/>
  <c r="C4" i="8"/>
  <c r="K16" i="8"/>
  <c r="L6" i="8" s="1"/>
  <c r="G3" i="3"/>
  <c r="G16" i="3" s="1"/>
  <c r="E3" i="8"/>
  <c r="D4" i="8"/>
  <c r="L5" i="8"/>
  <c r="C4" i="7"/>
  <c r="K16" i="7"/>
  <c r="L7" i="7" s="1"/>
  <c r="E3" i="7"/>
  <c r="D4" i="7"/>
  <c r="L12" i="12" l="1"/>
  <c r="L16" i="12"/>
  <c r="L14" i="12"/>
  <c r="L11" i="12"/>
  <c r="L7" i="12"/>
  <c r="L6" i="12"/>
  <c r="L8" i="12"/>
  <c r="L5" i="12"/>
  <c r="L13" i="12"/>
  <c r="L10" i="12"/>
  <c r="L15" i="12"/>
  <c r="L9" i="12"/>
  <c r="E3" i="12"/>
  <c r="D4" i="12"/>
  <c r="L15" i="11"/>
  <c r="L6" i="11"/>
  <c r="L10" i="11"/>
  <c r="L11" i="11"/>
  <c r="L14" i="11"/>
  <c r="L12" i="11"/>
  <c r="L7" i="11"/>
  <c r="L5" i="11"/>
  <c r="L9" i="11"/>
  <c r="L8" i="11"/>
  <c r="F3" i="11"/>
  <c r="E4" i="11"/>
  <c r="E3" i="10"/>
  <c r="D4" i="10"/>
  <c r="L14" i="9"/>
  <c r="L7" i="9"/>
  <c r="L5" i="9"/>
  <c r="L15" i="9"/>
  <c r="L10" i="9"/>
  <c r="L13" i="9"/>
  <c r="L12" i="9"/>
  <c r="L11" i="9"/>
  <c r="L6" i="9"/>
  <c r="L9" i="9"/>
  <c r="F4" i="9"/>
  <c r="G3" i="9"/>
  <c r="L9" i="8"/>
  <c r="L10" i="8"/>
  <c r="L12" i="8"/>
  <c r="L11" i="8"/>
  <c r="L7" i="8"/>
  <c r="L13" i="8"/>
  <c r="L15" i="8"/>
  <c r="L8" i="8"/>
  <c r="L14" i="8"/>
  <c r="E4" i="8"/>
  <c r="F3" i="8"/>
  <c r="L10" i="7"/>
  <c r="L5" i="7"/>
  <c r="L12" i="7"/>
  <c r="L11" i="7"/>
  <c r="L9" i="7"/>
  <c r="L15" i="7"/>
  <c r="L8" i="7"/>
  <c r="L6" i="7"/>
  <c r="L13" i="7"/>
  <c r="L14" i="7"/>
  <c r="F3" i="7"/>
  <c r="E4" i="7"/>
  <c r="F3" i="12" l="1"/>
  <c r="E4" i="12"/>
  <c r="F4" i="11"/>
  <c r="G3" i="11"/>
  <c r="F3" i="10"/>
  <c r="E4" i="10"/>
  <c r="H3" i="9"/>
  <c r="H4" i="9" s="1"/>
  <c r="G4" i="9"/>
  <c r="F4" i="8"/>
  <c r="G3" i="8"/>
  <c r="F4" i="7"/>
  <c r="G3" i="7"/>
  <c r="G3" i="12" l="1"/>
  <c r="F4" i="12"/>
  <c r="H3" i="11"/>
  <c r="H4" i="11" s="1"/>
  <c r="G4" i="11"/>
  <c r="F4" i="10"/>
  <c r="G3" i="10"/>
  <c r="H3" i="8"/>
  <c r="H4" i="8" s="1"/>
  <c r="G4" i="8"/>
  <c r="G4" i="7"/>
  <c r="H3" i="7"/>
  <c r="H4" i="7" s="1"/>
  <c r="G4" i="12" l="1"/>
  <c r="H3" i="12"/>
  <c r="H4" i="12" s="1"/>
  <c r="G4" i="10"/>
  <c r="H3" i="10"/>
  <c r="H4" i="10" s="1"/>
  <c r="K15" i="6"/>
  <c r="E13" i="3" s="1"/>
  <c r="K14" i="6"/>
  <c r="E12" i="3" s="1"/>
  <c r="K13" i="6"/>
  <c r="E11" i="3" s="1"/>
  <c r="K12" i="6"/>
  <c r="E10" i="3" s="1"/>
  <c r="K11" i="6"/>
  <c r="E9" i="3" s="1"/>
  <c r="K10" i="6"/>
  <c r="E8" i="3" s="1"/>
  <c r="K9" i="6"/>
  <c r="E7" i="3" s="1"/>
  <c r="K8" i="6"/>
  <c r="E6" i="3" s="1"/>
  <c r="K7" i="6"/>
  <c r="E5" i="3" s="1"/>
  <c r="K6" i="6"/>
  <c r="E4" i="3" s="1"/>
  <c r="K5" i="6"/>
  <c r="E3" i="3" s="1"/>
  <c r="E16" i="3" s="1"/>
  <c r="B4" i="6"/>
  <c r="C3" i="6"/>
  <c r="C4" i="6" s="1"/>
  <c r="K15" i="5"/>
  <c r="K14" i="5"/>
  <c r="K5" i="5"/>
  <c r="K16" i="6" l="1"/>
  <c r="L12" i="6" s="1"/>
  <c r="D3" i="6"/>
  <c r="D12" i="3"/>
  <c r="K13" i="5"/>
  <c r="D11" i="3" s="1"/>
  <c r="K12" i="5"/>
  <c r="D10" i="3" s="1"/>
  <c r="K11" i="5"/>
  <c r="D9" i="3" s="1"/>
  <c r="K10" i="5"/>
  <c r="D8" i="3" s="1"/>
  <c r="K9" i="5"/>
  <c r="D7" i="3" s="1"/>
  <c r="K8" i="5"/>
  <c r="D6" i="3" s="1"/>
  <c r="K7" i="5"/>
  <c r="D5" i="3" s="1"/>
  <c r="K6" i="5"/>
  <c r="D4" i="3" s="1"/>
  <c r="D3" i="3"/>
  <c r="B4" i="5"/>
  <c r="C3" i="5"/>
  <c r="K14" i="4"/>
  <c r="C12" i="3" s="1"/>
  <c r="K13" i="4"/>
  <c r="C11" i="3" s="1"/>
  <c r="K12" i="4"/>
  <c r="C10" i="3" s="1"/>
  <c r="K11" i="4"/>
  <c r="C9" i="3" s="1"/>
  <c r="K10" i="4"/>
  <c r="C8" i="3" s="1"/>
  <c r="K9" i="4"/>
  <c r="C7" i="3" s="1"/>
  <c r="K8" i="4"/>
  <c r="C6" i="3" s="1"/>
  <c r="K7" i="4"/>
  <c r="C5" i="3" s="1"/>
  <c r="K6" i="4"/>
  <c r="C4" i="3" s="1"/>
  <c r="K5" i="4"/>
  <c r="C3" i="3" s="1"/>
  <c r="C16" i="3" s="1"/>
  <c r="B4" i="4"/>
  <c r="C3" i="4"/>
  <c r="D3" i="4" s="1"/>
  <c r="D4" i="4" s="1"/>
  <c r="K14" i="1"/>
  <c r="B12" i="3" s="1"/>
  <c r="C3" i="1"/>
  <c r="D3" i="1" s="1"/>
  <c r="E3" i="1" s="1"/>
  <c r="F3" i="1" s="1"/>
  <c r="G3" i="1" s="1"/>
  <c r="H3" i="1" s="1"/>
  <c r="C4" i="5" l="1"/>
  <c r="D3" i="5"/>
  <c r="D4" i="5" s="1"/>
  <c r="L7" i="6"/>
  <c r="L5" i="6"/>
  <c r="L6" i="6"/>
  <c r="L8" i="6"/>
  <c r="L11" i="6"/>
  <c r="L14" i="6"/>
  <c r="L13" i="6"/>
  <c r="L10" i="6"/>
  <c r="L15" i="6"/>
  <c r="L9" i="6"/>
  <c r="E3" i="6"/>
  <c r="D4" i="6"/>
  <c r="K16" i="5"/>
  <c r="L8" i="5" s="1"/>
  <c r="D13" i="3"/>
  <c r="D16" i="3" s="1"/>
  <c r="E3" i="5"/>
  <c r="K16" i="4"/>
  <c r="L10" i="4" s="1"/>
  <c r="C4" i="4"/>
  <c r="U12" i="3"/>
  <c r="E3" i="4"/>
  <c r="C4" i="1"/>
  <c r="D4" i="1"/>
  <c r="E4" i="1"/>
  <c r="F4" i="1"/>
  <c r="G4" i="1"/>
  <c r="H4" i="1"/>
  <c r="B4" i="1"/>
  <c r="U13" i="3" l="1"/>
  <c r="F3" i="6"/>
  <c r="E4" i="6"/>
  <c r="L15" i="5"/>
  <c r="L14" i="5"/>
  <c r="L6" i="5"/>
  <c r="L7" i="5"/>
  <c r="L5" i="5"/>
  <c r="L9" i="5"/>
  <c r="L12" i="5"/>
  <c r="L11" i="5"/>
  <c r="L10" i="5"/>
  <c r="L13" i="5"/>
  <c r="E4" i="5"/>
  <c r="F3" i="5"/>
  <c r="L7" i="4"/>
  <c r="L9" i="4"/>
  <c r="L6" i="4"/>
  <c r="L5" i="4"/>
  <c r="L11" i="4"/>
  <c r="F3" i="4"/>
  <c r="E4" i="4"/>
  <c r="L12" i="4"/>
  <c r="L14" i="4"/>
  <c r="L13" i="4"/>
  <c r="L8" i="4"/>
  <c r="K10" i="1"/>
  <c r="K9" i="1"/>
  <c r="K7" i="1"/>
  <c r="F4" i="6" l="1"/>
  <c r="G3" i="6"/>
  <c r="G3" i="5"/>
  <c r="F4" i="5"/>
  <c r="G3" i="4"/>
  <c r="F4" i="4"/>
  <c r="B5" i="3"/>
  <c r="B7" i="3"/>
  <c r="U7" i="3" s="1"/>
  <c r="B8" i="3"/>
  <c r="U8" i="3" s="1"/>
  <c r="K11" i="1"/>
  <c r="K13" i="1"/>
  <c r="B11" i="3" s="1"/>
  <c r="U11" i="3" s="1"/>
  <c r="K12" i="1"/>
  <c r="U5" i="3" l="1"/>
  <c r="G4" i="6"/>
  <c r="H3" i="6"/>
  <c r="H4" i="6" s="1"/>
  <c r="G4" i="5"/>
  <c r="H3" i="5"/>
  <c r="H4" i="5" s="1"/>
  <c r="G4" i="4"/>
  <c r="H3" i="4"/>
  <c r="H4" i="4" s="1"/>
  <c r="B9" i="3"/>
  <c r="U9" i="3" s="1"/>
  <c r="B10" i="3"/>
  <c r="U10" i="3" s="1"/>
  <c r="K6" i="1"/>
  <c r="K8" i="1"/>
  <c r="B6" i="3" s="1"/>
  <c r="K5" i="1"/>
  <c r="B3" i="3" s="1"/>
  <c r="U6" i="3" l="1"/>
  <c r="B4" i="3"/>
  <c r="B16" i="3" s="1"/>
  <c r="U3" i="3"/>
  <c r="K16" i="1"/>
  <c r="U4" i="3" l="1"/>
  <c r="U16" i="3" s="1"/>
  <c r="L11" i="1"/>
  <c r="L14" i="1"/>
  <c r="L7" i="1"/>
  <c r="L12" i="1"/>
  <c r="L13" i="1"/>
  <c r="L5" i="1"/>
  <c r="L8" i="1"/>
  <c r="L9" i="1"/>
  <c r="L6" i="1"/>
  <c r="L10" i="1"/>
  <c r="V14" i="3" l="1"/>
  <c r="V15" i="3"/>
  <c r="V4" i="3"/>
  <c r="V13" i="3"/>
  <c r="V6" i="3"/>
  <c r="V12" i="3"/>
  <c r="V7" i="3"/>
  <c r="V11" i="3"/>
  <c r="V5" i="3"/>
  <c r="V8" i="3"/>
  <c r="V10" i="3"/>
  <c r="V9" i="3"/>
  <c r="V3" i="3"/>
</calcChain>
</file>

<file path=xl/sharedStrings.xml><?xml version="1.0" encoding="utf-8"?>
<sst xmlns="http://schemas.openxmlformats.org/spreadsheetml/2006/main" count="2303" uniqueCount="132">
  <si>
    <t>Atendimento de irrigação  (Imapacto Operacional Interno e Externo) - Semena 21/02/2022</t>
  </si>
  <si>
    <t xml:space="preserve">Data </t>
  </si>
  <si>
    <t>Pivô</t>
  </si>
  <si>
    <t>Parâmetros</t>
  </si>
  <si>
    <t>Pivô 01</t>
  </si>
  <si>
    <t>Pulverização</t>
  </si>
  <si>
    <t>Pivô 02</t>
  </si>
  <si>
    <t>Adubação</t>
  </si>
  <si>
    <t>Pivô 03</t>
  </si>
  <si>
    <t>Trnaspantio</t>
  </si>
  <si>
    <t>Pivô 04</t>
  </si>
  <si>
    <t>Colheita Tabaco</t>
  </si>
  <si>
    <t>Pivô 05</t>
  </si>
  <si>
    <t>Plantio</t>
  </si>
  <si>
    <t>Pivô 06</t>
  </si>
  <si>
    <t>Erosão</t>
  </si>
  <si>
    <t>Pivô 07</t>
  </si>
  <si>
    <t>Mecânico/Trator</t>
  </si>
  <si>
    <t>Pivô 08</t>
  </si>
  <si>
    <t>Operação Ferti</t>
  </si>
  <si>
    <t>Pivô 09</t>
  </si>
  <si>
    <t>Pivô Atolado</t>
  </si>
  <si>
    <t>Pivô 10</t>
  </si>
  <si>
    <t>Entrega do Produto</t>
  </si>
  <si>
    <t>Pivô 11</t>
  </si>
  <si>
    <t>Pivô 12</t>
  </si>
  <si>
    <t>Total</t>
  </si>
  <si>
    <t>Pivô 13</t>
  </si>
  <si>
    <t>Pivô 14</t>
  </si>
  <si>
    <t>Pivô 15</t>
  </si>
  <si>
    <t>Pivô 16</t>
  </si>
  <si>
    <t>Pivô 17</t>
  </si>
  <si>
    <t>Pivô 18</t>
  </si>
  <si>
    <t>Pivô 19</t>
  </si>
  <si>
    <t>Pivô 20</t>
  </si>
  <si>
    <t>Pivô 21</t>
  </si>
  <si>
    <t>Pivô 22</t>
  </si>
  <si>
    <t>Pivô 23</t>
  </si>
  <si>
    <t>Pivô 24</t>
  </si>
  <si>
    <t>Pivô 25</t>
  </si>
  <si>
    <t>Pivô 26</t>
  </si>
  <si>
    <t>Pivô 27</t>
  </si>
  <si>
    <t>Pivô 28</t>
  </si>
  <si>
    <t>Pivô 29</t>
  </si>
  <si>
    <t>Pivô 30</t>
  </si>
  <si>
    <t>Pivô 31</t>
  </si>
  <si>
    <t>Pivô 32</t>
  </si>
  <si>
    <t>Pivô 33</t>
  </si>
  <si>
    <t>Pivô 34</t>
  </si>
  <si>
    <t>Pivô 35</t>
  </si>
  <si>
    <t>Pivô 36</t>
  </si>
  <si>
    <t>Pivô 37</t>
  </si>
  <si>
    <t>Pivô 38</t>
  </si>
  <si>
    <t>Pivô 39</t>
  </si>
  <si>
    <t>Pivô 40</t>
  </si>
  <si>
    <t>Pivô 41</t>
  </si>
  <si>
    <t>Pivô 42</t>
  </si>
  <si>
    <t>Pivô 43</t>
  </si>
  <si>
    <t>Pivô 44</t>
  </si>
  <si>
    <t>Pivô 45</t>
  </si>
  <si>
    <t>Pivô 46</t>
  </si>
  <si>
    <t>Pivô 47</t>
  </si>
  <si>
    <t>Pivô 48</t>
  </si>
  <si>
    <t>Pivô 49</t>
  </si>
  <si>
    <t>Pivô 50</t>
  </si>
  <si>
    <t>Pivô 51</t>
  </si>
  <si>
    <t>Pivô 52</t>
  </si>
  <si>
    <t>Pivô 53</t>
  </si>
  <si>
    <t>Pivô 54</t>
  </si>
  <si>
    <t>Pivô 55</t>
  </si>
  <si>
    <t>Pivô 56</t>
  </si>
  <si>
    <t>Pivô 73</t>
  </si>
  <si>
    <t>Pivô 74</t>
  </si>
  <si>
    <t>Pivô 101</t>
  </si>
  <si>
    <t>Pivô 102</t>
  </si>
  <si>
    <t>Pivô 103</t>
  </si>
  <si>
    <t>Pivô 104</t>
  </si>
  <si>
    <t>Pivô 105</t>
  </si>
  <si>
    <t>Pivô 106</t>
  </si>
  <si>
    <t>Pivô 107</t>
  </si>
  <si>
    <t>Pivô 108</t>
  </si>
  <si>
    <t>Pivô 109</t>
  </si>
  <si>
    <t>Pivô 110</t>
  </si>
  <si>
    <t>Pivô 111</t>
  </si>
  <si>
    <t>Pivô 112</t>
  </si>
  <si>
    <t>Pivô 113</t>
  </si>
  <si>
    <t>Pivô 114</t>
  </si>
  <si>
    <t>Pivô 115</t>
  </si>
  <si>
    <t>Pivô 116</t>
  </si>
  <si>
    <t>Pivô 117</t>
  </si>
  <si>
    <t>Pivô 118</t>
  </si>
  <si>
    <t>Pivô 119</t>
  </si>
  <si>
    <t>Pivô 120</t>
  </si>
  <si>
    <t>Pivô 121</t>
  </si>
  <si>
    <t>Pivô 122</t>
  </si>
  <si>
    <t>Pivô 123</t>
  </si>
  <si>
    <t>Pivô 124</t>
  </si>
  <si>
    <t>Pivô 125</t>
  </si>
  <si>
    <t>Pivô 126</t>
  </si>
  <si>
    <t>Pivô 127</t>
  </si>
  <si>
    <t>Pivô 128</t>
  </si>
  <si>
    <t>Pivô 129</t>
  </si>
  <si>
    <t>Pivô 130</t>
  </si>
  <si>
    <t>Pivô 133</t>
  </si>
  <si>
    <t>Atendimento de irrigação  (Imapacto Operacional Interno e Externo) - Semena 28/02/2022</t>
  </si>
  <si>
    <t>Erosão/Rastro</t>
  </si>
  <si>
    <t>Atendimento de irrigação  (Imapacto Operacional Interno e Externo) - Semena 07/03/2022</t>
  </si>
  <si>
    <t>Transporte</t>
  </si>
  <si>
    <t>Limpeza e aferições</t>
  </si>
  <si>
    <t>Atendimento de irrigação  (Imapacto Operacional Interno e Externo) - Semena 14/03/2022</t>
  </si>
  <si>
    <t>Atendimento de irrigação  (Imapacto Operacional Interno e Externo) - Semena 21/03/2022</t>
  </si>
  <si>
    <t>Transplantio</t>
  </si>
  <si>
    <t>Atendimento de irrigação  (Imapacto Operacional Interno e Externo) - Semena 28/03/2022</t>
  </si>
  <si>
    <t>Atendimento de irrigação  (Imapacto Operacional Interno e Externo) - Semena 04/04/2022</t>
  </si>
  <si>
    <t>Atendimento de irrigação  (Imapacto Operacional Interno e Externo) - Semena 25/04/2022</t>
  </si>
  <si>
    <t>Falta de Água</t>
  </si>
  <si>
    <t>Atendimento de irrigação  (Imapacto Operacional Interno e Externo) - Semena 02/05/2022</t>
  </si>
  <si>
    <t>Atendimento de irrigação  (Imapacto Operacional Interno e Externo) - Semena 09/05/2022</t>
  </si>
  <si>
    <t>Atendimento de irrigação  (Imapacto Operacional Interno e Externo) - Semena 15/05/2022</t>
  </si>
  <si>
    <t>Atendimento de irrigação  (Imapacto Operacional Interno e Externo) - Semena 23/05/2022</t>
  </si>
  <si>
    <t>Desponte</t>
  </si>
  <si>
    <t>Atendimento de irrigação  (Imapacto Operacional Interno e Externo) - Semena 30/05/2022</t>
  </si>
  <si>
    <t>Atendimento de irrigação  (Imapacto Operacional Interno e Externo) - Semena 06/06/2022</t>
  </si>
  <si>
    <t>Atendimento de irrigação  (Imapacto Operacional Interno e Externo) - Semena 20/06/2022</t>
  </si>
  <si>
    <t>Atendimento de irrigação  (Imapacto Operacional Interno e Externo) - Semena 13/06/2022</t>
  </si>
  <si>
    <t>Atendimento de irrigação  (Imapacto Operacional Interno e Externo) - Semena 27/06/2022</t>
  </si>
  <si>
    <t>Atendimento de irrigação  (Imapacto Operacional Interno e Externo) - Semena 04/07/2022</t>
  </si>
  <si>
    <t xml:space="preserve">Primeiro Semestre </t>
  </si>
  <si>
    <t>Percentual</t>
  </si>
  <si>
    <t>Trnasplantio</t>
  </si>
  <si>
    <t>Pantio</t>
  </si>
  <si>
    <t>Limpeza e Aferições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</si>
</sst>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u/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87054"/>
        <bgColor indexed="64"/>
      </patternFill>
    </fill>
    <fill>
      <patternFill patternType="solid">
        <fgColor rgb="FF308F29"/>
        <bgColor indexed="64"/>
      </patternFill>
    </fill>
    <fill>
      <patternFill patternType="solid">
        <fgColor rgb="FF789D1B"/>
        <bgColor indexed="64"/>
      </patternFill>
    </fill>
    <fill>
      <patternFill patternType="solid">
        <fgColor rgb="FF64C15F"/>
        <bgColor indexed="64"/>
      </patternFill>
    </fill>
    <fill>
      <patternFill patternType="solid">
        <fgColor rgb="FFBBE2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6FF799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dotted">
        <color theme="0"/>
      </right>
      <top/>
      <bottom style="dotted">
        <color theme="0"/>
      </bottom>
      <diagonal/>
    </border>
    <border>
      <left/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 style="dotted">
        <color auto="1"/>
      </right>
      <top/>
      <bottom style="dotted">
        <color theme="0"/>
      </bottom>
      <diagonal/>
    </border>
    <border>
      <left style="dotted">
        <color theme="0"/>
      </left>
      <right style="dotted">
        <color auto="1"/>
      </right>
      <top style="dotted">
        <color theme="0"/>
      </top>
      <bottom style="dotted">
        <color theme="0"/>
      </bottom>
      <diagonal/>
    </border>
    <border>
      <left/>
      <right style="dotted">
        <color theme="0"/>
      </right>
      <top style="dotted">
        <color theme="0"/>
      </top>
      <bottom style="dotted">
        <color auto="1"/>
      </bottom>
      <diagonal/>
    </border>
    <border>
      <left style="dotted">
        <color theme="0"/>
      </left>
      <right style="dotted">
        <color auto="1"/>
      </right>
      <top style="dotted">
        <color theme="0"/>
      </top>
      <bottom style="dotted">
        <color auto="1"/>
      </bottom>
      <diagonal/>
    </border>
    <border>
      <left style="dotted">
        <color theme="0"/>
      </left>
      <right style="dotted">
        <color theme="1"/>
      </right>
      <top/>
      <bottom style="dotted">
        <color theme="0"/>
      </bottom>
      <diagonal/>
    </border>
    <border>
      <left style="dotted">
        <color theme="0"/>
      </left>
      <right style="dotted">
        <color theme="1"/>
      </right>
      <top style="dotted">
        <color theme="0"/>
      </top>
      <bottom style="dotted">
        <color theme="0"/>
      </bottom>
      <diagonal/>
    </border>
    <border>
      <left/>
      <right style="dotted">
        <color theme="0"/>
      </right>
      <top style="dotted">
        <color theme="0"/>
      </top>
      <bottom style="dotted">
        <color theme="1"/>
      </bottom>
      <diagonal/>
    </border>
    <border>
      <left style="dotted">
        <color theme="0"/>
      </left>
      <right style="dotted">
        <color theme="1"/>
      </right>
      <top style="dotted">
        <color theme="0"/>
      </top>
      <bottom style="dotted">
        <color theme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9" fontId="0" fillId="0" borderId="0" xfId="1" applyFont="1"/>
    <xf numFmtId="0" fontId="2" fillId="3" borderId="1" xfId="0" applyFont="1" applyFill="1" applyBorder="1"/>
    <xf numFmtId="0" fontId="2" fillId="4" borderId="0" xfId="0" applyFont="1" applyFill="1"/>
    <xf numFmtId="0" fontId="2" fillId="3" borderId="2" xfId="0" applyFont="1" applyFill="1" applyBorder="1"/>
    <xf numFmtId="0" fontId="0" fillId="0" borderId="2" xfId="0" applyBorder="1"/>
    <xf numFmtId="0" fontId="0" fillId="3" borderId="1" xfId="0" applyFill="1" applyBorder="1"/>
    <xf numFmtId="0" fontId="0" fillId="3" borderId="2" xfId="0" applyFill="1" applyBorder="1"/>
    <xf numFmtId="0" fontId="7" fillId="13" borderId="5" xfId="0" applyFont="1" applyFill="1" applyBorder="1"/>
    <xf numFmtId="16" fontId="0" fillId="13" borderId="5" xfId="0" applyNumberFormat="1" applyFill="1" applyBorder="1" applyAlignment="1">
      <alignment horizontal="left"/>
    </xf>
    <xf numFmtId="16" fontId="0" fillId="13" borderId="4" xfId="0" applyNumberFormat="1" applyFill="1" applyBorder="1" applyAlignment="1">
      <alignment horizontal="left"/>
    </xf>
    <xf numFmtId="0" fontId="7" fillId="13" borderId="3" xfId="0" applyFont="1" applyFill="1" applyBorder="1"/>
    <xf numFmtId="0" fontId="0" fillId="13" borderId="3" xfId="0" applyFill="1" applyBorder="1" applyAlignment="1">
      <alignment horizontal="left"/>
    </xf>
    <xf numFmtId="0" fontId="0" fillId="13" borderId="6" xfId="0" applyFill="1" applyBorder="1" applyAlignment="1">
      <alignment horizontal="left"/>
    </xf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2" fillId="2" borderId="0" xfId="0" applyFont="1" applyFill="1" applyAlignment="1">
      <alignment horizontal="center" vertical="center"/>
    </xf>
    <xf numFmtId="0" fontId="1" fillId="5" borderId="7" xfId="0" applyFont="1" applyFill="1" applyBorder="1"/>
    <xf numFmtId="0" fontId="1" fillId="6" borderId="7" xfId="0" applyFont="1" applyFill="1" applyBorder="1"/>
    <xf numFmtId="0" fontId="1" fillId="8" borderId="7" xfId="0" applyFont="1" applyFill="1" applyBorder="1"/>
    <xf numFmtId="0" fontId="2" fillId="9" borderId="7" xfId="0" applyFont="1" applyFill="1" applyBorder="1"/>
    <xf numFmtId="0" fontId="2" fillId="10" borderId="7" xfId="0" applyFont="1" applyFill="1" applyBorder="1"/>
    <xf numFmtId="0" fontId="2" fillId="7" borderId="7" xfId="0" applyFont="1" applyFill="1" applyBorder="1"/>
    <xf numFmtId="0" fontId="2" fillId="11" borderId="7" xfId="0" applyFont="1" applyFill="1" applyBorder="1"/>
    <xf numFmtId="0" fontId="2" fillId="12" borderId="7" xfId="0" applyFont="1" applyFill="1" applyBorder="1"/>
    <xf numFmtId="0" fontId="2" fillId="14" borderId="7" xfId="0" applyFont="1" applyFill="1" applyBorder="1"/>
    <xf numFmtId="0" fontId="1" fillId="5" borderId="0" xfId="0" applyFont="1" applyFill="1"/>
    <xf numFmtId="16" fontId="2" fillId="0" borderId="0" xfId="0" applyNumberFormat="1" applyFont="1"/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2" fillId="18" borderId="0" xfId="0" applyFont="1" applyFill="1"/>
    <xf numFmtId="0" fontId="5" fillId="19" borderId="0" xfId="0" applyFont="1" applyFill="1"/>
    <xf numFmtId="0" fontId="1" fillId="20" borderId="0" xfId="0" applyFont="1" applyFill="1"/>
    <xf numFmtId="0" fontId="13" fillId="21" borderId="7" xfId="0" applyFont="1" applyFill="1" applyBorder="1"/>
    <xf numFmtId="0" fontId="2" fillId="0" borderId="8" xfId="0" applyFont="1" applyBorder="1"/>
    <xf numFmtId="0" fontId="2" fillId="0" borderId="9" xfId="0" applyFont="1" applyBorder="1"/>
    <xf numFmtId="9" fontId="0" fillId="0" borderId="10" xfId="1" applyFont="1" applyBorder="1"/>
    <xf numFmtId="9" fontId="0" fillId="0" borderId="11" xfId="1" applyFont="1" applyBorder="1"/>
    <xf numFmtId="0" fontId="2" fillId="0" borderId="12" xfId="0" applyFont="1" applyBorder="1"/>
    <xf numFmtId="9" fontId="0" fillId="0" borderId="13" xfId="1" applyFont="1" applyBorder="1"/>
    <xf numFmtId="0" fontId="14" fillId="21" borderId="7" xfId="0" applyFont="1" applyFill="1" applyBorder="1"/>
    <xf numFmtId="0" fontId="13" fillId="18" borderId="0" xfId="0" applyFont="1" applyFill="1"/>
    <xf numFmtId="9" fontId="0" fillId="0" borderId="14" xfId="1" applyFont="1" applyBorder="1"/>
    <xf numFmtId="9" fontId="0" fillId="0" borderId="15" xfId="1" applyFont="1" applyBorder="1"/>
    <xf numFmtId="0" fontId="2" fillId="0" borderId="16" xfId="0" applyFont="1" applyBorder="1"/>
    <xf numFmtId="9" fontId="0" fillId="0" borderId="17" xfId="1" applyFont="1" applyBorder="1"/>
    <xf numFmtId="0" fontId="13" fillId="22" borderId="0" xfId="0" applyFont="1" applyFill="1"/>
    <xf numFmtId="0" fontId="2" fillId="8" borderId="0" xfId="0" applyFont="1" applyFill="1"/>
    <xf numFmtId="9" fontId="0" fillId="0" borderId="0" xfId="1" applyFont="1" applyBorder="1"/>
    <xf numFmtId="0" fontId="15" fillId="0" borderId="0" xfId="0" applyFont="1" applyAlignment="1">
      <alignment readingOrder="1"/>
    </xf>
    <xf numFmtId="0" fontId="2" fillId="7" borderId="0" xfId="0" applyFont="1" applyFill="1"/>
    <xf numFmtId="0" fontId="0" fillId="20" borderId="0" xfId="0" applyFill="1"/>
    <xf numFmtId="0" fontId="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1096"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487054"/>
        </patternFill>
      </fill>
    </dxf>
    <dxf>
      <font>
        <b/>
        <i val="0"/>
        <color theme="1"/>
      </font>
      <fill>
        <patternFill>
          <bgColor rgb="FF308F29"/>
        </patternFill>
      </fill>
    </dxf>
    <dxf>
      <font>
        <b/>
        <i val="0"/>
      </font>
      <fill>
        <patternFill>
          <bgColor rgb="FF789D1B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64C15F"/>
        </patternFill>
      </fill>
    </dxf>
    <dxf>
      <font>
        <b/>
        <i val="0"/>
        <color theme="1"/>
      </font>
      <fill>
        <patternFill>
          <bgColor rgb="FFBBE258"/>
        </patternFill>
      </fill>
    </dxf>
    <dxf>
      <font>
        <b/>
        <i val="0"/>
        <color auto="1"/>
      </font>
      <fill>
        <patternFill>
          <bgColor rgb="FF64C15F"/>
        </patternFill>
      </fill>
    </dxf>
    <dxf>
      <font>
        <b/>
        <i val="0"/>
        <color auto="1"/>
      </font>
      <fill>
        <patternFill>
          <bgColor rgb="FF308F29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789D1B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487054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6FF799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87054"/>
      <color rgb="FF6FF799"/>
      <color rgb="FF308F29"/>
      <color rgb="FF64C15F"/>
      <color rgb="FF789D1B"/>
      <color rgb="FFBBE2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511811023622046"/>
          <c:y val="0.23518503119995549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C4E-4BC0-81B5-E4C1178EC09F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4E-4BC0-81B5-E4C1178EC09F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C4E-4BC0-81B5-E4C1178EC09F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4E-4BC0-81B5-E4C1178EC09F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C4E-4BC0-81B5-E4C1178EC09F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4E-4BC0-81B5-E4C1178EC09F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C4E-4BC0-81B5-E4C1178EC09F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C4E-4BC0-81B5-E4C1178EC09F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C4E-4BC0-81B5-E4C1178EC09F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2C1-49C6-A28C-9257FC60DBC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C4E-4BC0-81B5-E4C1178EC09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4E-4BC0-81B5-E4C1178EC09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C4E-4BC0-81B5-E4C1178EC09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4E-4BC0-81B5-E4C1178EC09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C4E-4BC0-81B5-E4C1178EC09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C4E-4BC0-81B5-E4C1178EC09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C4E-4BC0-81B5-E4C1178EC09F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'21 02 2022'!$J$5:$J$14</c:f>
              <c:strCache>
                <c:ptCount val="10"/>
                <c:pt idx="0">
                  <c:v>Pulverização</c:v>
                </c:pt>
                <c:pt idx="1">
                  <c:v>Adubação</c:v>
                </c:pt>
                <c:pt idx="2">
                  <c:v>Trnaspantio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</c:v>
                </c:pt>
                <c:pt idx="6">
                  <c:v>Mecânico/Trator</c:v>
                </c:pt>
                <c:pt idx="7">
                  <c:v>Operação Ferti</c:v>
                </c:pt>
                <c:pt idx="8">
                  <c:v>Pivô Atolado</c:v>
                </c:pt>
                <c:pt idx="9">
                  <c:v>Entrega do Produto</c:v>
                </c:pt>
              </c:strCache>
            </c:strRef>
          </c:cat>
          <c:val>
            <c:numRef>
              <c:f>'21 02 2022'!$L$5:$L$14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0.5714285714285714</c:v>
                </c:pt>
                <c:pt idx="7">
                  <c:v>0</c:v>
                </c:pt>
                <c:pt idx="8">
                  <c:v>0.42857142857142855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E-4BC0-81B5-E4C1178EC09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17-4086-BADB-277A0E992750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17-4086-BADB-277A0E992750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17-4086-BADB-277A0E992750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B17-4086-BADB-277A0E992750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B17-4086-BADB-277A0E992750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B17-4086-BADB-277A0E992750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B17-4086-BADB-277A0E992750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B17-4086-BADB-277A0E992750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B17-4086-BADB-277A0E992750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B17-4086-BADB-277A0E99275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17-4086-BADB-277A0E99275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17-4086-BADB-277A0E99275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17-4086-BADB-277A0E99275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17-4086-BADB-277A0E992750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'28 02 2022'!$J$5:$J$14</c:f>
              <c:strCache>
                <c:ptCount val="10"/>
                <c:pt idx="0">
                  <c:v>Pulverização</c:v>
                </c:pt>
                <c:pt idx="1">
                  <c:v>Adubação</c:v>
                </c:pt>
                <c:pt idx="2">
                  <c:v>Trnaspantio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Operação Ferti</c:v>
                </c:pt>
                <c:pt idx="8">
                  <c:v>Pivô Atolado</c:v>
                </c:pt>
                <c:pt idx="9">
                  <c:v>Entrega do Produto</c:v>
                </c:pt>
              </c:strCache>
            </c:strRef>
          </c:cat>
          <c:val>
            <c:numRef>
              <c:f>'28 02 2022'!$L$5:$L$14</c:f>
              <c:numCache>
                <c:formatCode>0%</c:formatCode>
                <c:ptCount val="10"/>
                <c:pt idx="0">
                  <c:v>0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0.3125</c:v>
                </c:pt>
                <c:pt idx="6">
                  <c:v>6.25E-2</c:v>
                </c:pt>
                <c:pt idx="7">
                  <c:v>6.25E-2</c:v>
                </c:pt>
                <c:pt idx="8">
                  <c:v>0.25</c:v>
                </c:pt>
                <c:pt idx="9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B17-4086-BADB-277A0E992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17-4650-836B-EF8D08E3553C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17-4650-836B-EF8D08E3553C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17-4650-836B-EF8D08E3553C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17-4650-836B-EF8D08E3553C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17-4650-836B-EF8D08E3553C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317-4650-836B-EF8D08E3553C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317-4650-836B-EF8D08E3553C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317-4650-836B-EF8D08E3553C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317-4650-836B-EF8D08E3553C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317-4650-836B-EF8D08E3553C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7317-4650-836B-EF8D08E3553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17-4650-836B-EF8D08E3553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17-4650-836B-EF8D08E3553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17-4650-836B-EF8D08E3553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17-4650-836B-EF8D08E3553C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'07 03 2022'!$J$5:$J$15</c:f>
              <c:strCache>
                <c:ptCount val="11"/>
                <c:pt idx="0">
                  <c:v>Pulverização</c:v>
                </c:pt>
                <c:pt idx="1">
                  <c:v>Adubação</c:v>
                </c:pt>
                <c:pt idx="2">
                  <c:v>Trnaspantio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</c:strCache>
            </c:strRef>
          </c:cat>
          <c:val>
            <c:numRef>
              <c:f>'07 03 2022'!$L$5:$L$15</c:f>
              <c:numCache>
                <c:formatCode>0%</c:formatCode>
                <c:ptCount val="11"/>
                <c:pt idx="0">
                  <c:v>0.26315789473684209</c:v>
                </c:pt>
                <c:pt idx="1">
                  <c:v>0.10526315789473684</c:v>
                </c:pt>
                <c:pt idx="2">
                  <c:v>5.2631578947368418E-2</c:v>
                </c:pt>
                <c:pt idx="3">
                  <c:v>0</c:v>
                </c:pt>
                <c:pt idx="4">
                  <c:v>0</c:v>
                </c:pt>
                <c:pt idx="5">
                  <c:v>0.10526315789473684</c:v>
                </c:pt>
                <c:pt idx="6">
                  <c:v>5.2631578947368418E-2</c:v>
                </c:pt>
                <c:pt idx="7">
                  <c:v>0</c:v>
                </c:pt>
                <c:pt idx="8">
                  <c:v>0.10526315789473684</c:v>
                </c:pt>
                <c:pt idx="9">
                  <c:v>0.26315789473684209</c:v>
                </c:pt>
                <c:pt idx="10">
                  <c:v>5.2631578947368418E-2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317-4650-836B-EF8D08E35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3F-40DE-B845-90DED6D40D8C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3F-40DE-B845-90DED6D40D8C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3F-40DE-B845-90DED6D40D8C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73F-40DE-B845-90DED6D40D8C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73F-40DE-B845-90DED6D40D8C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73F-40DE-B845-90DED6D40D8C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73F-40DE-B845-90DED6D40D8C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73F-40DE-B845-90DED6D40D8C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73F-40DE-B845-90DED6D40D8C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73F-40DE-B845-90DED6D40D8C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73F-40DE-B845-90DED6D40D8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3F-40DE-B845-90DED6D40D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3F-40DE-B845-90DED6D40D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73F-40DE-B845-90DED6D40D8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73F-40DE-B845-90DED6D40D8C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'14 03 2022'!$J$5:$J$15</c:f>
              <c:strCache>
                <c:ptCount val="11"/>
                <c:pt idx="0">
                  <c:v>Pulverização</c:v>
                </c:pt>
                <c:pt idx="1">
                  <c:v>Adubação</c:v>
                </c:pt>
                <c:pt idx="2">
                  <c:v>Trnaspantio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</c:strCache>
            </c:strRef>
          </c:cat>
          <c:val>
            <c:numRef>
              <c:f>'14 03 2022'!$L$5:$L$15</c:f>
              <c:numCache>
                <c:formatCode>0%</c:formatCode>
                <c:ptCount val="11"/>
                <c:pt idx="0">
                  <c:v>0.375</c:v>
                </c:pt>
                <c:pt idx="1">
                  <c:v>0.125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0.125</c:v>
                </c:pt>
                <c:pt idx="6">
                  <c:v>0</c:v>
                </c:pt>
                <c:pt idx="7">
                  <c:v>0</c:v>
                </c:pt>
                <c:pt idx="8">
                  <c:v>0.25</c:v>
                </c:pt>
                <c:pt idx="9">
                  <c:v>0.125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73F-40DE-B845-90DED6D40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19-4144-954A-8AA431CC427D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19-4144-954A-8AA431CC427D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19-4144-954A-8AA431CC427D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19-4144-954A-8AA431CC427D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19-4144-954A-8AA431CC427D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19-4144-954A-8AA431CC427D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719-4144-954A-8AA431CC427D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719-4144-954A-8AA431CC427D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719-4144-954A-8AA431CC427D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719-4144-954A-8AA431CC427D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719-4144-954A-8AA431CC427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19-4144-954A-8AA431CC427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19-4144-954A-8AA431CC427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19-4144-954A-8AA431CC427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719-4144-954A-8AA431CC427D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'21 03 2022'!$J$5:$J$15</c:f>
              <c:strCache>
                <c:ptCount val="11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</c:strCache>
            </c:strRef>
          </c:cat>
          <c:val>
            <c:numRef>
              <c:f>'21 03 2022'!$L$5:$L$15</c:f>
              <c:numCache>
                <c:formatCode>0%</c:formatCode>
                <c:ptCount val="11"/>
                <c:pt idx="0">
                  <c:v>0.27272727272727271</c:v>
                </c:pt>
                <c:pt idx="1">
                  <c:v>0</c:v>
                </c:pt>
                <c:pt idx="2">
                  <c:v>9.0909090909090912E-2</c:v>
                </c:pt>
                <c:pt idx="3">
                  <c:v>0</c:v>
                </c:pt>
                <c:pt idx="4">
                  <c:v>0</c:v>
                </c:pt>
                <c:pt idx="5">
                  <c:v>9.0909090909090912E-2</c:v>
                </c:pt>
                <c:pt idx="6">
                  <c:v>0</c:v>
                </c:pt>
                <c:pt idx="7">
                  <c:v>0.27272727272727271</c:v>
                </c:pt>
                <c:pt idx="8">
                  <c:v>9.0909090909090912E-2</c:v>
                </c:pt>
                <c:pt idx="9">
                  <c:v>0.18181818181818182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719-4144-954A-8AA431CC4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52-4C36-AA37-CB3BBDF35238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52-4C36-AA37-CB3BBDF35238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52-4C36-AA37-CB3BBDF35238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52-4C36-AA37-CB3BBDF35238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52-4C36-AA37-CB3BBDF35238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252-4C36-AA37-CB3BBDF35238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252-4C36-AA37-CB3BBDF35238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252-4C36-AA37-CB3BBDF35238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252-4C36-AA37-CB3BBDF35238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252-4C36-AA37-CB3BBDF35238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252-4C36-AA37-CB3BBDF3523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52-4C36-AA37-CB3BBDF3523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52-4C36-AA37-CB3BBDF3523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52-4C36-AA37-CB3BBDF3523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252-4C36-AA37-CB3BBDF35238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'28 03 2022'!$J$5:$J$15</c:f>
              <c:strCache>
                <c:ptCount val="11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</c:strCache>
            </c:strRef>
          </c:cat>
          <c:val>
            <c:numRef>
              <c:f>'28 03 2022'!$L$5:$L$15</c:f>
              <c:numCache>
                <c:formatCode>0%</c:formatCode>
                <c:ptCount val="11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252-4C36-AA37-CB3BBDF35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FB-4A9E-8158-04AED6FF94DC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FB-4A9E-8158-04AED6FF94DC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FB-4A9E-8158-04AED6FF94DC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AFB-4A9E-8158-04AED6FF94DC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AFB-4A9E-8158-04AED6FF94DC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AFB-4A9E-8158-04AED6FF94DC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AFB-4A9E-8158-04AED6FF94DC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AFB-4A9E-8158-04AED6FF94DC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AFB-4A9E-8158-04AED6FF94DC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AFB-4A9E-8158-04AED6FF94DC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AFB-4A9E-8158-04AED6FF94D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FB-4A9E-8158-04AED6FF94D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AFB-4A9E-8158-04AED6FF94D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AFB-4A9E-8158-04AED6FF94D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AFB-4A9E-8158-04AED6FF94DC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'04 04 2022'!$J$5:$J$15</c:f>
              <c:strCache>
                <c:ptCount val="11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</c:strCache>
            </c:strRef>
          </c:cat>
          <c:val>
            <c:numRef>
              <c:f>'04 04 2022'!$L$5:$L$15</c:f>
              <c:numCache>
                <c:formatCode>0%</c:formatCode>
                <c:ptCount val="11"/>
                <c:pt idx="0">
                  <c:v>0.16666666666666666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0.16666666666666666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0.16666666666666666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AFB-4A9E-8158-04AED6FF9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CB-4886-8C35-6F2F75F5B9EF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CB-4886-8C35-6F2F75F5B9EF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CB-4886-8C35-6F2F75F5B9EF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CB-4886-8C35-6F2F75F5B9EF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FCB-4886-8C35-6F2F75F5B9EF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FCB-4886-8C35-6F2F75F5B9EF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FCB-4886-8C35-6F2F75F5B9EF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FCB-4886-8C35-6F2F75F5B9EF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FCB-4886-8C35-6F2F75F5B9EF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FCB-4886-8C35-6F2F75F5B9EF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FCB-4886-8C35-6F2F75F5B9E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CB-4886-8C35-6F2F75F5B9E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CB-4886-8C35-6F2F75F5B9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FCB-4886-8C35-6F2F75F5B9E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FCB-4886-8C35-6F2F75F5B9EF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'11 04 2022'!$J$5:$J$15</c:f>
              <c:strCache>
                <c:ptCount val="11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</c:strCache>
            </c:strRef>
          </c:cat>
          <c:val>
            <c:numRef>
              <c:f>'11 04 2022'!$L$5:$L$15</c:f>
              <c:numCache>
                <c:formatCode>0%</c:formatCode>
                <c:ptCount val="11"/>
                <c:pt idx="0">
                  <c:v>0.66666666666666663</c:v>
                </c:pt>
                <c:pt idx="1">
                  <c:v>0.33333333333333331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FCB-4886-8C35-6F2F75F5B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77-4EA3-BB08-55240D5013CF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77-4EA3-BB08-55240D5013CF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77-4EA3-BB08-55240D5013CF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77-4EA3-BB08-55240D5013CF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377-4EA3-BB08-55240D5013CF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377-4EA3-BB08-55240D5013CF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377-4EA3-BB08-55240D5013CF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377-4EA3-BB08-55240D5013CF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377-4EA3-BB08-55240D5013CF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377-4EA3-BB08-55240D5013CF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377-4EA3-BB08-55240D5013C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77-4EA3-BB08-55240D5013C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77-4EA3-BB08-55240D5013C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377-4EA3-BB08-55240D5013C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377-4EA3-BB08-55240D5013CF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'18 04 2022'!$J$5:$J$15</c:f>
              <c:strCache>
                <c:ptCount val="11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</c:strCache>
            </c:strRef>
          </c:cat>
          <c:val>
            <c:numRef>
              <c:f>'18 04 2022'!$L$5:$L$15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377-4EA3-BB08-55240D501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7D-415E-86D1-2AD77AC87C94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7D-415E-86D1-2AD77AC87C94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7D-415E-86D1-2AD77AC87C94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7D-415E-86D1-2AD77AC87C94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7D-415E-86D1-2AD77AC87C94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7D-415E-86D1-2AD77AC87C94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B7D-415E-86D1-2AD77AC87C94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B7D-415E-86D1-2AD77AC87C94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B7D-415E-86D1-2AD77AC87C94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B7D-415E-86D1-2AD77AC87C94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B7D-415E-86D1-2AD77AC87C9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71A-4ECD-B61E-FDE96020A84E}"/>
              </c:ext>
            </c:extLst>
          </c:dPt>
          <c:dLbls>
            <c:dLbl>
              <c:idx val="0"/>
              <c:layout>
                <c:manualLayout>
                  <c:x val="5.8928258967629044E-3"/>
                  <c:y val="6.436409041102872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7D-415E-86D1-2AD77AC87C94}"/>
                </c:ext>
              </c:extLst>
            </c:dLbl>
            <c:dLbl>
              <c:idx val="1"/>
              <c:layout>
                <c:manualLayout>
                  <c:x val="2.2873359580052495E-2"/>
                  <c:y val="5.303722956960477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7D-415E-86D1-2AD77AC87C9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7D-415E-86D1-2AD77AC87C9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B7D-415E-86D1-2AD77AC87C9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B7D-415E-86D1-2AD77AC87C9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B7D-415E-86D1-2AD77AC87C94}"/>
                </c:ext>
              </c:extLst>
            </c:dLbl>
            <c:dLbl>
              <c:idx val="6"/>
              <c:layout>
                <c:manualLayout>
                  <c:x val="3.8078521434820648E-3"/>
                  <c:y val="-8.9249038045001658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B7D-415E-86D1-2AD77AC87C9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B7D-415E-86D1-2AD77AC87C9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B7D-415E-86D1-2AD77AC87C9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B7D-415E-86D1-2AD77AC87C9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B7D-415E-86D1-2AD77AC87C94}"/>
                </c:ext>
              </c:extLst>
            </c:dLbl>
            <c:dLbl>
              <c:idx val="11"/>
              <c:layout>
                <c:manualLayout>
                  <c:x val="1.218011811023622E-2"/>
                  <c:y val="-8.074051423183749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71A-4ECD-B61E-FDE96020A8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 04 2022'!$J$5:$J$16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'25 04 2022'!$L$5:$L$16</c:f>
              <c:numCache>
                <c:formatCode>0%</c:formatCode>
                <c:ptCount val="12"/>
                <c:pt idx="0">
                  <c:v>0.6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B7D-415E-86D1-2AD77AC87C9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EE-4FAE-BAD2-6A537432B184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EE-4FAE-BAD2-6A537432B184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EE-4FAE-BAD2-6A537432B184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EE-4FAE-BAD2-6A537432B184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EE-4FAE-BAD2-6A537432B184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4EE-4FAE-BAD2-6A537432B184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4EE-4FAE-BAD2-6A537432B184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4EE-4FAE-BAD2-6A537432B184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4EE-4FAE-BAD2-6A537432B184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4EE-4FAE-BAD2-6A537432B184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4EE-4FAE-BAD2-6A537432B18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4EE-4FAE-BAD2-6A537432B184}"/>
              </c:ext>
            </c:extLst>
          </c:dPt>
          <c:dLbls>
            <c:dLbl>
              <c:idx val="0"/>
              <c:layout>
                <c:manualLayout>
                  <c:x val="-5.8585083114610671E-2"/>
                  <c:y val="-6.798843105776826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EE-4FAE-BAD2-6A537432B18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EE-4FAE-BAD2-6A537432B184}"/>
                </c:ext>
              </c:extLst>
            </c:dLbl>
            <c:dLbl>
              <c:idx val="2"/>
              <c:layout>
                <c:manualLayout>
                  <c:x val="-0.18909700349956254"/>
                  <c:y val="6.532222307163060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EE-4FAE-BAD2-6A537432B18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4EE-4FAE-BAD2-6A537432B18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4EE-4FAE-BAD2-6A537432B18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4EE-4FAE-BAD2-6A537432B184}"/>
                </c:ext>
              </c:extLst>
            </c:dLbl>
            <c:dLbl>
              <c:idx val="6"/>
              <c:layout>
                <c:manualLayout>
                  <c:x val="2.1359798775153104E-2"/>
                  <c:y val="-3.4477486430701016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4EE-4FAE-BAD2-6A537432B184}"/>
                </c:ext>
              </c:extLst>
            </c:dLbl>
            <c:dLbl>
              <c:idx val="7"/>
              <c:layout>
                <c:manualLayout>
                  <c:x val="-1.0476049868766404E-2"/>
                  <c:y val="-8.666462808653772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4EE-4FAE-BAD2-6A537432B18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4EE-4FAE-BAD2-6A537432B18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4EE-4FAE-BAD2-6A537432B18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4EE-4FAE-BAD2-6A537432B184}"/>
                </c:ext>
              </c:extLst>
            </c:dLbl>
            <c:dLbl>
              <c:idx val="11"/>
              <c:layout>
                <c:manualLayout>
                  <c:x val="4.3943022747156606E-2"/>
                  <c:y val="1.534541192059730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4EE-4FAE-BAD2-6A537432B1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 05 2022'!$J$5:$J$16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'02 05 2022'!$L$5:$L$16</c:f>
              <c:numCache>
                <c:formatCode>0%</c:formatCode>
                <c:ptCount val="12"/>
                <c:pt idx="0">
                  <c:v>0.17647058823529413</c:v>
                </c:pt>
                <c:pt idx="1">
                  <c:v>0</c:v>
                </c:pt>
                <c:pt idx="2">
                  <c:v>5.8823529411764705E-2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0.17647058823529413</c:v>
                </c:pt>
                <c:pt idx="7">
                  <c:v>5.8823529411764705E-2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0.52941176470588236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4EE-4FAE-BAD2-6A537432B18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31-4105-934E-AB12DA44A415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31-4105-934E-AB12DA44A415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31-4105-934E-AB12DA44A415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831-4105-934E-AB12DA44A415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831-4105-934E-AB12DA44A415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831-4105-934E-AB12DA44A415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831-4105-934E-AB12DA44A415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831-4105-934E-AB12DA44A415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831-4105-934E-AB12DA44A415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831-4105-934E-AB12DA44A415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831-4105-934E-AB12DA44A41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831-4105-934E-AB12DA44A415}"/>
              </c:ext>
            </c:extLst>
          </c:dPt>
          <c:dLbls>
            <c:dLbl>
              <c:idx val="0"/>
              <c:layout>
                <c:manualLayout>
                  <c:x val="-2.768646106736658E-2"/>
                  <c:y val="-2.927936192441964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31-4105-934E-AB12DA44A41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31-4105-934E-AB12DA44A41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31-4105-934E-AB12DA44A41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31-4105-934E-AB12DA44A41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831-4105-934E-AB12DA44A41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831-4105-934E-AB12DA44A41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831-4105-934E-AB12DA44A41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831-4105-934E-AB12DA44A415}"/>
                </c:ext>
              </c:extLst>
            </c:dLbl>
            <c:dLbl>
              <c:idx val="8"/>
              <c:layout>
                <c:manualLayout>
                  <c:x val="-2.4248906386701661E-2"/>
                  <c:y val="4.515582396860586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831-4105-934E-AB12DA44A41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831-4105-934E-AB12DA44A41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31-4105-934E-AB12DA44A415}"/>
                </c:ext>
              </c:extLst>
            </c:dLbl>
            <c:dLbl>
              <c:idx val="11"/>
              <c:layout>
                <c:manualLayout>
                  <c:x val="-3.5080052493438318E-2"/>
                  <c:y val="-0.1733419972988813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831-4105-934E-AB12DA44A4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 05 2022'!$J$5:$J$16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'09 05 2022'!$L$5:$L$16</c:f>
              <c:numCache>
                <c:formatCode>0%</c:formatCode>
                <c:ptCount val="12"/>
                <c:pt idx="0">
                  <c:v>0.27272727272727271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9.0909090909090912E-2</c:v>
                </c:pt>
                <c:pt idx="9">
                  <c:v>0</c:v>
                </c:pt>
                <c:pt idx="10">
                  <c:v>0</c:v>
                </c:pt>
                <c:pt idx="11">
                  <c:v>0.63636363636363635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31-4105-934E-AB12DA44A41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3A-40FB-9A34-F2E34934C0AD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3A-40FB-9A34-F2E34934C0AD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3A-40FB-9A34-F2E34934C0AD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B3A-40FB-9A34-F2E34934C0AD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B3A-40FB-9A34-F2E34934C0AD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B3A-40FB-9A34-F2E34934C0AD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B3A-40FB-9A34-F2E34934C0AD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B3A-40FB-9A34-F2E34934C0AD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B3A-40FB-9A34-F2E34934C0AD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B3A-40FB-9A34-F2E34934C0AD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B3A-40FB-9A34-F2E34934C0A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B3A-40FB-9A34-F2E34934C0AD}"/>
              </c:ext>
            </c:extLst>
          </c:dPt>
          <c:dLbls>
            <c:dLbl>
              <c:idx val="0"/>
              <c:layout>
                <c:manualLayout>
                  <c:x val="8.0815835520559928E-3"/>
                  <c:y val="5.498891522054889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3A-40FB-9A34-F2E34934C0A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3A-40FB-9A34-F2E34934C0A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3A-40FB-9A34-F2E34934C0A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3A-40FB-9A34-F2E34934C0A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3A-40FB-9A34-F2E34934C0A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B3A-40FB-9A34-F2E34934C0AD}"/>
                </c:ext>
              </c:extLst>
            </c:dLbl>
            <c:dLbl>
              <c:idx val="6"/>
              <c:layout>
                <c:manualLayout>
                  <c:x val="-4.9331036745406821E-2"/>
                  <c:y val="-6.627449481436180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B3A-40FB-9A34-F2E34934C0A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B3A-40FB-9A34-F2E34934C0A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B3A-40FB-9A34-F2E34934C0A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B3A-40FB-9A34-F2E34934C0A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B3A-40FB-9A34-F2E34934C0A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B3A-40FB-9A34-F2E34934C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 05 2022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'16 05 2022 '!$L$5:$L$16</c:f>
              <c:numCache>
                <c:formatCode>0%</c:formatCode>
                <c:ptCount val="12"/>
                <c:pt idx="0">
                  <c:v>9.0909090909090912E-2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0.90909090909090906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B3A-40FB-9A34-F2E34934C0A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rgbClr val="002060"/>
                </a:solidFill>
              </a:rPr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82-433E-BE67-1560ED7617CA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82-433E-BE67-1560ED7617CA}"/>
              </c:ext>
            </c:extLst>
          </c:dPt>
          <c:dPt>
            <c:idx val="2"/>
            <c:bubble3D val="0"/>
            <c:spPr>
              <a:solidFill>
                <a:srgbClr val="48705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82-433E-BE67-1560ED7617CA}"/>
              </c:ext>
            </c:extLst>
          </c:dPt>
          <c:dPt>
            <c:idx val="3"/>
            <c:bubble3D val="0"/>
            <c:spPr>
              <a:solidFill>
                <a:srgbClr val="308F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782-433E-BE67-1560ED7617CA}"/>
              </c:ext>
            </c:extLst>
          </c:dPt>
          <c:dPt>
            <c:idx val="4"/>
            <c:bubble3D val="0"/>
            <c:spPr>
              <a:solidFill>
                <a:srgbClr val="789D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782-433E-BE67-1560ED7617CA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782-433E-BE67-1560ED7617CA}"/>
              </c:ext>
            </c:extLst>
          </c:dPt>
          <c:dPt>
            <c:idx val="6"/>
            <c:bubble3D val="0"/>
            <c:spPr>
              <a:solidFill>
                <a:srgbClr val="64C1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782-433E-BE67-1560ED7617CA}"/>
              </c:ext>
            </c:extLst>
          </c:dPt>
          <c:dPt>
            <c:idx val="7"/>
            <c:bubble3D val="0"/>
            <c:spPr>
              <a:solidFill>
                <a:srgbClr val="BBE25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782-433E-BE67-1560ED7617CA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782-433E-BE67-1560ED7617CA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782-433E-BE67-1560ED7617CA}"/>
              </c:ext>
            </c:extLst>
          </c:dPt>
          <c:dPt>
            <c:idx val="1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782-433E-BE67-1560ED7617C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782-433E-BE67-1560ED7617CA}"/>
              </c:ext>
            </c:extLst>
          </c:dPt>
          <c:dLbls>
            <c:dLbl>
              <c:idx val="0"/>
              <c:layout>
                <c:manualLayout>
                  <c:x val="8.0815835520559928E-3"/>
                  <c:y val="5.498891522054889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82-433E-BE67-1560ED7617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82-433E-BE67-1560ED7617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782-433E-BE67-1560ED7617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782-433E-BE67-1560ED7617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782-433E-BE67-1560ED7617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782-433E-BE67-1560ED7617CA}"/>
                </c:ext>
              </c:extLst>
            </c:dLbl>
            <c:dLbl>
              <c:idx val="6"/>
              <c:layout>
                <c:manualLayout>
                  <c:x val="-4.9331036745406821E-2"/>
                  <c:y val="-6.627449481436180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782-433E-BE67-1560ED7617C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782-433E-BE67-1560ED7617C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782-433E-BE67-1560ED7617C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782-433E-BE67-1560ED7617C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82-433E-BE67-1560ED7617C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782-433E-BE67-1560ED7617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 05 2022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'23 05 2022 '!$L$5:$L$16</c:f>
              <c:numCache>
                <c:formatCode>0%</c:formatCode>
                <c:ptCount val="12"/>
                <c:pt idx="0">
                  <c:v>0.4</c:v>
                </c:pt>
                <c:pt idx="1">
                  <c:v>0.1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82-433E-BE67-1560ED7617C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4D01-4684-81B9-C97B4EF70E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4D01-4684-81B9-C97B4EF70E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4D01-4684-81B9-C97B4EF70E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4D01-4684-81B9-C97B4EF70E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4D01-4684-81B9-C97B4EF70E6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4D01-4684-81B9-C97B4EF70E6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4D01-4684-81B9-C97B4EF70E6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4D01-4684-81B9-C97B4EF70E6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4D01-4684-81B9-C97B4EF70E6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4D01-4684-81B9-C97B4EF70E6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4D01-4684-81B9-C97B4EF70E6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4D01-4684-81B9-C97B4EF70E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Pulverização</a:t>
                    </a:r>
                    <a:r>
                      <a:rPr lang="en-US" baseline="0"/>
                      <a:t> </a:t>
                    </a:r>
                    <a:fld id="{C8B10EDA-5ACD-48C8-9B8E-4CEB7E65036B}" type="VALUE">
                      <a:rPr lang="en-US"/>
                      <a:pPr/>
                      <a:t>[]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3-4D01-4684-81B9-C97B4EF70E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4D01-4684-81B9-C97B4EF70E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4D01-4684-81B9-C97B4EF70E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4D01-4684-81B9-C97B4EF70E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4D01-4684-81B9-C97B4EF70E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4D01-4684-81B9-C97B4EF70E6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4D01-4684-81B9-C97B4EF70E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4D01-4684-81B9-C97B4EF70E6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324999999999998"/>
                      <c:h val="7.50972147898988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B-4D01-4684-81B9-C97B4EF70E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4D01-4684-81B9-C97B4EF70E6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4D01-4684-81B9-C97B4EF70E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4D01-4684-81B9-C97B4EF70E6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 05 2022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'30 05 2022 '!$L$5:$L$16</c:f>
              <c:numCache>
                <c:formatCode>0%</c:formatCode>
                <c:ptCount val="12"/>
                <c:pt idx="0">
                  <c:v>0.33333333333333331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0.33333333333333331</c:v>
                </c:pt>
                <c:pt idx="9">
                  <c:v>0.33333333333333331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4D01-4684-81B9-C97B4EF70E64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 05 2022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'30 05 2022 '!$L$5:$L$16</c:f>
              <c:numCache>
                <c:formatCode>0%</c:formatCode>
                <c:ptCount val="12"/>
                <c:pt idx="0">
                  <c:v>0.33333333333333331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0.33333333333333331</c:v>
                </c:pt>
                <c:pt idx="9">
                  <c:v>0.33333333333333331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4D01-4684-81B9-C97B4EF70E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01-40DD-AEC5-5DB4E7245C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01-40DD-AEC5-5DB4E7245C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01-40DD-AEC5-5DB4E7245C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101-40DD-AEC5-5DB4E7245C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101-40DD-AEC5-5DB4E7245C9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101-40DD-AEC5-5DB4E7245C9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101-40DD-AEC5-5DB4E7245C9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101-40DD-AEC5-5DB4E7245C9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101-40DD-AEC5-5DB4E7245C9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101-40DD-AEC5-5DB4E7245C9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101-40DD-AEC5-5DB4E7245C9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101-40DD-AEC5-5DB4E7245C9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Pulverização</a:t>
                    </a:r>
                    <a:r>
                      <a:rPr lang="en-US" baseline="0"/>
                      <a:t> </a:t>
                    </a:r>
                    <a:fld id="{C8B10EDA-5ACD-48C8-9B8E-4CEB7E65036B}" type="VALUE">
                      <a:rPr lang="en-US"/>
                      <a:pPr/>
                      <a:t>[]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101-40DD-AEC5-5DB4E7245C9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01-40DD-AEC5-5DB4E7245C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101-40DD-AEC5-5DB4E7245C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101-40DD-AEC5-5DB4E7245C9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101-40DD-AEC5-5DB4E7245C9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101-40DD-AEC5-5DB4E7245C9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101-40DD-AEC5-5DB4E7245C9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101-40DD-AEC5-5DB4E7245C9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324999999999998"/>
                      <c:h val="7.50972147898988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B101-40DD-AEC5-5DB4E7245C9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101-40DD-AEC5-5DB4E7245C9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101-40DD-AEC5-5DB4E7245C9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101-40DD-AEC5-5DB4E7245C9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'06 06 2022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'06 06 2022  '!$L$5:$L$16</c:f>
              <c:numCache>
                <c:formatCode>0%</c:formatCode>
                <c:ptCount val="12"/>
                <c:pt idx="0">
                  <c:v>0.4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101-40DD-AEC5-5DB4E7245C9C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 06 2022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'06 06 2022  '!$L$5:$L$16</c:f>
              <c:numCache>
                <c:formatCode>0%</c:formatCode>
                <c:ptCount val="12"/>
                <c:pt idx="0">
                  <c:v>0.4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101-40DD-AEC5-5DB4E7245C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F06-407B-8C97-EE332AFC5D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F06-407B-8C97-EE332AFC5D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F06-407B-8C97-EE332AFC5D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F06-407B-8C97-EE332AFC5D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F06-407B-8C97-EE332AFC5D9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F06-407B-8C97-EE332AFC5D9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F06-407B-8C97-EE332AFC5D9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F06-407B-8C97-EE332AFC5D9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F06-407B-8C97-EE332AFC5D9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F06-407B-8C97-EE332AFC5D9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FF06-407B-8C97-EE332AFC5D9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F06-407B-8C97-EE332AFC5D9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Pulverização</a:t>
                    </a:r>
                    <a:r>
                      <a:rPr lang="en-US" baseline="0"/>
                      <a:t> </a:t>
                    </a:r>
                    <a:fld id="{C8B10EDA-5ACD-48C8-9B8E-4CEB7E65036B}" type="VALUE">
                      <a:rPr lang="en-US"/>
                      <a:pPr/>
                      <a:t>[]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F06-407B-8C97-EE332AFC5D9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06-407B-8C97-EE332AFC5D9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06-407B-8C97-EE332AFC5D9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F06-407B-8C97-EE332AFC5D9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F06-407B-8C97-EE332AFC5D9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F06-407B-8C97-EE332AFC5D9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F06-407B-8C97-EE332AFC5D9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F06-407B-8C97-EE332AFC5D93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324999999999998"/>
                      <c:h val="7.50972147898988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FF06-407B-8C97-EE332AFC5D9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F06-407B-8C97-EE332AFC5D9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F06-407B-8C97-EE332AFC5D9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F06-407B-8C97-EE332AFC5D9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 06 2022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'20 06 2022  '!$L$5:$L$16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0.66666666666666663</c:v>
                </c:pt>
                <c:pt idx="3">
                  <c:v>0.33333333333333331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F06-407B-8C97-EE332AFC5D93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 06 2022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'20 06 2022  '!$L$5:$L$16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0.66666666666666663</c:v>
                </c:pt>
                <c:pt idx="3">
                  <c:v>0.33333333333333331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F06-407B-8C97-EE332AFC5D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289-44EB-9550-A01BCDF741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289-44EB-9550-A01BCDF741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289-44EB-9550-A01BCDF741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289-44EB-9550-A01BCDF741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289-44EB-9550-A01BCDF741C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289-44EB-9550-A01BCDF741C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289-44EB-9550-A01BCDF741C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289-44EB-9550-A01BCDF741C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289-44EB-9550-A01BCDF741C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289-44EB-9550-A01BCDF741C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289-44EB-9550-A01BCDF741C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289-44EB-9550-A01BCDF741C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Pulverização</a:t>
                    </a:r>
                    <a:r>
                      <a:rPr lang="en-US" baseline="0"/>
                      <a:t> </a:t>
                    </a:r>
                    <a:fld id="{C8B10EDA-5ACD-48C8-9B8E-4CEB7E65036B}" type="VALUE">
                      <a:rPr lang="en-US"/>
                      <a:pPr/>
                      <a:t>[]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289-44EB-9550-A01BCDF741C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89-44EB-9550-A01BCDF741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89-44EB-9550-A01BCDF741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89-44EB-9550-A01BCDF741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289-44EB-9550-A01BCDF741C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289-44EB-9550-A01BCDF741C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289-44EB-9550-A01BCDF741C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289-44EB-9550-A01BCDF741CA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324999999999998"/>
                      <c:h val="7.50972147898988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9289-44EB-9550-A01BCDF741C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289-44EB-9550-A01BCDF741C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289-44EB-9550-A01BCDF741C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289-44EB-9550-A01BCDF741C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'13 06 2022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'13 06 2022  '!$L$5:$L$16</c:f>
              <c:numCache>
                <c:formatCode>0%</c:formatCode>
                <c:ptCount val="12"/>
                <c:pt idx="0">
                  <c:v>0.5</c:v>
                </c:pt>
                <c:pt idx="1">
                  <c:v>0</c:v>
                </c:pt>
                <c:pt idx="2">
                  <c:v>0.375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289-44EB-9550-A01BCDF741CA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 06 2022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'13 06 2022  '!$L$5:$L$16</c:f>
              <c:numCache>
                <c:formatCode>0%</c:formatCode>
                <c:ptCount val="12"/>
                <c:pt idx="0">
                  <c:v>0.5</c:v>
                </c:pt>
                <c:pt idx="1">
                  <c:v>0</c:v>
                </c:pt>
                <c:pt idx="2">
                  <c:v>0.375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289-44EB-9550-A01BCDF741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6B-44EA-99A3-0D85ACC573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6B-44EA-99A3-0D85ACC573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6B-44EA-99A3-0D85ACC573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36B-44EA-99A3-0D85ACC573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36B-44EA-99A3-0D85ACC573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36B-44EA-99A3-0D85ACC5733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36B-44EA-99A3-0D85ACC5733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36B-44EA-99A3-0D85ACC5733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36B-44EA-99A3-0D85ACC5733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36B-44EA-99A3-0D85ACC5733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36B-44EA-99A3-0D85ACC5733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36B-44EA-99A3-0D85ACC5733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Pulverização</a:t>
                    </a:r>
                    <a:r>
                      <a:rPr lang="en-US" baseline="0"/>
                      <a:t> </a:t>
                    </a:r>
                    <a:fld id="{C8B10EDA-5ACD-48C8-9B8E-4CEB7E65036B}" type="VALUE">
                      <a:rPr lang="en-US"/>
                      <a:pPr/>
                      <a:t>[]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36B-44EA-99A3-0D85ACC573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6B-44EA-99A3-0D85ACC5733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6B-44EA-99A3-0D85ACC5733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6B-44EA-99A3-0D85ACC5733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36B-44EA-99A3-0D85ACC5733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36B-44EA-99A3-0D85ACC5733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36B-44EA-99A3-0D85ACC5733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36B-44EA-99A3-0D85ACC57333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324999999999998"/>
                      <c:h val="7.50972147898988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936B-44EA-99A3-0D85ACC5733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36B-44EA-99A3-0D85ACC5733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36B-44EA-99A3-0D85ACC5733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36B-44EA-99A3-0D85ACC5733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 06 2022 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'27 06 2022   '!$L$5:$L$16</c:f>
              <c:numCache>
                <c:formatCode>0%</c:formatCode>
                <c:ptCount val="12"/>
                <c:pt idx="0">
                  <c:v>0.5</c:v>
                </c:pt>
                <c:pt idx="1">
                  <c:v>0</c:v>
                </c:pt>
                <c:pt idx="2">
                  <c:v>0.125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36B-44EA-99A3-0D85ACC57333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 06 2022 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'27 06 2022   '!$L$5:$L$16</c:f>
              <c:numCache>
                <c:formatCode>0%</c:formatCode>
                <c:ptCount val="12"/>
                <c:pt idx="0">
                  <c:v>0.5</c:v>
                </c:pt>
                <c:pt idx="1">
                  <c:v>0</c:v>
                </c:pt>
                <c:pt idx="2">
                  <c:v>0.125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36B-44EA-99A3-0D85ACC573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Impacto Operacional</a:t>
            </a:r>
          </a:p>
        </c:rich>
      </c:tx>
      <c:layout>
        <c:manualLayout>
          <c:xMode val="edge"/>
          <c:yMode val="edge"/>
          <c:x val="0.54011789151356082"/>
          <c:y val="3.910011584982846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289588801399828"/>
          <c:y val="0.16956017633718118"/>
          <c:w val="0.51531955380577432"/>
          <c:h val="0.7047107117155220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7C8-440E-BE79-D3C24E55E4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7C8-440E-BE79-D3C24E55E4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7C8-440E-BE79-D3C24E55E4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7C8-440E-BE79-D3C24E55E4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7C8-440E-BE79-D3C24E55E40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7C8-440E-BE79-D3C24E55E40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7C8-440E-BE79-D3C24E55E40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7C8-440E-BE79-D3C24E55E40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7C8-440E-BE79-D3C24E55E40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7C8-440E-BE79-D3C24E55E40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7C8-440E-BE79-D3C24E55E40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7C8-440E-BE79-D3C24E55E40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C8-440E-BE79-D3C24E55E40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C8-440E-BE79-D3C24E55E40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7C8-440E-BE79-D3C24E55E40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7C8-440E-BE79-D3C24E55E40A}"/>
                </c:ext>
              </c:extLst>
            </c:dLbl>
            <c:dLbl>
              <c:idx val="6"/>
              <c:layout>
                <c:manualLayout>
                  <c:x val="0.17916896325459319"/>
                  <c:y val="-0.1819896542058456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565288713910761"/>
                      <c:h val="0.117831715210355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E7C8-440E-BE79-D3C24E55E40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7C8-440E-BE79-D3C24E55E40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7C8-440E-BE79-D3C24E55E40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7C8-440E-BE79-D3C24E55E40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7C8-440E-BE79-D3C24E55E40A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'04 07 2022  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'04 07 2022    '!$L$5:$L$16</c:f>
              <c:numCache>
                <c:formatCode>0%</c:formatCode>
                <c:ptCount val="12"/>
                <c:pt idx="0">
                  <c:v>0.2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</c:v>
                </c:pt>
                <c:pt idx="5">
                  <c:v>0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7C8-440E-BE79-D3C24E55E40A}"/>
            </c:ext>
          </c:extLst>
        </c:ser>
        <c:ser>
          <c:idx val="0"/>
          <c:order val="1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 07 2022    '!$J$5:$J$16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Transplantio</c:v>
                </c:pt>
                <c:pt idx="3">
                  <c:v>Colheita Tabaco</c:v>
                </c:pt>
                <c:pt idx="4">
                  <c:v>Plantio</c:v>
                </c:pt>
                <c:pt idx="5">
                  <c:v>Erosão/Rastro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'04 07 2022    '!$L$5:$L$16</c:f>
              <c:numCache>
                <c:formatCode>0%</c:formatCode>
                <c:ptCount val="12"/>
                <c:pt idx="0">
                  <c:v>0.2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</c:v>
                </c:pt>
                <c:pt idx="5">
                  <c:v>0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7C8-440E-BE79-D3C24E55E40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sz="1050" b="1" u="sng">
                <a:solidFill>
                  <a:srgbClr val="002060"/>
                </a:solidFill>
              </a:rPr>
              <a:t>Atendimento de Irrigação (Imapacto - Operacional Interno e Externo) - 1º Semestre</a:t>
            </a:r>
            <a:r>
              <a:rPr lang="pt-BR" sz="1050" b="1" u="sng" baseline="0">
                <a:solidFill>
                  <a:srgbClr val="002060"/>
                </a:solidFill>
              </a:rPr>
              <a:t> de 2022</a:t>
            </a:r>
            <a:endParaRPr lang="pt-BR" sz="1050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Acumulado!$A$3</c:f>
              <c:strCache>
                <c:ptCount val="1"/>
                <c:pt idx="0">
                  <c:v>Pulverização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CAB-4916-954E-2D5E61ED0BEF}"/>
              </c:ext>
            </c:extLst>
          </c:dPt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Acumulado!$B$3:$T$3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1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4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0-4D1E-96A2-CED876B5F74C}"/>
            </c:ext>
          </c:extLst>
        </c:ser>
        <c:ser>
          <c:idx val="1"/>
          <c:order val="1"/>
          <c:tx>
            <c:strRef>
              <c:f>Acumulado!$A$4</c:f>
              <c:strCache>
                <c:ptCount val="1"/>
                <c:pt idx="0">
                  <c:v>Adubação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Acumulado!$B$4:$T$4</c:f>
              <c:numCache>
                <c:formatCode>General</c:formatCode>
                <c:ptCount val="19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70-4D1E-96A2-CED876B5F74C}"/>
            </c:ext>
          </c:extLst>
        </c:ser>
        <c:ser>
          <c:idx val="2"/>
          <c:order val="2"/>
          <c:tx>
            <c:strRef>
              <c:f>Acumulado!$A$5</c:f>
              <c:strCache>
                <c:ptCount val="1"/>
                <c:pt idx="0">
                  <c:v>Trnasplantio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Acumulado!$B$5:$T$5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70-4D1E-96A2-CED876B5F74C}"/>
            </c:ext>
          </c:extLst>
        </c:ser>
        <c:ser>
          <c:idx val="3"/>
          <c:order val="3"/>
          <c:tx>
            <c:strRef>
              <c:f>Acumulado!$A$6</c:f>
              <c:strCache>
                <c:ptCount val="1"/>
                <c:pt idx="0">
                  <c:v>Colheita Tabaco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Acumulado!$B$6:$T$6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70-4D1E-96A2-CED876B5F74C}"/>
            </c:ext>
          </c:extLst>
        </c:ser>
        <c:ser>
          <c:idx val="4"/>
          <c:order val="4"/>
          <c:tx>
            <c:strRef>
              <c:f>Acumulado!$A$7</c:f>
              <c:strCache>
                <c:ptCount val="1"/>
                <c:pt idx="0">
                  <c:v>Pantio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Acumulado!$B$7:$T$7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70-4D1E-96A2-CED876B5F74C}"/>
            </c:ext>
          </c:extLst>
        </c:ser>
        <c:ser>
          <c:idx val="5"/>
          <c:order val="5"/>
          <c:tx>
            <c:strRef>
              <c:f>Acumulado!$A$8</c:f>
              <c:strCache>
                <c:ptCount val="1"/>
                <c:pt idx="0">
                  <c:v>Erosão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Acumulado!$B$8:$T$8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70-4D1E-96A2-CED876B5F74C}"/>
            </c:ext>
          </c:extLst>
        </c:ser>
        <c:ser>
          <c:idx val="6"/>
          <c:order val="6"/>
          <c:tx>
            <c:strRef>
              <c:f>Acumulado!$A$9</c:f>
              <c:strCache>
                <c:ptCount val="1"/>
                <c:pt idx="0">
                  <c:v>Mecânico/Trator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Acumulado!$B$9:$T$9</c:f>
              <c:numCache>
                <c:formatCode>General</c:formatCode>
                <c:ptCount val="19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70-4D1E-96A2-CED876B5F74C}"/>
            </c:ext>
          </c:extLst>
        </c:ser>
        <c:ser>
          <c:idx val="7"/>
          <c:order val="7"/>
          <c:tx>
            <c:strRef>
              <c:f>Acumulado!$A$10</c:f>
              <c:strCache>
                <c:ptCount val="1"/>
                <c:pt idx="0">
                  <c:v>Transporte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Acumulado!$B$10:$T$10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F-445B-B687-924E375AF042}"/>
            </c:ext>
          </c:extLst>
        </c:ser>
        <c:ser>
          <c:idx val="8"/>
          <c:order val="8"/>
          <c:tx>
            <c:strRef>
              <c:f>Acumulado!$A$11</c:f>
              <c:strCache>
                <c:ptCount val="1"/>
                <c:pt idx="0">
                  <c:v>Pivô Atolado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Acumulado!$B$11:$T$11</c:f>
              <c:numCache>
                <c:formatCode>General</c:formatCode>
                <c:ptCount val="19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3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EF-445B-B687-924E375AF042}"/>
            </c:ext>
          </c:extLst>
        </c:ser>
        <c:ser>
          <c:idx val="9"/>
          <c:order val="9"/>
          <c:tx>
            <c:strRef>
              <c:f>Acumulado!$A$12</c:f>
              <c:strCache>
                <c:ptCount val="1"/>
                <c:pt idx="0">
                  <c:v>Entrega do Produto</c:v>
                </c:pt>
              </c:strCache>
            </c:strRef>
          </c:tx>
          <c:spPr>
            <a:solidFill>
              <a:srgbClr val="6FF799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Acumulado!$B$12:$T$12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79-49CD-8E43-86E86C312C0B}"/>
            </c:ext>
          </c:extLst>
        </c:ser>
        <c:ser>
          <c:idx val="10"/>
          <c:order val="10"/>
          <c:tx>
            <c:strRef>
              <c:f>Acumulado!$A$13</c:f>
              <c:strCache>
                <c:ptCount val="1"/>
                <c:pt idx="0">
                  <c:v>Limpeza e Aferições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Acumulado!$B$13:$T$13</c:f>
              <c:numCache>
                <c:formatCode>General</c:formatCode>
                <c:ptCount val="19"/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9B-4FD3-8CD3-BC37F11DC9FF}"/>
            </c:ext>
          </c:extLst>
        </c:ser>
        <c:ser>
          <c:idx val="11"/>
          <c:order val="11"/>
          <c:tx>
            <c:strRef>
              <c:f>Acumulado!$A$14</c:f>
              <c:strCache>
                <c:ptCount val="1"/>
                <c:pt idx="0">
                  <c:v>Falta de Água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Acumulado!$B$14:$T$14</c:f>
              <c:numCache>
                <c:formatCode>General</c:formatCode>
                <c:ptCount val="19"/>
                <c:pt idx="9">
                  <c:v>3</c:v>
                </c:pt>
                <c:pt idx="10">
                  <c:v>9</c:v>
                </c:pt>
                <c:pt idx="11">
                  <c:v>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92-4E42-860E-A3E8560A6BEE}"/>
            </c:ext>
          </c:extLst>
        </c:ser>
        <c:ser>
          <c:idx val="12"/>
          <c:order val="12"/>
          <c:tx>
            <c:strRef>
              <c:f>Acumulado!$A$15</c:f>
              <c:strCache>
                <c:ptCount val="1"/>
                <c:pt idx="0">
                  <c:v>Desponte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Acumulado!$B$15:$T$15</c:f>
              <c:numCache>
                <c:formatCode>General</c:formatCode>
                <c:ptCount val="19"/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92-4E42-860E-A3E8560A6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720594704"/>
        <c:axId val="1720595120"/>
      </c:barChart>
      <c:dateAx>
        <c:axId val="1720594704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595120"/>
        <c:crosses val="autoZero"/>
        <c:auto val="1"/>
        <c:lblOffset val="100"/>
        <c:baseTimeUnit val="days"/>
      </c:dateAx>
      <c:valAx>
        <c:axId val="172059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59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403461963948721"/>
          <c:y val="0.2324273381224824"/>
          <c:w val="0.46642111884774734"/>
          <c:h val="0.69879155502186319"/>
        </c:manualLayout>
      </c:layout>
      <c:pieChart>
        <c:varyColors val="1"/>
        <c:ser>
          <c:idx val="0"/>
          <c:order val="0"/>
          <c:tx>
            <c:strRef>
              <c:f>Acumulado!$V$2</c:f>
              <c:strCache>
                <c:ptCount val="1"/>
                <c:pt idx="0">
                  <c:v>Percentual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042-41C4-B5D1-F73B7C5F9A0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42-41C4-B5D1-F73B7C5F9A0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042-41C4-B5D1-F73B7C5F9A04}"/>
              </c:ext>
            </c:extLst>
          </c:dPt>
          <c:dPt>
            <c:idx val="3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42-41C4-B5D1-F73B7C5F9A04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042-41C4-B5D1-F73B7C5F9A04}"/>
              </c:ext>
            </c:extLst>
          </c:dPt>
          <c:dPt>
            <c:idx val="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42-41C4-B5D1-F73B7C5F9A04}"/>
              </c:ext>
            </c:extLst>
          </c:dPt>
          <c:dPt>
            <c:idx val="6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042-41C4-B5D1-F73B7C5F9A04}"/>
              </c:ext>
            </c:extLst>
          </c:dPt>
          <c:dPt>
            <c:idx val="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042-41C4-B5D1-F73B7C5F9A04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42-41C4-B5D1-F73B7C5F9A04}"/>
              </c:ext>
            </c:extLst>
          </c:dPt>
          <c:dPt>
            <c:idx val="9"/>
            <c:bubble3D val="0"/>
            <c:spPr>
              <a:solidFill>
                <a:srgbClr val="6FF7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F1D-46DD-86AB-6919C252DDD6}"/>
              </c:ext>
            </c:extLst>
          </c:dPt>
          <c:dPt>
            <c:idx val="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1BC-4342-8C63-7F7997936B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A28-4C52-8393-7312832AE68D}"/>
              </c:ext>
            </c:extLst>
          </c:dPt>
          <c:dLbls>
            <c:dLbl>
              <c:idx val="0"/>
              <c:layout>
                <c:manualLayout>
                  <c:x val="-1.7952105160408769E-2"/>
                  <c:y val="-2.615685815703797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42-41C4-B5D1-F73B7C5F9A04}"/>
                </c:ext>
              </c:extLst>
            </c:dLbl>
            <c:dLbl>
              <c:idx val="1"/>
              <c:layout>
                <c:manualLayout>
                  <c:x val="7.6359731893017604E-2"/>
                  <c:y val="-9.85592259621729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42-41C4-B5D1-F73B7C5F9A04}"/>
                </c:ext>
              </c:extLst>
            </c:dLbl>
            <c:dLbl>
              <c:idx val="3"/>
              <c:layout>
                <c:manualLayout>
                  <c:x val="0.15376770568968134"/>
                  <c:y val="-5.429341903015891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42-41C4-B5D1-F73B7C5F9A04}"/>
                </c:ext>
              </c:extLst>
            </c:dLbl>
            <c:dLbl>
              <c:idx val="4"/>
              <c:layout>
                <c:manualLayout>
                  <c:x val="3.029153380620811E-2"/>
                  <c:y val="2.447223776719503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042-41C4-B5D1-F73B7C5F9A04}"/>
                </c:ext>
              </c:extLst>
            </c:dLbl>
            <c:dLbl>
              <c:idx val="8"/>
              <c:layout>
                <c:manualLayout>
                  <c:x val="8.7564261078935373E-3"/>
                  <c:y val="-6.48048624034571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42-41C4-B5D1-F73B7C5F9A04}"/>
                </c:ext>
              </c:extLst>
            </c:dLbl>
            <c:dLbl>
              <c:idx val="11"/>
              <c:layout>
                <c:manualLayout>
                  <c:x val="0.1303676709832759"/>
                  <c:y val="-4.759700975558309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A28-4C52-8393-7312832AE6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Acumulado!$A$3:$A$14</c:f>
              <c:strCache>
                <c:ptCount val="12"/>
                <c:pt idx="0">
                  <c:v>Pulverização</c:v>
                </c:pt>
                <c:pt idx="1">
                  <c:v>Adubação</c:v>
                </c:pt>
                <c:pt idx="2">
                  <c:v>Trnasplantio</c:v>
                </c:pt>
                <c:pt idx="3">
                  <c:v>Colheita Tabaco</c:v>
                </c:pt>
                <c:pt idx="4">
                  <c:v>Pantio</c:v>
                </c:pt>
                <c:pt idx="5">
                  <c:v>Erosão</c:v>
                </c:pt>
                <c:pt idx="6">
                  <c:v>Mecânico/Trator</c:v>
                </c:pt>
                <c:pt idx="7">
                  <c:v>Transporte</c:v>
                </c:pt>
                <c:pt idx="8">
                  <c:v>Pivô Atolado</c:v>
                </c:pt>
                <c:pt idx="9">
                  <c:v>Entrega do Produto</c:v>
                </c:pt>
                <c:pt idx="10">
                  <c:v>Limpeza e Aferições</c:v>
                </c:pt>
                <c:pt idx="11">
                  <c:v>Falta de Água</c:v>
                </c:pt>
              </c:strCache>
            </c:strRef>
          </c:cat>
          <c:val>
            <c:numRef>
              <c:f>Acumulado!$V$3:$V$14</c:f>
              <c:numCache>
                <c:formatCode>0%</c:formatCode>
                <c:ptCount val="12"/>
                <c:pt idx="0">
                  <c:v>0.27329192546583853</c:v>
                </c:pt>
                <c:pt idx="1">
                  <c:v>8.0745341614906832E-2</c:v>
                </c:pt>
                <c:pt idx="2">
                  <c:v>5.5900621118012424E-2</c:v>
                </c:pt>
                <c:pt idx="3">
                  <c:v>0</c:v>
                </c:pt>
                <c:pt idx="4">
                  <c:v>6.2111801242236021E-3</c:v>
                </c:pt>
                <c:pt idx="5">
                  <c:v>5.5900621118012424E-2</c:v>
                </c:pt>
                <c:pt idx="6">
                  <c:v>0.13043478260869565</c:v>
                </c:pt>
                <c:pt idx="7">
                  <c:v>3.1055900621118012E-2</c:v>
                </c:pt>
                <c:pt idx="8">
                  <c:v>0.12422360248447205</c:v>
                </c:pt>
                <c:pt idx="9">
                  <c:v>8.6956521739130432E-2</c:v>
                </c:pt>
                <c:pt idx="10">
                  <c:v>1.2422360248447204E-2</c:v>
                </c:pt>
                <c:pt idx="11">
                  <c:v>0.11801242236024845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2-41C4-B5D1-F73B7C5F9A0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400050</xdr:colOff>
      <xdr:row>2</xdr:row>
      <xdr:rowOff>161926</xdr:rowOff>
    </xdr:from>
    <xdr:to>
      <xdr:col>20</xdr:col>
      <xdr:colOff>95250</xdr:colOff>
      <xdr:row>21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2F1E9F-0C84-4733-BFE7-F7B8B4C61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B99C52-F8C9-4B2F-9E04-777B4FE140A9}"/>
            </a:ext>
          </a:extLst>
        </xdr:cNvPr>
        <xdr:cNvSpPr/>
      </xdr:nvSpPr>
      <xdr:spPr>
        <a:xfrm>
          <a:off x="13091160" y="59055"/>
          <a:ext cx="1051560" cy="25336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8A03FD-5F2B-4AD3-8F6C-6C1089902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799D88-0713-4E38-9291-A4D9F28DBD50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00F964-B9E6-409E-9B24-DDB6D624B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00FA6E-D633-4A17-88B5-74A9967480C1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96074C-A049-4D1F-B5F3-B3A28FA21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5008F7-0AEC-4040-BD2E-29978E0E6679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824D79-68DA-4E56-97F4-C42F6359B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4B2113-37E5-4C3C-8CF6-D0D1668BC233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B1CF7A-B4AA-44CD-BF71-1641FBFCC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B40951-5B76-43C0-97CC-569F3F04655F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B7CB06-F296-4DAA-88F4-3180B6DC4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D95B8B-21FA-4E97-9D9E-A42F916E38DE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35AEBF-13BD-4473-AF0A-25FD6544D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FCFAC3-C9AB-4C10-AC6B-0E214A87C58F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30CAF8-AC76-4F86-8CA4-CF220C9E9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F7D6A9-13A7-444A-B7F0-B671F40BF247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E14AEB-434C-401C-9DD3-970BCDA06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357E2A-57A4-4A37-B6CB-E499D8CAECDD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6BC050-ED6C-4962-9748-F70E20C39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037930-F00B-4897-AC6C-D8AC949E8213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447675</xdr:colOff>
      <xdr:row>2</xdr:row>
      <xdr:rowOff>123825</xdr:rowOff>
    </xdr:from>
    <xdr:to>
      <xdr:col>20</xdr:col>
      <xdr:colOff>142875</xdr:colOff>
      <xdr:row>23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CB1AB8-C3B4-4A52-A9BA-41A132B6E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E5854F-7E2E-4AB2-846A-966B8A3A4C6A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228A53-730F-44FB-A371-E0AA1AC7C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87DEE4-FC73-4F4B-A99F-46BE2314C588}"/>
            </a:ext>
            <a:ext uri="{147F2762-F138-4A5C-976F-8EAC2B608ADB}">
              <a16:predDERef xmlns:a16="http://schemas.microsoft.com/office/drawing/2014/main" pred="{A8228A53-730F-44FB-A371-E0AA1AC7CAB2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E7537F-9E34-4D50-ACF0-E86A77DB5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F334DA-CDE9-4DD1-BD8D-C43F05DB4174}"/>
            </a:ext>
            <a:ext uri="{147F2762-F138-4A5C-976F-8EAC2B608ADB}">
              <a16:predDERef xmlns:a16="http://schemas.microsoft.com/office/drawing/2014/main" pred="{9DE7537F-9E34-4D50-ACF0-E86A77DB5782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34B30A-E3E7-423F-996F-C80FD02E7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70DCC1-6DAE-4400-9EDC-3A0842020F08}"/>
            </a:ext>
            <a:ext uri="{147F2762-F138-4A5C-976F-8EAC2B608ADB}">
              <a16:predDERef xmlns:a16="http://schemas.microsoft.com/office/drawing/2014/main" pred="{EA34B30A-E3E7-423F-996F-C80FD02E7110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EFD385-C515-4EC0-9D93-0B89238AC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F0FD9D-4757-4CC4-B904-A38B5866C896}"/>
            </a:ext>
            <a:ext uri="{147F2762-F138-4A5C-976F-8EAC2B608ADB}">
              <a16:predDERef xmlns:a16="http://schemas.microsoft.com/office/drawing/2014/main" pred="{C4EFD385-C515-4EC0-9D93-0B89238AC4F4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B0285D-258F-42A2-BB5F-46A1F189E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F2D932-DEAC-4398-8F7D-540F653DC8C5}"/>
            </a:ext>
            <a:ext uri="{147F2762-F138-4A5C-976F-8EAC2B608ADB}">
              <a16:predDERef xmlns:a16="http://schemas.microsoft.com/office/drawing/2014/main" pred="{51B0285D-258F-42A2-BB5F-46A1F189EA7D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7629B9-F152-4E0F-B210-5F23CF327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C7AA94-938B-40C7-9756-0C6FC33B46B0}"/>
            </a:ext>
            <a:ext uri="{147F2762-F138-4A5C-976F-8EAC2B608ADB}">
              <a16:predDERef xmlns:a16="http://schemas.microsoft.com/office/drawing/2014/main" pred="{8E7629B9-F152-4E0F-B210-5F23CF3279EB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FDB4EA-451D-446A-9CE3-D28B7CBDE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E7E305-E109-4C9C-A48D-74154BAF6627}"/>
            </a:ext>
            <a:ext uri="{147F2762-F138-4A5C-976F-8EAC2B608ADB}">
              <a16:predDERef xmlns:a16="http://schemas.microsoft.com/office/drawing/2014/main" pred="{87FDB4EA-451D-446A-9CE3-D28B7CBDE964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</xdr:row>
      <xdr:rowOff>95250</xdr:rowOff>
    </xdr:from>
    <xdr:to>
      <xdr:col>20</xdr:col>
      <xdr:colOff>152400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9A3168-5081-418D-A6B3-5F0C7FC916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59055</xdr:rowOff>
    </xdr:from>
    <xdr:to>
      <xdr:col>16</xdr:col>
      <xdr:colOff>541020</xdr:colOff>
      <xdr:row>1</xdr:row>
      <xdr:rowOff>129540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69CF88-EDD8-4D34-A0FA-CEB67A3E5E8C}"/>
            </a:ext>
            <a:ext uri="{147F2762-F138-4A5C-976F-8EAC2B608ADB}">
              <a16:predDERef xmlns:a16="http://schemas.microsoft.com/office/drawing/2014/main" pred="{509A3168-5081-418D-A6B3-5F0C7FC916CC}"/>
            </a:ext>
          </a:extLst>
        </xdr:cNvPr>
        <xdr:cNvSpPr/>
      </xdr:nvSpPr>
      <xdr:spPr>
        <a:xfrm>
          <a:off x="13548360" y="59055"/>
          <a:ext cx="1051560" cy="260985"/>
        </a:xfrm>
        <a:prstGeom prst="roundRect">
          <a:avLst/>
        </a:prstGeom>
        <a:solidFill>
          <a:schemeClr val="accent6"/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822613</xdr:colOff>
      <xdr:row>16</xdr:row>
      <xdr:rowOff>172315</xdr:rowOff>
    </xdr:from>
    <xdr:to>
      <xdr:col>9</xdr:col>
      <xdr:colOff>428798</xdr:colOff>
      <xdr:row>31</xdr:row>
      <xdr:rowOff>162790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EF6743E-6C41-45C4-AC3E-5F001F798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599210</xdr:colOff>
      <xdr:row>17</xdr:row>
      <xdr:rowOff>125036</xdr:rowOff>
    </xdr:from>
    <xdr:to>
      <xdr:col>18</xdr:col>
      <xdr:colOff>360219</xdr:colOff>
      <xdr:row>35</xdr:row>
      <xdr:rowOff>166254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1B80C0-0770-4E03-A59C-51C63A66C05F}"/>
            </a:ext>
            <a:ext uri="{147F2762-F138-4A5C-976F-8EAC2B608ADB}">
              <a16:predDERef xmlns:a16="http://schemas.microsoft.com/office/drawing/2014/main" pred="{EEF6743E-6C41-45C4-AC3E-5F001F798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3EA56-85C2-43D0-86C5-EDE81783C876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7" sqref="J7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0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44613</v>
      </c>
      <c r="C3" s="11">
        <f t="shared" ref="C3:H3" si="0">B3+1</f>
        <v>44614</v>
      </c>
      <c r="D3" s="11">
        <f t="shared" si="0"/>
        <v>44615</v>
      </c>
      <c r="E3" s="11">
        <f t="shared" si="0"/>
        <v>44616</v>
      </c>
      <c r="F3" s="11">
        <f t="shared" si="0"/>
        <v>44617</v>
      </c>
      <c r="G3" s="11">
        <f t="shared" si="0"/>
        <v>44618</v>
      </c>
      <c r="H3" s="12">
        <f t="shared" si="0"/>
        <v>44619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/>
      <c r="D5" s="8"/>
      <c r="E5" s="8"/>
      <c r="F5" s="8"/>
      <c r="G5" s="8"/>
      <c r="H5" s="8"/>
      <c r="J5" s="20" t="s">
        <v>5</v>
      </c>
      <c r="K5" s="40">
        <f t="shared" ref="K5:K14" si="2">COUNTIF($B$5:$H$93,J5)</f>
        <v>0</v>
      </c>
      <c r="L5" s="42">
        <f t="shared" ref="L5:L14" si="3">K5/$K$16</f>
        <v>0</v>
      </c>
    </row>
    <row r="6" spans="1:16">
      <c r="A6" s="6" t="s">
        <v>6</v>
      </c>
      <c r="B6" s="9"/>
      <c r="C6" s="9"/>
      <c r="D6" s="9"/>
      <c r="E6" s="9"/>
      <c r="F6" s="9"/>
      <c r="G6" s="9"/>
      <c r="H6" s="9"/>
      <c r="J6" s="21" t="s">
        <v>7</v>
      </c>
      <c r="K6" s="41">
        <f t="shared" si="2"/>
        <v>0</v>
      </c>
      <c r="L6" s="43">
        <f t="shared" si="3"/>
        <v>0</v>
      </c>
    </row>
    <row r="7" spans="1:16">
      <c r="A7" s="6" t="s">
        <v>8</v>
      </c>
      <c r="B7" s="9"/>
      <c r="C7" s="9"/>
      <c r="D7" s="9"/>
      <c r="E7" s="9"/>
      <c r="F7" s="9"/>
      <c r="G7" s="9"/>
      <c r="H7" s="9"/>
      <c r="J7" s="22" t="s">
        <v>9</v>
      </c>
      <c r="K7" s="41">
        <f t="shared" si="2"/>
        <v>0</v>
      </c>
      <c r="L7" s="43">
        <f t="shared" si="3"/>
        <v>0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41">
        <f>COUNTIF($B$5:$H$93,J8)</f>
        <v>0</v>
      </c>
      <c r="L8" s="43">
        <f t="shared" si="3"/>
        <v>0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41">
        <f>COUNTIF($B$5:$H$93,J9)</f>
        <v>0</v>
      </c>
      <c r="L9" s="43">
        <f t="shared" si="3"/>
        <v>0</v>
      </c>
      <c r="P9" s="3"/>
    </row>
    <row r="10" spans="1:16">
      <c r="A10" s="6" t="s">
        <v>14</v>
      </c>
      <c r="B10" s="9"/>
      <c r="C10" s="9"/>
      <c r="D10" s="9"/>
      <c r="E10" s="9"/>
      <c r="F10" s="9"/>
      <c r="G10" s="9"/>
      <c r="H10" s="9"/>
      <c r="J10" s="25" t="s">
        <v>15</v>
      </c>
      <c r="K10" s="41">
        <f t="shared" si="2"/>
        <v>0</v>
      </c>
      <c r="L10" s="43">
        <f t="shared" si="3"/>
        <v>0</v>
      </c>
    </row>
    <row r="11" spans="1:16">
      <c r="A11" s="6" t="s">
        <v>16</v>
      </c>
      <c r="B11" s="9"/>
      <c r="C11" s="9"/>
      <c r="D11" s="9"/>
      <c r="E11" s="9"/>
      <c r="F11" s="9"/>
      <c r="G11" s="9"/>
      <c r="H11" s="9"/>
      <c r="J11" s="26" t="s">
        <v>17</v>
      </c>
      <c r="K11" s="41">
        <f t="shared" si="2"/>
        <v>4</v>
      </c>
      <c r="L11" s="43">
        <f t="shared" si="3"/>
        <v>0.5714285714285714</v>
      </c>
    </row>
    <row r="12" spans="1:16">
      <c r="A12" s="6" t="s">
        <v>18</v>
      </c>
      <c r="B12" s="9"/>
      <c r="C12" s="9"/>
      <c r="D12" s="9"/>
      <c r="E12" s="9"/>
      <c r="F12" s="9"/>
      <c r="G12" s="9"/>
      <c r="H12" s="9"/>
      <c r="J12" s="27" t="s">
        <v>19</v>
      </c>
      <c r="K12" s="41">
        <f t="shared" si="2"/>
        <v>0</v>
      </c>
      <c r="L12" s="43">
        <f t="shared" si="3"/>
        <v>0</v>
      </c>
    </row>
    <row r="13" spans="1:16">
      <c r="A13" s="6" t="s">
        <v>20</v>
      </c>
      <c r="B13" s="9"/>
      <c r="C13" s="9"/>
      <c r="D13" s="9"/>
      <c r="E13" s="9"/>
      <c r="F13" s="9"/>
      <c r="G13" s="9"/>
      <c r="H13" s="9"/>
      <c r="J13" s="28" t="s">
        <v>21</v>
      </c>
      <c r="K13" s="41">
        <f t="shared" si="2"/>
        <v>3</v>
      </c>
      <c r="L13" s="43">
        <f t="shared" si="3"/>
        <v>0.42857142857142855</v>
      </c>
    </row>
    <row r="14" spans="1:16">
      <c r="A14" s="6" t="s">
        <v>22</v>
      </c>
      <c r="B14" s="9"/>
      <c r="C14" s="9"/>
      <c r="D14" s="9"/>
      <c r="E14" s="9"/>
      <c r="F14" s="9"/>
      <c r="G14" s="9"/>
      <c r="H14" s="9"/>
      <c r="J14" s="39" t="s">
        <v>23</v>
      </c>
      <c r="K14" s="44">
        <f t="shared" si="2"/>
        <v>0</v>
      </c>
      <c r="L14" s="45">
        <f t="shared" si="3"/>
        <v>0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7" t="s">
        <v>26</v>
      </c>
      <c r="K16" s="1">
        <f>SUM(K5:K13)</f>
        <v>7</v>
      </c>
    </row>
    <row r="17" spans="1:10">
      <c r="A17" s="6" t="s">
        <v>27</v>
      </c>
      <c r="B17" s="9"/>
      <c r="C17" s="9"/>
      <c r="D17" s="9"/>
      <c r="E17" s="9"/>
      <c r="F17" s="9"/>
      <c r="G17" s="9"/>
      <c r="H17" s="9"/>
      <c r="J17" s="7"/>
    </row>
    <row r="18" spans="1:10">
      <c r="A18" s="6" t="s">
        <v>28</v>
      </c>
      <c r="B18" s="9"/>
      <c r="C18" s="9"/>
      <c r="D18" s="9"/>
      <c r="E18" s="9"/>
      <c r="F18" s="9"/>
      <c r="G18" s="9"/>
      <c r="H18" s="9"/>
      <c r="J18" s="7"/>
    </row>
    <row r="19" spans="1:10">
      <c r="A19" s="6" t="s">
        <v>29</v>
      </c>
      <c r="B19" s="9"/>
      <c r="C19" s="9"/>
      <c r="D19" s="9"/>
      <c r="E19" s="9"/>
      <c r="F19" s="9"/>
      <c r="G19" s="9"/>
      <c r="H19" s="9"/>
      <c r="J19" s="7"/>
    </row>
    <row r="20" spans="1:10">
      <c r="A20" s="6" t="s">
        <v>30</v>
      </c>
      <c r="B20" s="9"/>
      <c r="C20" s="9"/>
      <c r="D20" s="9"/>
      <c r="E20" s="9"/>
      <c r="F20" s="9"/>
      <c r="G20" s="9"/>
      <c r="H20" s="9"/>
      <c r="J20" s="7"/>
    </row>
    <row r="21" spans="1:10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0">
      <c r="A22" s="6" t="s">
        <v>32</v>
      </c>
      <c r="B22" s="9"/>
      <c r="C22" s="9"/>
      <c r="D22" s="9"/>
      <c r="E22" s="9"/>
      <c r="F22" s="9"/>
      <c r="G22" s="9"/>
      <c r="H22" s="9"/>
      <c r="J22" s="7"/>
    </row>
    <row r="23" spans="1:10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0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0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0">
      <c r="A26" s="6" t="s">
        <v>36</v>
      </c>
      <c r="B26" s="9"/>
      <c r="C26" s="9" t="s">
        <v>21</v>
      </c>
      <c r="D26" s="9"/>
      <c r="E26" s="9"/>
      <c r="F26" s="9"/>
      <c r="G26" s="9"/>
      <c r="H26" s="9"/>
      <c r="J26" s="7"/>
    </row>
    <row r="27" spans="1:10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0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0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0">
      <c r="A30" s="6" t="s">
        <v>40</v>
      </c>
      <c r="B30" s="9"/>
      <c r="C30" s="9"/>
      <c r="D30" s="9"/>
      <c r="E30" s="9"/>
      <c r="F30" s="9"/>
      <c r="G30" s="9"/>
      <c r="H30" s="9"/>
    </row>
    <row r="31" spans="1:10">
      <c r="A31" s="6" t="s">
        <v>41</v>
      </c>
      <c r="B31" s="9"/>
      <c r="C31" s="9"/>
      <c r="D31" s="9"/>
      <c r="E31" s="9"/>
      <c r="F31" s="9"/>
      <c r="G31" s="9"/>
      <c r="H31" s="9"/>
    </row>
    <row r="32" spans="1:10">
      <c r="A32" s="6" t="s">
        <v>42</v>
      </c>
      <c r="B32" s="9"/>
      <c r="C32" s="9"/>
      <c r="D32" s="9"/>
      <c r="E32" s="9" t="s">
        <v>17</v>
      </c>
      <c r="F32" s="9" t="s">
        <v>17</v>
      </c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/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/>
      <c r="F35" s="9"/>
      <c r="G35" s="9"/>
      <c r="H35" s="9"/>
    </row>
    <row r="36" spans="1:8">
      <c r="A36" s="6" t="s">
        <v>46</v>
      </c>
      <c r="B36" s="9"/>
      <c r="C36" s="9"/>
      <c r="D36" s="9"/>
      <c r="E36" s="9"/>
      <c r="F36" s="9"/>
      <c r="G36" s="9"/>
      <c r="H36" s="9" t="s">
        <v>21</v>
      </c>
    </row>
    <row r="37" spans="1:8">
      <c r="A37" s="6" t="s">
        <v>47</v>
      </c>
      <c r="B37" s="9"/>
      <c r="C37" s="9"/>
      <c r="D37" s="9"/>
      <c r="E37" s="9"/>
      <c r="F37" s="9"/>
      <c r="G37" s="9"/>
      <c r="H37" s="9"/>
    </row>
    <row r="38" spans="1:8">
      <c r="A38" s="6" t="s">
        <v>48</v>
      </c>
      <c r="B38" s="9" t="s">
        <v>17</v>
      </c>
      <c r="C38" s="9"/>
      <c r="D38" s="9"/>
      <c r="E38" s="9"/>
      <c r="F38" s="9"/>
      <c r="G38" s="9"/>
      <c r="H38" s="9"/>
    </row>
    <row r="39" spans="1:8">
      <c r="A39" s="6" t="s">
        <v>49</v>
      </c>
      <c r="B39" s="9"/>
      <c r="C39" s="9"/>
      <c r="D39" s="9"/>
      <c r="E39" s="9"/>
      <c r="F39" s="9"/>
      <c r="G39" s="9"/>
      <c r="H39" s="9"/>
    </row>
    <row r="40" spans="1:8">
      <c r="A40" s="6" t="s">
        <v>50</v>
      </c>
      <c r="B40" s="9"/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/>
      <c r="G44" s="9"/>
      <c r="H44" s="9"/>
    </row>
    <row r="45" spans="1:8">
      <c r="A45" s="6" t="s">
        <v>55</v>
      </c>
      <c r="B45" s="9"/>
      <c r="C45" s="9"/>
      <c r="D45" s="9"/>
      <c r="E45" s="9"/>
      <c r="F45" s="9"/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/>
      <c r="C52" s="9"/>
      <c r="D52" s="9"/>
      <c r="E52" s="9"/>
      <c r="F52" s="9"/>
      <c r="G52" s="9"/>
      <c r="H52" s="9"/>
    </row>
    <row r="53" spans="1:8">
      <c r="A53" s="6" t="s">
        <v>63</v>
      </c>
      <c r="B53" s="9"/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/>
      <c r="D54" s="9"/>
      <c r="E54" s="9"/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/>
      <c r="F57" s="9"/>
      <c r="G57" s="9"/>
      <c r="H57" s="9"/>
    </row>
    <row r="58" spans="1:8">
      <c r="A58" s="6" t="s">
        <v>68</v>
      </c>
      <c r="B58" s="9"/>
      <c r="C58" s="9" t="s">
        <v>17</v>
      </c>
      <c r="D58" s="9"/>
      <c r="E58" s="9"/>
      <c r="F58" s="9"/>
      <c r="G58" s="9"/>
      <c r="H58" s="9"/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/>
      <c r="H61" s="9" t="s">
        <v>21</v>
      </c>
    </row>
    <row r="62" spans="1:8">
      <c r="A62" s="6" t="s">
        <v>72</v>
      </c>
      <c r="B62" s="9"/>
      <c r="C62" s="9"/>
      <c r="D62" s="9"/>
      <c r="E62" s="9"/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/>
      <c r="C75" s="9"/>
      <c r="D75" s="9"/>
      <c r="E75" s="9"/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/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phoneticPr fontId="3" type="noConversion"/>
  <conditionalFormatting sqref="B94:H95">
    <cfRule type="containsText" dxfId="1095" priority="61" operator="containsText" text="Pulverização">
      <formula>NOT(ISERROR(SEARCH("Pulverização",B94)))</formula>
    </cfRule>
    <cfRule type="cellIs" dxfId="1094" priority="62" operator="greaterThan">
      <formula>$J$5</formula>
    </cfRule>
    <cfRule type="containsText" dxfId="1093" priority="63" operator="containsText" text="Cardã">
      <formula>NOT(ISERROR(SEARCH("Cardã",B94)))</formula>
    </cfRule>
    <cfRule type="containsText" dxfId="1092" priority="64" operator="containsText" text="Pneu">
      <formula>NOT(ISERROR(SEARCH("Pneu",B94)))</formula>
    </cfRule>
    <cfRule type="containsText" dxfId="1091" priority="65" operator="containsText" text="Vedação">
      <formula>NOT(ISERROR(SEARCH("Vedação",B94)))</formula>
    </cfRule>
    <cfRule type="containsText" dxfId="1090" priority="66" operator="containsText" text="Retentor">
      <formula>NOT(ISERROR(SEARCH("Retentor",B94)))</formula>
    </cfRule>
    <cfRule type="containsText" dxfId="1089" priority="67" operator="containsText" text="Motorredutor">
      <formula>NOT(ISERROR(SEARCH("Motorredutor",B94)))</formula>
    </cfRule>
    <cfRule type="containsText" dxfId="1088" priority="68" operator="containsText" text="Redutor">
      <formula>NOT(ISERROR(SEARCH("Redutor",B94)))</formula>
    </cfRule>
    <cfRule type="containsText" dxfId="1087" priority="69" operator="containsText" text="Bomba">
      <formula>NOT(ISERROR(SEARCH("Bomba",B94)))</formula>
    </cfRule>
  </conditionalFormatting>
  <conditionalFormatting sqref="A1:A1048576">
    <cfRule type="containsText" dxfId="1086" priority="36" operator="containsText" text="Pivô">
      <formula>NOT(ISERROR(SEARCH("Pivô",A1)))</formula>
    </cfRule>
    <cfRule type="containsText" dxfId="1085" priority="37" operator="containsText" text="Pivô">
      <formula>NOT(ISERROR(SEARCH("Pivô",A1)))</formula>
    </cfRule>
  </conditionalFormatting>
  <conditionalFormatting sqref="B5:H93">
    <cfRule type="containsText" dxfId="1084" priority="20" operator="containsText" text="Pulverização">
      <formula>NOT(ISERROR(SEARCH("Pulverização",B5)))</formula>
    </cfRule>
    <cfRule type="cellIs" dxfId="1083" priority="21" operator="greaterThan">
      <formula>$J$5</formula>
    </cfRule>
    <cfRule type="containsText" dxfId="1082" priority="22" operator="containsText" text="Cardã">
      <formula>NOT(ISERROR(SEARCH("Cardã",B5)))</formula>
    </cfRule>
    <cfRule type="containsText" dxfId="1081" priority="23" operator="containsText" text="Pneu">
      <formula>NOT(ISERROR(SEARCH("Pneu",B5)))</formula>
    </cfRule>
    <cfRule type="containsText" dxfId="1080" priority="24" operator="containsText" text="Vedação">
      <formula>NOT(ISERROR(SEARCH("Vedação",B5)))</formula>
    </cfRule>
    <cfRule type="containsText" dxfId="1079" priority="25" operator="containsText" text="Retentor">
      <formula>NOT(ISERROR(SEARCH("Retentor",B5)))</formula>
    </cfRule>
    <cfRule type="containsText" dxfId="1078" priority="26" operator="containsText" text="Motorredutor">
      <formula>NOT(ISERROR(SEARCH("Motorredutor",B5)))</formula>
    </cfRule>
    <cfRule type="containsText" dxfId="1077" priority="27" operator="containsText" text="Redutor">
      <formula>NOT(ISERROR(SEARCH("Redutor",B5)))</formula>
    </cfRule>
    <cfRule type="containsText" dxfId="1076" priority="28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3AF18F48-1AD1-4197-B2A6-C4F6A70CEC35}">
      <formula1>$J$5:$J$11</formula1>
    </dataValidation>
    <dataValidation type="list" allowBlank="1" showInputMessage="1" showErrorMessage="1" sqref="B5:H93" xr:uid="{3BF15172-2B4E-4427-8846-42D0C45A46E1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B179553-C549-4241-A96F-ED5BF7894BA1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53" operator="containsText" id="{CA3A1346-065F-4421-BE67-3F5D6FE91E7C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106" operator="containsText" id="{CFB7BC37-48A9-4AFE-AA86-FA05DC0D6A48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107" operator="containsText" id="{8C241BD7-9673-486A-9598-B403FF32BEC6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108" operator="containsText" id="{55DF3A79-CA2D-4BCB-845E-7759EB3D5848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109" operator="containsText" id="{263A3A64-BD5F-4A7F-AFA3-88D964E71023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110" operator="containsText" id="{F2461EAD-B820-45DA-9DF5-8CB1C58872D0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111" operator="containsText" id="{D0C5E879-F7F6-4B8F-924F-20ED520439CF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42" operator="containsText" id="{33D456E2-C794-4289-9D54-79F6B3482216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18" operator="containsText" id="{62AB47F1-82DA-4164-B4FC-21AA6623F80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13E175EC-E256-460C-8687-05BB89BE4CEA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3281EBB3-6FB9-41C9-91A4-067566B1E2C3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4" operator="containsText" id="{926A7DE8-E331-473A-92DC-B6E679738897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" operator="containsText" id="{CD692E87-2EF6-436B-A50C-493F5E84E43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6" operator="containsText" id="{8A278ACB-92CB-4374-8897-C0F88898949B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8" operator="containsText" id="{C2DEC44F-7B80-4D3C-901E-FD6D8EA221C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9" operator="containsText" id="{428C2F6A-AAEA-4C4D-8EBE-5D5CB17B6E97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0" operator="containsText" id="{0376B4C0-D0BE-4497-8109-D21645172B3A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1" operator="containsText" id="{316AB1C0-B199-4FC6-815F-14119ACD4742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325DA3B2-6A48-45C5-9EEE-FAF7EF1AEFEA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3" operator="containsText" id="{A8E68EA2-8008-4391-A3C8-B96F31B7F76D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4" operator="containsText" id="{6D240A14-4D0E-4C0A-9A6A-CDD022F64EA8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5" operator="containsText" id="{D6103847-C8F5-4A42-B8C1-302DF9FDA98D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6" operator="containsText" id="{7A61241D-E4AB-4043-83D0-A4F478D38BA8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7" operator="containsText" id="{CA813028-F568-4564-8157-6B5678AFD1F7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9" operator="containsText" id="{32010AD5-C2B4-488D-A7D3-4A62BFF5F73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9" operator="containsText" id="{25006911-EA31-4FAD-A17D-3B056A150C56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937F9888-530E-4BE2-8701-BE893DF26F96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1605CA85-BA0F-401D-ACAF-38A2C51BA653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E00DE311-E4BB-447C-BDBD-931E206C5CBD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88902B13-F43E-41C0-81B6-D96B3536AA72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587D8A41-FE79-4F99-8A68-CA2AE25B5EE1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7" operator="containsText" id="{18300541-A5D7-4505-800E-CA5FFAF8A1C8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F198-E8AE-4DD6-99A1-D8C42D537A05}">
  <sheetPr>
    <tabColor rgb="FF92D050"/>
    <pageSetUpPr fitToPage="1"/>
  </sheetPr>
  <dimension ref="A1:P93"/>
  <sheetViews>
    <sheetView showGridLines="0" topLeftCell="F1" zoomScaleNormal="100" workbookViewId="0">
      <pane ySplit="4" topLeftCell="A5" activePane="bottomLeft" state="frozen"/>
      <selection pane="bottomLeft" activeCell="J7" sqref="J7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104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44620</v>
      </c>
      <c r="C3" s="11">
        <f t="shared" ref="C3:H3" si="0">B3+1</f>
        <v>44621</v>
      </c>
      <c r="D3" s="11">
        <f t="shared" si="0"/>
        <v>44622</v>
      </c>
      <c r="E3" s="11">
        <f t="shared" si="0"/>
        <v>44623</v>
      </c>
      <c r="F3" s="11">
        <f t="shared" si="0"/>
        <v>44624</v>
      </c>
      <c r="G3" s="11">
        <f t="shared" si="0"/>
        <v>44625</v>
      </c>
      <c r="H3" s="12">
        <f t="shared" si="0"/>
        <v>44626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/>
      <c r="D5" s="8"/>
      <c r="E5" s="8"/>
      <c r="F5" s="8"/>
      <c r="G5" s="8"/>
      <c r="H5" s="8"/>
      <c r="J5" s="20" t="s">
        <v>5</v>
      </c>
      <c r="K5" s="40">
        <f t="shared" ref="K5:K14" si="2">COUNTIF($B$5:$H$93,J5)</f>
        <v>0</v>
      </c>
      <c r="L5" s="42">
        <f t="shared" ref="L5:L14" si="3">K5/$K$16</f>
        <v>0</v>
      </c>
    </row>
    <row r="6" spans="1:16">
      <c r="A6" s="6" t="s">
        <v>6</v>
      </c>
      <c r="B6" s="9"/>
      <c r="C6" s="9"/>
      <c r="D6" s="9"/>
      <c r="E6" s="9"/>
      <c r="F6" s="9"/>
      <c r="G6" s="9"/>
      <c r="H6" s="9"/>
      <c r="J6" s="21" t="s">
        <v>7</v>
      </c>
      <c r="K6" s="41">
        <f t="shared" si="2"/>
        <v>4</v>
      </c>
      <c r="L6" s="43">
        <f t="shared" si="3"/>
        <v>0.25</v>
      </c>
    </row>
    <row r="7" spans="1:16">
      <c r="A7" s="6" t="s">
        <v>8</v>
      </c>
      <c r="B7" s="9"/>
      <c r="C7" s="9"/>
      <c r="D7" s="9"/>
      <c r="E7" s="9"/>
      <c r="F7" s="9"/>
      <c r="G7" s="9"/>
      <c r="H7" s="9"/>
      <c r="J7" s="22" t="s">
        <v>9</v>
      </c>
      <c r="K7" s="41">
        <f t="shared" si="2"/>
        <v>0</v>
      </c>
      <c r="L7" s="43">
        <f t="shared" si="3"/>
        <v>0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41">
        <f>COUNTIF($B$5:$H$93,J8)</f>
        <v>0</v>
      </c>
      <c r="L8" s="43">
        <f t="shared" si="3"/>
        <v>0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41">
        <f>COUNTIF($B$5:$H$93,J9)</f>
        <v>0</v>
      </c>
      <c r="L9" s="43">
        <f t="shared" si="3"/>
        <v>0</v>
      </c>
      <c r="P9" s="3"/>
    </row>
    <row r="10" spans="1:16">
      <c r="A10" s="6" t="s">
        <v>14</v>
      </c>
      <c r="B10" s="9"/>
      <c r="C10" s="9"/>
      <c r="D10" s="9"/>
      <c r="E10" s="9"/>
      <c r="F10" s="9"/>
      <c r="G10" s="9"/>
      <c r="H10" s="9"/>
      <c r="J10" s="25" t="s">
        <v>105</v>
      </c>
      <c r="K10" s="41">
        <f t="shared" si="2"/>
        <v>5</v>
      </c>
      <c r="L10" s="43">
        <f t="shared" si="3"/>
        <v>0.3125</v>
      </c>
    </row>
    <row r="11" spans="1:16">
      <c r="A11" s="6" t="s">
        <v>16</v>
      </c>
      <c r="B11" s="9"/>
      <c r="C11" s="9"/>
      <c r="D11" s="9"/>
      <c r="E11" s="9"/>
      <c r="F11" s="9"/>
      <c r="G11" s="9"/>
      <c r="H11" s="9"/>
      <c r="J11" s="26" t="s">
        <v>17</v>
      </c>
      <c r="K11" s="41">
        <f t="shared" si="2"/>
        <v>1</v>
      </c>
      <c r="L11" s="43">
        <f t="shared" si="3"/>
        <v>6.25E-2</v>
      </c>
    </row>
    <row r="12" spans="1:16">
      <c r="A12" s="6" t="s">
        <v>18</v>
      </c>
      <c r="B12" s="9"/>
      <c r="C12" s="9"/>
      <c r="D12" s="9"/>
      <c r="E12" s="9"/>
      <c r="F12" s="9"/>
      <c r="G12" s="9"/>
      <c r="H12" s="9"/>
      <c r="J12" s="27" t="s">
        <v>19</v>
      </c>
      <c r="K12" s="41">
        <f t="shared" si="2"/>
        <v>1</v>
      </c>
      <c r="L12" s="43">
        <f t="shared" si="3"/>
        <v>6.25E-2</v>
      </c>
    </row>
    <row r="13" spans="1:16">
      <c r="A13" s="6" t="s">
        <v>20</v>
      </c>
      <c r="B13" s="9"/>
      <c r="C13" s="9"/>
      <c r="D13" s="9"/>
      <c r="E13" s="9"/>
      <c r="F13" s="9"/>
      <c r="G13" s="9"/>
      <c r="H13" s="9"/>
      <c r="J13" s="28" t="s">
        <v>21</v>
      </c>
      <c r="K13" s="41">
        <f t="shared" si="2"/>
        <v>4</v>
      </c>
      <c r="L13" s="43">
        <f t="shared" si="3"/>
        <v>0.25</v>
      </c>
    </row>
    <row r="14" spans="1:16">
      <c r="A14" s="6" t="s">
        <v>22</v>
      </c>
      <c r="B14" s="9"/>
      <c r="C14" s="9"/>
      <c r="D14" s="9"/>
      <c r="E14" s="9"/>
      <c r="F14" s="9"/>
      <c r="G14" s="9"/>
      <c r="H14" s="9"/>
      <c r="J14" s="39" t="s">
        <v>23</v>
      </c>
      <c r="K14" s="44">
        <f t="shared" si="2"/>
        <v>1</v>
      </c>
      <c r="L14" s="45">
        <f t="shared" si="3"/>
        <v>6.25E-2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7" t="s">
        <v>26</v>
      </c>
      <c r="K16" s="1">
        <f>SUM(K5:K14)</f>
        <v>16</v>
      </c>
    </row>
    <row r="17" spans="1:10">
      <c r="A17" s="6" t="s">
        <v>27</v>
      </c>
      <c r="B17" s="9"/>
      <c r="C17" s="9"/>
      <c r="D17" s="9"/>
      <c r="E17" s="9"/>
      <c r="F17" s="9"/>
      <c r="G17" s="9"/>
      <c r="H17" s="9"/>
      <c r="J17" s="7"/>
    </row>
    <row r="18" spans="1:10">
      <c r="A18" s="6" t="s">
        <v>28</v>
      </c>
      <c r="B18" s="9"/>
      <c r="C18" s="9"/>
      <c r="D18" s="9"/>
      <c r="E18" s="9"/>
      <c r="F18" s="9"/>
      <c r="G18" s="9"/>
      <c r="H18" s="9"/>
      <c r="J18" s="7"/>
    </row>
    <row r="19" spans="1:10">
      <c r="A19" s="6" t="s">
        <v>29</v>
      </c>
      <c r="B19" s="9"/>
      <c r="C19" s="9"/>
      <c r="D19" s="9"/>
      <c r="E19" s="9"/>
      <c r="F19" s="9"/>
      <c r="G19" s="9"/>
      <c r="H19" s="9"/>
      <c r="J19" s="7"/>
    </row>
    <row r="20" spans="1:10">
      <c r="A20" s="6" t="s">
        <v>30</v>
      </c>
      <c r="B20" s="9"/>
      <c r="C20" s="9"/>
      <c r="D20" s="9"/>
      <c r="E20" s="9"/>
      <c r="F20" s="9"/>
      <c r="G20" s="9"/>
      <c r="H20" s="9"/>
      <c r="J20" s="7"/>
    </row>
    <row r="21" spans="1:10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0">
      <c r="A22" s="6" t="s">
        <v>32</v>
      </c>
      <c r="B22" s="9"/>
      <c r="C22" s="9"/>
      <c r="D22" s="9"/>
      <c r="E22" s="9"/>
      <c r="F22" s="9"/>
      <c r="G22" s="9"/>
      <c r="H22" s="9"/>
      <c r="J22" s="7"/>
    </row>
    <row r="23" spans="1:10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0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0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0">
      <c r="A26" s="6" t="s">
        <v>36</v>
      </c>
      <c r="B26" s="9"/>
      <c r="C26" s="9"/>
      <c r="D26" s="9" t="s">
        <v>7</v>
      </c>
      <c r="E26" s="9"/>
      <c r="F26" s="9"/>
      <c r="G26" s="9" t="s">
        <v>21</v>
      </c>
      <c r="H26" s="9"/>
      <c r="J26" s="7"/>
    </row>
    <row r="27" spans="1:10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0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0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0">
      <c r="A30" s="6" t="s">
        <v>40</v>
      </c>
      <c r="B30" s="9"/>
      <c r="C30" s="9"/>
      <c r="D30" s="9"/>
      <c r="E30" s="9"/>
      <c r="F30" s="9"/>
      <c r="G30" s="9"/>
      <c r="H30" s="9"/>
    </row>
    <row r="31" spans="1:10">
      <c r="A31" s="6" t="s">
        <v>41</v>
      </c>
      <c r="B31" s="9"/>
      <c r="C31" s="9" t="s">
        <v>7</v>
      </c>
      <c r="D31" s="9"/>
      <c r="E31" s="9"/>
      <c r="F31" s="9"/>
      <c r="G31" s="9"/>
      <c r="H31" s="9"/>
    </row>
    <row r="32" spans="1:10">
      <c r="A32" s="6" t="s">
        <v>42</v>
      </c>
      <c r="B32" s="9"/>
      <c r="C32" s="9"/>
      <c r="D32" s="9"/>
      <c r="E32" s="9"/>
      <c r="F32" s="9"/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/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/>
      <c r="F35" s="9"/>
      <c r="G35" s="9"/>
      <c r="H35" s="9"/>
    </row>
    <row r="36" spans="1:8">
      <c r="A36" s="6" t="s">
        <v>46</v>
      </c>
      <c r="B36" s="9" t="s">
        <v>21</v>
      </c>
      <c r="C36" s="9"/>
      <c r="D36" s="9" t="s">
        <v>105</v>
      </c>
      <c r="E36" s="9"/>
      <c r="F36" s="9"/>
      <c r="G36" s="9"/>
      <c r="H36" s="9"/>
    </row>
    <row r="37" spans="1:8">
      <c r="A37" s="6" t="s">
        <v>47</v>
      </c>
      <c r="B37" s="9"/>
      <c r="C37" s="9"/>
      <c r="D37" s="9"/>
      <c r="E37" s="9"/>
      <c r="F37" s="9"/>
      <c r="G37" s="9"/>
      <c r="H37" s="9"/>
    </row>
    <row r="38" spans="1:8">
      <c r="A38" s="6" t="s">
        <v>48</v>
      </c>
      <c r="B38" s="9" t="s">
        <v>17</v>
      </c>
      <c r="C38" s="9" t="s">
        <v>105</v>
      </c>
      <c r="D38" s="9" t="s">
        <v>105</v>
      </c>
      <c r="E38" s="9" t="s">
        <v>105</v>
      </c>
      <c r="F38" s="9" t="s">
        <v>105</v>
      </c>
      <c r="G38" s="9"/>
      <c r="H38" s="9"/>
    </row>
    <row r="39" spans="1:8">
      <c r="A39" s="6" t="s">
        <v>49</v>
      </c>
      <c r="B39" s="9"/>
      <c r="C39" s="9"/>
      <c r="D39" s="9"/>
      <c r="E39" s="9"/>
      <c r="F39" s="9"/>
      <c r="G39" s="9"/>
      <c r="H39" s="9"/>
    </row>
    <row r="40" spans="1:8">
      <c r="A40" s="6" t="s">
        <v>50</v>
      </c>
      <c r="B40" s="9"/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/>
      <c r="G44" s="9"/>
      <c r="H44" s="9"/>
    </row>
    <row r="45" spans="1:8">
      <c r="A45" s="6" t="s">
        <v>55</v>
      </c>
      <c r="B45" s="9"/>
      <c r="C45" s="9"/>
      <c r="D45" s="9"/>
      <c r="E45" s="9"/>
      <c r="F45" s="9"/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/>
      <c r="C52" s="9"/>
      <c r="D52" s="9"/>
      <c r="E52" s="9"/>
      <c r="F52" s="9"/>
      <c r="G52" s="9"/>
      <c r="H52" s="9"/>
    </row>
    <row r="53" spans="1:8">
      <c r="A53" s="6" t="s">
        <v>63</v>
      </c>
      <c r="B53" s="9"/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/>
      <c r="D54" s="9"/>
      <c r="E54" s="9"/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/>
      <c r="F57" s="9"/>
      <c r="G57" s="9"/>
      <c r="H57" s="9"/>
    </row>
    <row r="58" spans="1:8">
      <c r="A58" s="6" t="s">
        <v>68</v>
      </c>
      <c r="B58" s="9"/>
      <c r="C58" s="9"/>
      <c r="D58" s="9"/>
      <c r="E58" s="9"/>
      <c r="F58" s="9"/>
      <c r="G58" s="9"/>
      <c r="H58" s="9"/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 t="s">
        <v>21</v>
      </c>
      <c r="H61" s="9"/>
    </row>
    <row r="62" spans="1:8">
      <c r="A62" s="6" t="s">
        <v>72</v>
      </c>
      <c r="B62" s="9"/>
      <c r="C62" s="9"/>
      <c r="D62" s="9" t="s">
        <v>21</v>
      </c>
      <c r="E62" s="9"/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 t="s">
        <v>23</v>
      </c>
      <c r="C74" s="9"/>
      <c r="D74" s="9"/>
      <c r="E74" s="9"/>
      <c r="F74" s="9" t="s">
        <v>7</v>
      </c>
      <c r="G74" s="9"/>
      <c r="H74" s="9"/>
    </row>
    <row r="75" spans="1:8">
      <c r="A75" s="6" t="s">
        <v>85</v>
      </c>
      <c r="B75" s="9" t="s">
        <v>19</v>
      </c>
      <c r="C75" s="9"/>
      <c r="D75" s="9"/>
      <c r="E75" s="9"/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 t="s">
        <v>7</v>
      </c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/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1042" priority="39" operator="containsText" text="Pulverização">
      <formula>NOT(ISERROR(SEARCH("Pulverização",B94)))</formula>
    </cfRule>
    <cfRule type="cellIs" dxfId="1041" priority="40" operator="greaterThan">
      <formula>$J$5</formula>
    </cfRule>
    <cfRule type="containsText" dxfId="1040" priority="41" operator="containsText" text="Cardã">
      <formula>NOT(ISERROR(SEARCH("Cardã",B94)))</formula>
    </cfRule>
    <cfRule type="containsText" dxfId="1039" priority="42" operator="containsText" text="Pneu">
      <formula>NOT(ISERROR(SEARCH("Pneu",B94)))</formula>
    </cfRule>
    <cfRule type="containsText" dxfId="1038" priority="43" operator="containsText" text="Vedação">
      <formula>NOT(ISERROR(SEARCH("Vedação",B94)))</formula>
    </cfRule>
    <cfRule type="containsText" dxfId="1037" priority="44" operator="containsText" text="Retentor">
      <formula>NOT(ISERROR(SEARCH("Retentor",B94)))</formula>
    </cfRule>
    <cfRule type="containsText" dxfId="1036" priority="45" operator="containsText" text="Motorredutor">
      <formula>NOT(ISERROR(SEARCH("Motorredutor",B94)))</formula>
    </cfRule>
    <cfRule type="containsText" dxfId="1035" priority="46" operator="containsText" text="Redutor">
      <formula>NOT(ISERROR(SEARCH("Redutor",B94)))</formula>
    </cfRule>
    <cfRule type="containsText" dxfId="1034" priority="47" operator="containsText" text="Bomba">
      <formula>NOT(ISERROR(SEARCH("Bomba",B94)))</formula>
    </cfRule>
  </conditionalFormatting>
  <conditionalFormatting sqref="A1:A1048576">
    <cfRule type="containsText" dxfId="1033" priority="35" operator="containsText" text="Pivô">
      <formula>NOT(ISERROR(SEARCH("Pivô",A1)))</formula>
    </cfRule>
    <cfRule type="containsText" dxfId="1032" priority="36" operator="containsText" text="Pivô">
      <formula>NOT(ISERROR(SEARCH("Pivô",A1)))</formula>
    </cfRule>
  </conditionalFormatting>
  <conditionalFormatting sqref="B5:H93">
    <cfRule type="containsText" dxfId="1031" priority="20" operator="containsText" text="Pulverização">
      <formula>NOT(ISERROR(SEARCH("Pulverização",B5)))</formula>
    </cfRule>
    <cfRule type="cellIs" dxfId="1030" priority="21" operator="greaterThan">
      <formula>$J$5</formula>
    </cfRule>
    <cfRule type="containsText" dxfId="1029" priority="22" operator="containsText" text="Cardã">
      <formula>NOT(ISERROR(SEARCH("Cardã",B5)))</formula>
    </cfRule>
    <cfRule type="containsText" dxfId="1028" priority="23" operator="containsText" text="Pneu">
      <formula>NOT(ISERROR(SEARCH("Pneu",B5)))</formula>
    </cfRule>
    <cfRule type="containsText" dxfId="1027" priority="24" operator="containsText" text="Vedação">
      <formula>NOT(ISERROR(SEARCH("Vedação",B5)))</formula>
    </cfRule>
    <cfRule type="containsText" dxfId="1026" priority="25" operator="containsText" text="Retentor">
      <formula>NOT(ISERROR(SEARCH("Retentor",B5)))</formula>
    </cfRule>
    <cfRule type="containsText" dxfId="1025" priority="26" operator="containsText" text="Motorredutor">
      <formula>NOT(ISERROR(SEARCH("Motorredutor",B5)))</formula>
    </cfRule>
    <cfRule type="containsText" dxfId="1024" priority="27" operator="containsText" text="Redutor">
      <formula>NOT(ISERROR(SEARCH("Redutor",B5)))</formula>
    </cfRule>
    <cfRule type="containsText" dxfId="1023" priority="28" operator="containsText" text="Bomba">
      <formula>NOT(ISERROR(SEARCH("Bomba",B5)))</formula>
    </cfRule>
  </conditionalFormatting>
  <dataValidations count="2">
    <dataValidation type="list" allowBlank="1" showInputMessage="1" showErrorMessage="1" sqref="B5:H93" xr:uid="{EC289544-9203-443C-AF6E-9BAC06540764}">
      <formula1>$J$5:$J$14</formula1>
    </dataValidation>
    <dataValidation type="list" allowBlank="1" showInputMessage="1" showErrorMessage="1" sqref="B94:H95" xr:uid="{23D750FC-5EBC-43F4-BB46-21BCECAC65FB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87CE848-5FF7-4EDC-ABA3-CD4F96622F33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8" operator="containsText" id="{AB3085AB-0013-4AB8-B445-CC3E52ED2690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48" operator="containsText" id="{C555DE35-6DE1-43AA-A3EC-AB4FFAAF02CE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49" operator="containsText" id="{34B082F3-5B0E-4463-BFDA-35B0270F2325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0" operator="containsText" id="{D9145656-1284-4054-81CC-0372D9F2ED2F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1" operator="containsText" id="{6393726A-6A87-44D0-91D2-7EF96692AB01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2" operator="containsText" id="{0B4BC5E8-7F0A-48DB-9629-012F239A7CD5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3" operator="containsText" id="{E15D8E04-4F39-437D-976A-4ACC24D83518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37" operator="containsText" id="{B65E1F20-26E1-40F6-8CCC-A864D1B9273A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18" operator="containsText" id="{27A71CB0-ED8E-47E8-9F69-93754F9A3AAB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AF51618B-1FDA-4589-ACF6-46E9511E9F15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0D6457F5-F3C5-4B74-8271-9C6983890A6C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4" operator="containsText" id="{DCC53CB1-8A0B-452B-A40C-586EF3DF0AD2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5" operator="containsText" id="{51631719-D8B9-4BA1-B541-1140AA19079E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6" operator="containsText" id="{78ED5AA2-DA57-45A5-A902-AE4D92AB82E7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8" operator="containsText" id="{430A3237-BE7F-4FE5-B2CA-2831D9A32FFC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9" operator="containsText" id="{9C4EA444-E57C-4D79-A79F-A09D3E801C95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0" operator="containsText" id="{C417C8AA-0445-46F5-9667-023D1B032EDD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1" operator="containsText" id="{3D1C9C6A-0054-4982-A70C-0D700086C00A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633E9A75-5D7B-4149-A21A-E39E41E24EBB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3" operator="containsText" id="{B7667180-E965-4875-8293-A489DEA0830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4" operator="containsText" id="{7C178EE8-BF2F-405B-9266-FB4D8A9C8C20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5" operator="containsText" id="{C90452EC-5813-4B75-835E-95702686F58D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6" operator="containsText" id="{EF3771B7-2133-42EB-8C94-C5AE0AFF520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7" operator="containsText" id="{9B3EA8BC-A3E9-48A4-8D6D-EC2A06CD10DE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19" operator="containsText" id="{25D2AC47-6227-4CB5-A914-9ADCBF8C92E6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9" operator="containsText" id="{2A9EC799-0CBB-48C7-8CDC-460A354EF6C8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0" operator="containsText" id="{0B8E1A80-48B0-448D-AE97-96A94D28F968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1" operator="containsText" id="{51EBBFC3-232C-433B-B5D7-24BBB23D8467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EBB73862-8D1F-4BFF-B998-83C8E8071577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3" operator="containsText" id="{0DEC272C-6D72-4DB5-97F6-CA232CF281C9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4" operator="containsText" id="{63EBCE4F-D943-4119-B840-274D8ABE9FFA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7" operator="containsText" id="{4DC2BF59-B30B-48F6-BF06-9A8B228F347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2BF9-1AC6-4F88-AF72-AAF3B407C7B1}">
  <sheetPr>
    <tabColor rgb="FF92D050"/>
    <pageSetUpPr fitToPage="1"/>
  </sheetPr>
  <dimension ref="A1:P93"/>
  <sheetViews>
    <sheetView showGridLines="0" topLeftCell="F1" zoomScaleNormal="100" workbookViewId="0">
      <pane ySplit="4" topLeftCell="A5" activePane="bottomLeft" state="frozen"/>
      <selection pane="bottomLeft" activeCell="J7" sqref="J7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106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44627</v>
      </c>
      <c r="C3" s="11">
        <f t="shared" ref="C3:H3" si="0">B3+1</f>
        <v>44628</v>
      </c>
      <c r="D3" s="11">
        <f t="shared" si="0"/>
        <v>44629</v>
      </c>
      <c r="E3" s="11">
        <f t="shared" si="0"/>
        <v>44630</v>
      </c>
      <c r="F3" s="11">
        <f t="shared" si="0"/>
        <v>44631</v>
      </c>
      <c r="G3" s="11">
        <f t="shared" si="0"/>
        <v>44632</v>
      </c>
      <c r="H3" s="12">
        <f t="shared" si="0"/>
        <v>44633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 t="s">
        <v>23</v>
      </c>
      <c r="D5" s="8"/>
      <c r="E5" s="8"/>
      <c r="F5" s="8"/>
      <c r="G5" s="8"/>
      <c r="H5" s="8"/>
      <c r="J5" s="20" t="s">
        <v>5</v>
      </c>
      <c r="K5" s="40">
        <f>COUNTIF($B$5:$H$93,J5)</f>
        <v>5</v>
      </c>
      <c r="L5" s="48">
        <f t="shared" ref="L5:L15" si="2">K5/$K$16</f>
        <v>0.26315789473684209</v>
      </c>
    </row>
    <row r="6" spans="1:16">
      <c r="A6" s="6" t="s">
        <v>6</v>
      </c>
      <c r="B6" s="9"/>
      <c r="C6" s="9"/>
      <c r="D6" s="9"/>
      <c r="E6" s="9"/>
      <c r="F6" s="9"/>
      <c r="G6" s="9"/>
      <c r="H6" s="9"/>
      <c r="J6" s="21" t="s">
        <v>7</v>
      </c>
      <c r="K6" s="41">
        <f t="shared" ref="K6:K13" si="3">COUNTIF($B$5:$H$93,J6)</f>
        <v>2</v>
      </c>
      <c r="L6" s="49">
        <f t="shared" si="2"/>
        <v>0.10526315789473684</v>
      </c>
    </row>
    <row r="7" spans="1:16">
      <c r="A7" s="6" t="s">
        <v>8</v>
      </c>
      <c r="B7" s="9"/>
      <c r="C7" s="9"/>
      <c r="D7" s="9"/>
      <c r="E7" s="9"/>
      <c r="F7" s="9" t="s">
        <v>5</v>
      </c>
      <c r="G7" s="9"/>
      <c r="H7" s="9"/>
      <c r="J7" s="22" t="s">
        <v>9</v>
      </c>
      <c r="K7" s="41">
        <f t="shared" si="3"/>
        <v>1</v>
      </c>
      <c r="L7" s="49">
        <f t="shared" si="2"/>
        <v>5.2631578947368418E-2</v>
      </c>
    </row>
    <row r="8" spans="1:16">
      <c r="A8" s="6" t="s">
        <v>10</v>
      </c>
      <c r="B8" s="9"/>
      <c r="C8" s="9"/>
      <c r="D8" s="9" t="s">
        <v>9</v>
      </c>
      <c r="E8" s="9"/>
      <c r="F8" s="9"/>
      <c r="G8" s="9"/>
      <c r="H8" s="9"/>
      <c r="J8" s="23" t="s">
        <v>11</v>
      </c>
      <c r="K8" s="41">
        <f>COUNTIF($B$5:$H$93,J8)</f>
        <v>0</v>
      </c>
      <c r="L8" s="49">
        <f t="shared" si="2"/>
        <v>0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41">
        <f>COUNTIF($B$5:$H$93,J9)</f>
        <v>0</v>
      </c>
      <c r="L9" s="49">
        <f t="shared" si="2"/>
        <v>0</v>
      </c>
      <c r="P9" s="3"/>
    </row>
    <row r="10" spans="1:16">
      <c r="A10" s="6" t="s">
        <v>14</v>
      </c>
      <c r="B10" s="9"/>
      <c r="C10" s="9"/>
      <c r="D10" s="9"/>
      <c r="E10" s="9"/>
      <c r="F10" s="9"/>
      <c r="G10" s="9"/>
      <c r="H10" s="9"/>
      <c r="J10" s="25" t="s">
        <v>105</v>
      </c>
      <c r="K10" s="41">
        <f t="shared" si="3"/>
        <v>2</v>
      </c>
      <c r="L10" s="49">
        <f t="shared" si="2"/>
        <v>0.10526315789473684</v>
      </c>
    </row>
    <row r="11" spans="1:16">
      <c r="A11" s="6" t="s">
        <v>16</v>
      </c>
      <c r="B11" s="9"/>
      <c r="C11" s="9"/>
      <c r="D11" s="9"/>
      <c r="E11" s="9"/>
      <c r="F11" s="9"/>
      <c r="G11" s="9"/>
      <c r="H11" s="9"/>
      <c r="J11" s="26" t="s">
        <v>17</v>
      </c>
      <c r="K11" s="41">
        <f t="shared" si="3"/>
        <v>1</v>
      </c>
      <c r="L11" s="49">
        <f t="shared" si="2"/>
        <v>5.2631578947368418E-2</v>
      </c>
    </row>
    <row r="12" spans="1:16">
      <c r="A12" s="6" t="s">
        <v>18</v>
      </c>
      <c r="B12" s="9"/>
      <c r="C12" s="9"/>
      <c r="D12" s="9"/>
      <c r="E12" s="9"/>
      <c r="F12" s="9"/>
      <c r="G12" s="9"/>
      <c r="H12" s="9"/>
      <c r="J12" s="27" t="s">
        <v>107</v>
      </c>
      <c r="K12" s="41">
        <f t="shared" si="3"/>
        <v>0</v>
      </c>
      <c r="L12" s="49">
        <f t="shared" si="2"/>
        <v>0</v>
      </c>
    </row>
    <row r="13" spans="1:16">
      <c r="A13" s="6" t="s">
        <v>20</v>
      </c>
      <c r="B13" s="9"/>
      <c r="C13" s="9"/>
      <c r="D13" s="9"/>
      <c r="E13" s="9"/>
      <c r="F13" s="9"/>
      <c r="G13" s="9"/>
      <c r="H13" s="9"/>
      <c r="J13" s="28" t="s">
        <v>21</v>
      </c>
      <c r="K13" s="41">
        <f t="shared" si="3"/>
        <v>2</v>
      </c>
      <c r="L13" s="49">
        <f t="shared" si="2"/>
        <v>0.10526315789473684</v>
      </c>
    </row>
    <row r="14" spans="1:16">
      <c r="A14" s="6" t="s">
        <v>22</v>
      </c>
      <c r="B14" s="9"/>
      <c r="C14" s="9"/>
      <c r="D14" s="9"/>
      <c r="E14" s="9"/>
      <c r="F14" s="9"/>
      <c r="G14" s="9"/>
      <c r="H14" s="9"/>
      <c r="J14" s="39" t="s">
        <v>23</v>
      </c>
      <c r="K14" s="41">
        <f>COUNTIF($B$5:$H$93,J14)</f>
        <v>5</v>
      </c>
      <c r="L14" s="49">
        <f t="shared" si="2"/>
        <v>0.26315789473684209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  <c r="J15" s="47" t="s">
        <v>108</v>
      </c>
      <c r="K15" s="50">
        <f>COUNTIF($B$5:$H$93,J15)</f>
        <v>1</v>
      </c>
      <c r="L15" s="51">
        <f t="shared" si="2"/>
        <v>5.2631578947368418E-2</v>
      </c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7" t="s">
        <v>26</v>
      </c>
      <c r="K16" s="1">
        <f>SUM(K5:K15)</f>
        <v>19</v>
      </c>
    </row>
    <row r="17" spans="1:10">
      <c r="A17" s="6" t="s">
        <v>27</v>
      </c>
      <c r="B17" s="9"/>
      <c r="C17" s="9"/>
      <c r="D17" s="9"/>
      <c r="E17" s="9"/>
      <c r="F17" s="9"/>
      <c r="G17" s="9"/>
      <c r="H17" s="9"/>
      <c r="J17" s="7"/>
    </row>
    <row r="18" spans="1:10">
      <c r="A18" s="6" t="s">
        <v>28</v>
      </c>
      <c r="B18" s="9"/>
      <c r="C18" s="9"/>
      <c r="D18" s="9"/>
      <c r="E18" s="9"/>
      <c r="F18" s="9"/>
      <c r="G18" s="9"/>
      <c r="H18" s="9"/>
      <c r="J18" s="7"/>
    </row>
    <row r="19" spans="1:10">
      <c r="A19" s="6" t="s">
        <v>29</v>
      </c>
      <c r="B19" s="9"/>
      <c r="C19" s="9"/>
      <c r="D19" s="9"/>
      <c r="E19" s="9"/>
      <c r="F19" s="9"/>
      <c r="G19" s="9"/>
      <c r="H19" s="9"/>
      <c r="J19" s="7"/>
    </row>
    <row r="20" spans="1:10">
      <c r="A20" s="6" t="s">
        <v>30</v>
      </c>
      <c r="B20" s="9"/>
      <c r="C20" s="9"/>
      <c r="D20" s="9"/>
      <c r="E20" s="9"/>
      <c r="F20" s="9"/>
      <c r="G20" s="9"/>
      <c r="H20" s="9"/>
      <c r="J20" s="7"/>
    </row>
    <row r="21" spans="1:10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0">
      <c r="A22" s="6" t="s">
        <v>32</v>
      </c>
      <c r="B22" s="9"/>
      <c r="C22" s="9"/>
      <c r="D22" s="9"/>
      <c r="E22" s="9"/>
      <c r="F22" s="9"/>
      <c r="G22" s="9"/>
      <c r="H22" s="9"/>
      <c r="J22" s="7"/>
    </row>
    <row r="23" spans="1:10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0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0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0">
      <c r="A26" s="6" t="s">
        <v>36</v>
      </c>
      <c r="B26" s="9"/>
      <c r="C26" s="9"/>
      <c r="D26" s="9"/>
      <c r="E26" s="9"/>
      <c r="F26" s="9"/>
      <c r="G26" s="9"/>
      <c r="H26" s="9"/>
      <c r="J26" s="7"/>
    </row>
    <row r="27" spans="1:10">
      <c r="A27" s="6" t="s">
        <v>37</v>
      </c>
      <c r="B27" s="9"/>
      <c r="C27" s="9"/>
      <c r="D27" s="9"/>
      <c r="E27" s="9"/>
      <c r="F27" s="9"/>
      <c r="G27" s="9" t="s">
        <v>7</v>
      </c>
      <c r="H27" s="9"/>
      <c r="J27" s="7"/>
    </row>
    <row r="28" spans="1:10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0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0">
      <c r="A30" s="6" t="s">
        <v>40</v>
      </c>
      <c r="B30" s="9"/>
      <c r="C30" s="9" t="s">
        <v>23</v>
      </c>
      <c r="D30" s="9" t="s">
        <v>23</v>
      </c>
      <c r="E30" s="9"/>
      <c r="F30" s="9"/>
      <c r="G30" s="9" t="s">
        <v>5</v>
      </c>
      <c r="H30" s="9"/>
    </row>
    <row r="31" spans="1:10">
      <c r="A31" s="6" t="s">
        <v>41</v>
      </c>
      <c r="B31" s="9"/>
      <c r="C31" s="9" t="s">
        <v>108</v>
      </c>
      <c r="D31" s="9"/>
      <c r="E31" s="9"/>
      <c r="F31" s="9"/>
      <c r="G31" s="9"/>
      <c r="H31" s="9"/>
    </row>
    <row r="32" spans="1:10">
      <c r="A32" s="6" t="s">
        <v>42</v>
      </c>
      <c r="B32" s="9"/>
      <c r="C32" s="9"/>
      <c r="D32" s="9"/>
      <c r="E32" s="9" t="s">
        <v>5</v>
      </c>
      <c r="F32" s="9"/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/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 t="s">
        <v>17</v>
      </c>
      <c r="F35" s="9"/>
      <c r="G35" s="9"/>
      <c r="H35" s="9"/>
    </row>
    <row r="36" spans="1:8">
      <c r="A36" s="6" t="s">
        <v>46</v>
      </c>
      <c r="B36" s="9"/>
      <c r="C36" s="9"/>
      <c r="D36" s="9"/>
      <c r="E36" s="9"/>
      <c r="F36" s="9"/>
      <c r="G36" s="9"/>
      <c r="H36" s="9"/>
    </row>
    <row r="37" spans="1:8">
      <c r="A37" s="6" t="s">
        <v>47</v>
      </c>
      <c r="B37" s="9" t="s">
        <v>105</v>
      </c>
      <c r="C37" s="9"/>
      <c r="D37" s="9"/>
      <c r="E37" s="9"/>
      <c r="F37" s="9"/>
      <c r="G37" s="9"/>
      <c r="H37" s="9"/>
    </row>
    <row r="38" spans="1:8">
      <c r="A38" s="6" t="s">
        <v>48</v>
      </c>
      <c r="B38" s="9"/>
      <c r="C38" s="9"/>
      <c r="D38" s="9"/>
      <c r="E38" s="9"/>
      <c r="F38" s="9"/>
      <c r="G38" s="9"/>
      <c r="H38" s="9"/>
    </row>
    <row r="39" spans="1:8">
      <c r="A39" s="6" t="s">
        <v>49</v>
      </c>
      <c r="B39" s="9"/>
      <c r="C39" s="9"/>
      <c r="D39" s="9"/>
      <c r="E39" s="9"/>
      <c r="F39" s="9"/>
      <c r="G39" s="9"/>
      <c r="H39" s="9"/>
    </row>
    <row r="40" spans="1:8">
      <c r="A40" s="6" t="s">
        <v>50</v>
      </c>
      <c r="B40" s="9"/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 t="s">
        <v>5</v>
      </c>
      <c r="G44" s="9"/>
      <c r="H44" s="9"/>
    </row>
    <row r="45" spans="1:8">
      <c r="A45" s="6" t="s">
        <v>55</v>
      </c>
      <c r="B45" s="9"/>
      <c r="C45" s="9"/>
      <c r="D45" s="9"/>
      <c r="E45" s="9"/>
      <c r="F45" s="9" t="s">
        <v>5</v>
      </c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/>
      <c r="C52" s="9"/>
      <c r="D52" s="9"/>
      <c r="E52" s="9"/>
      <c r="F52" s="9"/>
      <c r="G52" s="9"/>
      <c r="H52" s="9"/>
    </row>
    <row r="53" spans="1:8">
      <c r="A53" s="6" t="s">
        <v>63</v>
      </c>
      <c r="B53" s="9"/>
      <c r="C53" s="9"/>
      <c r="D53" s="9"/>
      <c r="E53" s="9" t="s">
        <v>21</v>
      </c>
      <c r="F53" s="9"/>
      <c r="G53" s="9"/>
      <c r="H53" s="9"/>
    </row>
    <row r="54" spans="1:8">
      <c r="A54" s="6" t="s">
        <v>64</v>
      </c>
      <c r="B54" s="9"/>
      <c r="C54" s="9"/>
      <c r="D54" s="9"/>
      <c r="E54" s="9"/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/>
      <c r="F57" s="9"/>
      <c r="G57" s="9"/>
      <c r="H57" s="9"/>
    </row>
    <row r="58" spans="1:8">
      <c r="A58" s="6" t="s">
        <v>68</v>
      </c>
      <c r="B58" s="9"/>
      <c r="C58" s="9"/>
      <c r="D58" s="9"/>
      <c r="E58" s="9"/>
      <c r="F58" s="9"/>
      <c r="G58" s="9"/>
      <c r="H58" s="9"/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/>
      <c r="H61" s="9"/>
    </row>
    <row r="62" spans="1:8">
      <c r="A62" s="6" t="s">
        <v>72</v>
      </c>
      <c r="B62" s="9"/>
      <c r="C62" s="9" t="s">
        <v>105</v>
      </c>
      <c r="D62" s="9"/>
      <c r="E62" s="9" t="s">
        <v>21</v>
      </c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 t="s">
        <v>7</v>
      </c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/>
      <c r="C75" s="9"/>
      <c r="D75" s="9" t="s">
        <v>23</v>
      </c>
      <c r="E75" s="9" t="s">
        <v>23</v>
      </c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/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989" priority="40" operator="containsText" text="Pulverização">
      <formula>NOT(ISERROR(SEARCH("Pulverização",B94)))</formula>
    </cfRule>
    <cfRule type="cellIs" dxfId="988" priority="41" operator="greaterThan">
      <formula>$J$5</formula>
    </cfRule>
    <cfRule type="containsText" dxfId="987" priority="42" operator="containsText" text="Cardã">
      <formula>NOT(ISERROR(SEARCH("Cardã",B94)))</formula>
    </cfRule>
    <cfRule type="containsText" dxfId="986" priority="43" operator="containsText" text="Pneu">
      <formula>NOT(ISERROR(SEARCH("Pneu",B94)))</formula>
    </cfRule>
    <cfRule type="containsText" dxfId="985" priority="44" operator="containsText" text="Vedação">
      <formula>NOT(ISERROR(SEARCH("Vedação",B94)))</formula>
    </cfRule>
    <cfRule type="containsText" dxfId="984" priority="45" operator="containsText" text="Retentor">
      <formula>NOT(ISERROR(SEARCH("Retentor",B94)))</formula>
    </cfRule>
    <cfRule type="containsText" dxfId="983" priority="46" operator="containsText" text="Motorredutor">
      <formula>NOT(ISERROR(SEARCH("Motorredutor",B94)))</formula>
    </cfRule>
    <cfRule type="containsText" dxfId="982" priority="47" operator="containsText" text="Redutor">
      <formula>NOT(ISERROR(SEARCH("Redutor",B94)))</formula>
    </cfRule>
    <cfRule type="containsText" dxfId="981" priority="48" operator="containsText" text="Bomba">
      <formula>NOT(ISERROR(SEARCH("Bomba",B94)))</formula>
    </cfRule>
  </conditionalFormatting>
  <conditionalFormatting sqref="A1:A1048576">
    <cfRule type="containsText" dxfId="980" priority="36" operator="containsText" text="Pivô">
      <formula>NOT(ISERROR(SEARCH("Pivô",A1)))</formula>
    </cfRule>
    <cfRule type="containsText" dxfId="979" priority="37" operator="containsText" text="Pivô">
      <formula>NOT(ISERROR(SEARCH("Pivô",A1)))</formula>
    </cfRule>
  </conditionalFormatting>
  <conditionalFormatting sqref="B5:H93">
    <cfRule type="containsText" dxfId="978" priority="21" operator="containsText" text="Pulverização">
      <formula>NOT(ISERROR(SEARCH("Pulverização",B5)))</formula>
    </cfRule>
    <cfRule type="cellIs" dxfId="977" priority="22" operator="greaterThan">
      <formula>$J$5</formula>
    </cfRule>
    <cfRule type="containsText" dxfId="976" priority="23" operator="containsText" text="Cardã">
      <formula>NOT(ISERROR(SEARCH("Cardã",B5)))</formula>
    </cfRule>
    <cfRule type="containsText" dxfId="975" priority="24" operator="containsText" text="Pneu">
      <formula>NOT(ISERROR(SEARCH("Pneu",B5)))</formula>
    </cfRule>
    <cfRule type="containsText" dxfId="974" priority="25" operator="containsText" text="Vedação">
      <formula>NOT(ISERROR(SEARCH("Vedação",B5)))</formula>
    </cfRule>
    <cfRule type="containsText" dxfId="973" priority="26" operator="containsText" text="Retentor">
      <formula>NOT(ISERROR(SEARCH("Retentor",B5)))</formula>
    </cfRule>
    <cfRule type="containsText" dxfId="972" priority="27" operator="containsText" text="Motorredutor">
      <formula>NOT(ISERROR(SEARCH("Motorredutor",B5)))</formula>
    </cfRule>
    <cfRule type="containsText" dxfId="971" priority="28" operator="containsText" text="Redutor">
      <formula>NOT(ISERROR(SEARCH("Redutor",B5)))</formula>
    </cfRule>
    <cfRule type="containsText" dxfId="970" priority="29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9BFCF697-BA4D-4229-AF63-2BFB0B0762B5}">
      <formula1>$J$5:$J$11</formula1>
    </dataValidation>
    <dataValidation type="list" allowBlank="1" showInputMessage="1" showErrorMessage="1" sqref="B5:H93" xr:uid="{B6408370-4883-4186-96EA-17B226F77239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175AED1-329B-485C-A412-9F90CE691EA1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89BE2978-8EA3-43A4-9499-86CB367BA5FA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9" operator="containsText" id="{BA61A71A-6949-453F-B001-1576B2010E52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49" operator="containsText" id="{846F0E1C-F3F6-4857-BCF3-4ECE84CAE990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0" operator="containsText" id="{CA775903-3EDA-49F5-80D2-05B24A4C4053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1" operator="containsText" id="{30F4D858-C2BA-4247-BCA9-89225D1A4827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2" operator="containsText" id="{DC72AEF8-DA76-499B-B038-DD13ADBFED4A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3" operator="containsText" id="{B2A70689-01F2-4441-8C09-B7BBBA5945DD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4" operator="containsText" id="{C4E8D9EA-B0EE-47BC-89A8-46BB46E1AD68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38" operator="containsText" id="{08E2D731-9DC9-49E0-B69C-2594AADF374B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19" operator="containsText" id="{E6157693-F8C6-4558-B462-9143393B70B6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AB64A9AF-64D4-4BB1-B155-CA8400F121DD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" operator="containsText" id="{32C46DAA-A7DE-4DBF-A89E-7C39BEADED94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5" operator="containsText" id="{3E9054A0-4937-434D-94B7-25168FCDF1EC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6" operator="containsText" id="{A3D4AF7B-273D-4300-8D94-6ED22F01C286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7" operator="containsText" id="{24BFD47A-38DF-4AA4-B2CE-3E08A4EB3A74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9" operator="containsText" id="{307900D7-5515-4DAD-82D5-F1A202E607A4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0" operator="containsText" id="{352B1CD8-0603-497A-ABF5-FFC44871F796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1" operator="containsText" id="{BB0DBB45-703C-4E73-855A-CF8C1F8E8D25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A3DBEFC3-D21A-46B4-8736-D991F1BD2F01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9D8641E2-DB98-4147-96CD-3E47541D9FB6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4" operator="containsText" id="{F3706B04-BD07-47C0-A72E-1B5777DF8135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5" operator="containsText" id="{4B1652F6-E080-4F2A-B7F8-230AE9CE3E13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6" operator="containsText" id="{D5A68876-7EEA-4467-8F3E-E5515E497930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7" operator="containsText" id="{9634879F-F1AC-4716-BC6C-9C6C695159F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8" operator="containsText" id="{D0B35B01-3143-4BD8-B413-CDB84474DA0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0" operator="containsText" id="{A8DD1ECC-AF71-43F5-A93B-7FA706739ADD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0" operator="containsText" id="{E396B483-0410-4142-A223-F292F8CD6A09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B3E6DA88-7868-4890-94AD-246B68A2ADA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9ED4A329-A840-49E7-827E-49134834FD38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0EBA8E5D-B5C2-41E7-B3B0-819B379AC0CE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33F8FF41-0794-467B-9A12-BD16C12FE979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6B5B7F64-39C6-496C-BB66-94EAA67B8D2E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8" operator="containsText" id="{9393B19A-9B84-4F51-96C8-7FF95597CDDB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82B0-2999-4198-B125-6C2C8622748A}">
  <sheetPr>
    <tabColor rgb="FF92D050"/>
    <pageSetUpPr fitToPage="1"/>
  </sheetPr>
  <dimension ref="A1:P93"/>
  <sheetViews>
    <sheetView showGridLines="0" topLeftCell="D1" zoomScaleNormal="100" workbookViewId="0">
      <pane ySplit="4" topLeftCell="A5" activePane="bottomLeft" state="frozen"/>
      <selection pane="bottomLeft" activeCell="J7" sqref="J7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109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44634</v>
      </c>
      <c r="C3" s="11">
        <f t="shared" ref="C3:H3" si="0">B3+1</f>
        <v>44635</v>
      </c>
      <c r="D3" s="11">
        <f t="shared" si="0"/>
        <v>44636</v>
      </c>
      <c r="E3" s="11">
        <f t="shared" si="0"/>
        <v>44637</v>
      </c>
      <c r="F3" s="11">
        <f t="shared" si="0"/>
        <v>44638</v>
      </c>
      <c r="G3" s="11">
        <f t="shared" si="0"/>
        <v>44639</v>
      </c>
      <c r="H3" s="12">
        <f t="shared" si="0"/>
        <v>44640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/>
      <c r="D5" s="8"/>
      <c r="E5" s="8"/>
      <c r="F5" s="8"/>
      <c r="G5" s="8"/>
      <c r="H5" s="8"/>
      <c r="J5" s="20" t="s">
        <v>5</v>
      </c>
      <c r="K5" s="40">
        <f>COUNTIF($B$5:$H$93,J5)</f>
        <v>3</v>
      </c>
      <c r="L5" s="48">
        <f t="shared" ref="L5:L15" si="2">K5/$K$16</f>
        <v>0.375</v>
      </c>
    </row>
    <row r="6" spans="1:16">
      <c r="A6" s="6" t="s">
        <v>6</v>
      </c>
      <c r="B6" s="9"/>
      <c r="C6" s="9"/>
      <c r="D6" s="9"/>
      <c r="E6" s="9"/>
      <c r="F6" s="9"/>
      <c r="G6" s="9"/>
      <c r="H6" s="9"/>
      <c r="J6" s="21" t="s">
        <v>7</v>
      </c>
      <c r="K6" s="41">
        <f t="shared" ref="K6:K13" si="3">COUNTIF($B$5:$H$93,J6)</f>
        <v>1</v>
      </c>
      <c r="L6" s="49">
        <f t="shared" si="2"/>
        <v>0.125</v>
      </c>
    </row>
    <row r="7" spans="1:16">
      <c r="A7" s="6" t="s">
        <v>8</v>
      </c>
      <c r="B7" s="9"/>
      <c r="C7" s="9"/>
      <c r="D7" s="9"/>
      <c r="E7" s="9"/>
      <c r="F7" s="9"/>
      <c r="G7" s="9" t="s">
        <v>7</v>
      </c>
      <c r="H7" s="9"/>
      <c r="J7" s="22" t="s">
        <v>9</v>
      </c>
      <c r="K7" s="41">
        <f t="shared" si="3"/>
        <v>0</v>
      </c>
      <c r="L7" s="49">
        <f t="shared" si="2"/>
        <v>0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41">
        <f>COUNTIF($B$5:$H$93,J8)</f>
        <v>0</v>
      </c>
      <c r="L8" s="49">
        <f t="shared" si="2"/>
        <v>0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41">
        <f>COUNTIF($B$5:$H$93,J9)</f>
        <v>0</v>
      </c>
      <c r="L9" s="49">
        <f t="shared" si="2"/>
        <v>0</v>
      </c>
      <c r="P9" s="3"/>
    </row>
    <row r="10" spans="1:16">
      <c r="A10" s="6" t="s">
        <v>14</v>
      </c>
      <c r="B10" s="9"/>
      <c r="C10" s="9"/>
      <c r="D10" s="9"/>
      <c r="E10" s="9"/>
      <c r="F10" s="9"/>
      <c r="G10" s="9"/>
      <c r="H10" s="9"/>
      <c r="J10" s="25" t="s">
        <v>105</v>
      </c>
      <c r="K10" s="41">
        <f t="shared" si="3"/>
        <v>1</v>
      </c>
      <c r="L10" s="49">
        <f t="shared" si="2"/>
        <v>0.125</v>
      </c>
    </row>
    <row r="11" spans="1:16">
      <c r="A11" s="6" t="s">
        <v>16</v>
      </c>
      <c r="B11" s="9"/>
      <c r="C11" s="9"/>
      <c r="D11" s="9"/>
      <c r="E11" s="9"/>
      <c r="F11" s="9"/>
      <c r="G11" s="9"/>
      <c r="H11" s="9"/>
      <c r="J11" s="26" t="s">
        <v>17</v>
      </c>
      <c r="K11" s="41">
        <f t="shared" si="3"/>
        <v>0</v>
      </c>
      <c r="L11" s="49">
        <f t="shared" si="2"/>
        <v>0</v>
      </c>
    </row>
    <row r="12" spans="1:16">
      <c r="A12" s="6" t="s">
        <v>18</v>
      </c>
      <c r="B12" s="9"/>
      <c r="C12" s="9"/>
      <c r="D12" s="9"/>
      <c r="E12" s="9"/>
      <c r="F12" s="9"/>
      <c r="G12" s="9"/>
      <c r="H12" s="9"/>
      <c r="J12" s="27" t="s">
        <v>107</v>
      </c>
      <c r="K12" s="41">
        <f t="shared" si="3"/>
        <v>0</v>
      </c>
      <c r="L12" s="49">
        <f t="shared" si="2"/>
        <v>0</v>
      </c>
    </row>
    <row r="13" spans="1:16">
      <c r="A13" s="6" t="s">
        <v>20</v>
      </c>
      <c r="B13" s="9"/>
      <c r="C13" s="9"/>
      <c r="D13" s="9"/>
      <c r="E13" s="9"/>
      <c r="F13" s="9"/>
      <c r="G13" s="9"/>
      <c r="H13" s="9"/>
      <c r="J13" s="28" t="s">
        <v>21</v>
      </c>
      <c r="K13" s="41">
        <f t="shared" si="3"/>
        <v>2</v>
      </c>
      <c r="L13" s="49">
        <f t="shared" si="2"/>
        <v>0.25</v>
      </c>
    </row>
    <row r="14" spans="1:16">
      <c r="A14" s="6" t="s">
        <v>22</v>
      </c>
      <c r="B14" s="9"/>
      <c r="C14" s="9"/>
      <c r="D14" s="9"/>
      <c r="E14" s="9"/>
      <c r="F14" s="9"/>
      <c r="G14" s="9"/>
      <c r="H14" s="9"/>
      <c r="J14" s="39" t="s">
        <v>23</v>
      </c>
      <c r="K14" s="41">
        <f>COUNTIF($B$5:$H$93,J14)</f>
        <v>1</v>
      </c>
      <c r="L14" s="49">
        <f t="shared" si="2"/>
        <v>0.125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  <c r="J15" s="47" t="s">
        <v>108</v>
      </c>
      <c r="K15" s="50">
        <f>COUNTIF($B$5:$H$93,J15)</f>
        <v>0</v>
      </c>
      <c r="L15" s="51">
        <f t="shared" si="2"/>
        <v>0</v>
      </c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7" t="s">
        <v>26</v>
      </c>
      <c r="K16" s="1">
        <f>SUM(K5:K15)</f>
        <v>8</v>
      </c>
    </row>
    <row r="17" spans="1:10">
      <c r="A17" s="6" t="s">
        <v>27</v>
      </c>
      <c r="B17" s="9"/>
      <c r="C17" s="9"/>
      <c r="D17" s="9"/>
      <c r="E17" s="9"/>
      <c r="F17" s="9"/>
      <c r="G17" s="9"/>
      <c r="H17" s="9"/>
      <c r="J17" s="7"/>
    </row>
    <row r="18" spans="1:10">
      <c r="A18" s="6" t="s">
        <v>28</v>
      </c>
      <c r="B18" s="9"/>
      <c r="C18" s="9"/>
      <c r="D18" s="9"/>
      <c r="E18" s="9"/>
      <c r="F18" s="9"/>
      <c r="G18" s="9"/>
      <c r="H18" s="9"/>
      <c r="J18" s="7"/>
    </row>
    <row r="19" spans="1:10">
      <c r="A19" s="6" t="s">
        <v>29</v>
      </c>
      <c r="B19" s="9"/>
      <c r="C19" s="9"/>
      <c r="D19" s="9"/>
      <c r="E19" s="9"/>
      <c r="F19" s="9"/>
      <c r="G19" s="9"/>
      <c r="H19" s="9"/>
      <c r="J19" s="7"/>
    </row>
    <row r="20" spans="1:10">
      <c r="A20" s="6" t="s">
        <v>30</v>
      </c>
      <c r="B20" s="9"/>
      <c r="C20" s="9"/>
      <c r="D20" s="9"/>
      <c r="E20" s="9"/>
      <c r="F20" s="9"/>
      <c r="G20" s="9"/>
      <c r="H20" s="9"/>
      <c r="J20" s="7"/>
    </row>
    <row r="21" spans="1:10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0">
      <c r="A22" s="6" t="s">
        <v>32</v>
      </c>
      <c r="B22" s="9"/>
      <c r="C22" s="9"/>
      <c r="D22" s="9" t="s">
        <v>5</v>
      </c>
      <c r="E22" s="9"/>
      <c r="F22" s="9"/>
      <c r="G22" s="9"/>
      <c r="H22" s="9"/>
      <c r="J22" s="7"/>
    </row>
    <row r="23" spans="1:10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0">
      <c r="A24" s="6" t="s">
        <v>34</v>
      </c>
      <c r="B24" s="9"/>
      <c r="C24" s="9"/>
      <c r="D24" s="9" t="s">
        <v>5</v>
      </c>
      <c r="E24" s="9"/>
      <c r="F24" s="9"/>
      <c r="G24" s="9"/>
      <c r="H24" s="9"/>
      <c r="J24" s="7"/>
    </row>
    <row r="25" spans="1:10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0">
      <c r="A26" s="6" t="s">
        <v>36</v>
      </c>
      <c r="B26" s="9"/>
      <c r="C26" s="9"/>
      <c r="D26" s="9"/>
      <c r="E26" s="9" t="s">
        <v>21</v>
      </c>
      <c r="F26" s="9"/>
      <c r="G26" s="9"/>
      <c r="H26" s="9"/>
      <c r="J26" s="7"/>
    </row>
    <row r="27" spans="1:10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0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0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0">
      <c r="A30" s="6" t="s">
        <v>40</v>
      </c>
      <c r="B30" s="9"/>
      <c r="C30" s="9"/>
      <c r="D30" s="9"/>
      <c r="E30" s="9"/>
      <c r="F30" s="9"/>
      <c r="G30" s="9"/>
      <c r="H30" s="9"/>
    </row>
    <row r="31" spans="1:10">
      <c r="A31" s="6" t="s">
        <v>41</v>
      </c>
      <c r="B31" s="9"/>
      <c r="C31" s="9"/>
      <c r="D31" s="9"/>
      <c r="E31" s="9"/>
      <c r="F31" s="9"/>
      <c r="G31" s="9"/>
      <c r="H31" s="9"/>
    </row>
    <row r="32" spans="1:10">
      <c r="A32" s="6" t="s">
        <v>42</v>
      </c>
      <c r="B32" s="9"/>
      <c r="C32" s="9"/>
      <c r="D32" s="9"/>
      <c r="E32" s="9"/>
      <c r="F32" s="9"/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 t="s">
        <v>23</v>
      </c>
      <c r="C34" s="9"/>
      <c r="D34" s="9"/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/>
      <c r="F35" s="9"/>
      <c r="G35" s="9"/>
      <c r="H35" s="9"/>
    </row>
    <row r="36" spans="1:8">
      <c r="A36" s="6" t="s">
        <v>46</v>
      </c>
      <c r="B36" s="9"/>
      <c r="C36" s="9"/>
      <c r="D36" s="9"/>
      <c r="E36" s="9"/>
      <c r="F36" s="9"/>
      <c r="G36" s="9"/>
      <c r="H36" s="9"/>
    </row>
    <row r="37" spans="1:8">
      <c r="A37" s="6" t="s">
        <v>47</v>
      </c>
      <c r="B37" s="9"/>
      <c r="C37" s="9"/>
      <c r="D37" s="9"/>
      <c r="E37" s="9"/>
      <c r="F37" s="9"/>
      <c r="G37" s="9"/>
      <c r="H37" s="9"/>
    </row>
    <row r="38" spans="1:8">
      <c r="A38" s="6" t="s">
        <v>48</v>
      </c>
      <c r="B38" s="9"/>
      <c r="C38" s="9"/>
      <c r="D38" s="9"/>
      <c r="E38" s="9"/>
      <c r="F38" s="9"/>
      <c r="G38" s="9"/>
      <c r="H38" s="9"/>
    </row>
    <row r="39" spans="1:8">
      <c r="A39" s="6" t="s">
        <v>49</v>
      </c>
      <c r="B39" s="9"/>
      <c r="C39" s="9"/>
      <c r="D39" s="9"/>
      <c r="E39" s="9"/>
      <c r="F39" s="9"/>
      <c r="G39" s="9"/>
      <c r="H39" s="9"/>
    </row>
    <row r="40" spans="1:8">
      <c r="A40" s="6" t="s">
        <v>50</v>
      </c>
      <c r="B40" s="9"/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/>
      <c r="G44" s="9"/>
      <c r="H44" s="9"/>
    </row>
    <row r="45" spans="1:8">
      <c r="A45" s="6" t="s">
        <v>55</v>
      </c>
      <c r="B45" s="9"/>
      <c r="C45" s="9"/>
      <c r="D45" s="9"/>
      <c r="E45" s="9"/>
      <c r="F45" s="9"/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 t="s">
        <v>5</v>
      </c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 t="s">
        <v>21</v>
      </c>
      <c r="D51" s="9"/>
      <c r="E51" s="9"/>
      <c r="F51" s="9"/>
      <c r="G51" s="9"/>
      <c r="H51" s="9"/>
    </row>
    <row r="52" spans="1:8">
      <c r="A52" s="6" t="s">
        <v>62</v>
      </c>
      <c r="B52" s="9"/>
      <c r="C52" s="9"/>
      <c r="D52" s="9"/>
      <c r="E52" s="9"/>
      <c r="F52" s="9"/>
      <c r="G52" s="9"/>
      <c r="H52" s="9"/>
    </row>
    <row r="53" spans="1:8">
      <c r="A53" s="6" t="s">
        <v>63</v>
      </c>
      <c r="B53" s="9"/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/>
      <c r="D54" s="9"/>
      <c r="E54" s="9"/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/>
      <c r="F57" s="9"/>
      <c r="G57" s="9"/>
      <c r="H57" s="9"/>
    </row>
    <row r="58" spans="1:8">
      <c r="A58" s="6" t="s">
        <v>68</v>
      </c>
      <c r="B58" s="9"/>
      <c r="C58" s="9"/>
      <c r="D58" s="9"/>
      <c r="E58" s="9"/>
      <c r="F58" s="9"/>
      <c r="G58" s="9"/>
      <c r="H58" s="9"/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/>
      <c r="H61" s="9"/>
    </row>
    <row r="62" spans="1:8">
      <c r="A62" s="6" t="s">
        <v>72</v>
      </c>
      <c r="B62" s="9"/>
      <c r="C62" s="9"/>
      <c r="D62" s="9"/>
      <c r="E62" s="9"/>
      <c r="F62" s="9"/>
      <c r="G62" s="9" t="s">
        <v>105</v>
      </c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/>
      <c r="C75" s="9"/>
      <c r="D75" s="9"/>
      <c r="E75" s="9"/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/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935" priority="40" operator="containsText" text="Pulverização">
      <formula>NOT(ISERROR(SEARCH("Pulverização",B94)))</formula>
    </cfRule>
    <cfRule type="cellIs" dxfId="934" priority="41" operator="greaterThan">
      <formula>$J$5</formula>
    </cfRule>
    <cfRule type="containsText" dxfId="933" priority="42" operator="containsText" text="Cardã">
      <formula>NOT(ISERROR(SEARCH("Cardã",B94)))</formula>
    </cfRule>
    <cfRule type="containsText" dxfId="932" priority="43" operator="containsText" text="Pneu">
      <formula>NOT(ISERROR(SEARCH("Pneu",B94)))</formula>
    </cfRule>
    <cfRule type="containsText" dxfId="931" priority="44" operator="containsText" text="Vedação">
      <formula>NOT(ISERROR(SEARCH("Vedação",B94)))</formula>
    </cfRule>
    <cfRule type="containsText" dxfId="930" priority="45" operator="containsText" text="Retentor">
      <formula>NOT(ISERROR(SEARCH("Retentor",B94)))</formula>
    </cfRule>
    <cfRule type="containsText" dxfId="929" priority="46" operator="containsText" text="Motorredutor">
      <formula>NOT(ISERROR(SEARCH("Motorredutor",B94)))</formula>
    </cfRule>
    <cfRule type="containsText" dxfId="928" priority="47" operator="containsText" text="Redutor">
      <formula>NOT(ISERROR(SEARCH("Redutor",B94)))</formula>
    </cfRule>
    <cfRule type="containsText" dxfId="927" priority="48" operator="containsText" text="Bomba">
      <formula>NOT(ISERROR(SEARCH("Bomba",B94)))</formula>
    </cfRule>
  </conditionalFormatting>
  <conditionalFormatting sqref="A1:A1048576">
    <cfRule type="containsText" dxfId="926" priority="36" operator="containsText" text="Pivô">
      <formula>NOT(ISERROR(SEARCH("Pivô",A1)))</formula>
    </cfRule>
    <cfRule type="containsText" dxfId="925" priority="37" operator="containsText" text="Pivô">
      <formula>NOT(ISERROR(SEARCH("Pivô",A1)))</formula>
    </cfRule>
  </conditionalFormatting>
  <conditionalFormatting sqref="B5:H93">
    <cfRule type="containsText" dxfId="924" priority="21" operator="containsText" text="Pulverização">
      <formula>NOT(ISERROR(SEARCH("Pulverização",B5)))</formula>
    </cfRule>
    <cfRule type="cellIs" dxfId="923" priority="22" operator="greaterThan">
      <formula>$J$5</formula>
    </cfRule>
    <cfRule type="containsText" dxfId="922" priority="23" operator="containsText" text="Cardã">
      <formula>NOT(ISERROR(SEARCH("Cardã",B5)))</formula>
    </cfRule>
    <cfRule type="containsText" dxfId="921" priority="24" operator="containsText" text="Pneu">
      <formula>NOT(ISERROR(SEARCH("Pneu",B5)))</formula>
    </cfRule>
    <cfRule type="containsText" dxfId="920" priority="25" operator="containsText" text="Vedação">
      <formula>NOT(ISERROR(SEARCH("Vedação",B5)))</formula>
    </cfRule>
    <cfRule type="containsText" dxfId="919" priority="26" operator="containsText" text="Retentor">
      <formula>NOT(ISERROR(SEARCH("Retentor",B5)))</formula>
    </cfRule>
    <cfRule type="containsText" dxfId="918" priority="27" operator="containsText" text="Motorredutor">
      <formula>NOT(ISERROR(SEARCH("Motorredutor",B5)))</formula>
    </cfRule>
    <cfRule type="containsText" dxfId="917" priority="28" operator="containsText" text="Redutor">
      <formula>NOT(ISERROR(SEARCH("Redutor",B5)))</formula>
    </cfRule>
    <cfRule type="containsText" dxfId="916" priority="29" operator="containsText" text="Bomba">
      <formula>NOT(ISERROR(SEARCH("Bomba",B5)))</formula>
    </cfRule>
  </conditionalFormatting>
  <dataValidations count="2">
    <dataValidation type="list" allowBlank="1" showInputMessage="1" showErrorMessage="1" sqref="B5:H93" xr:uid="{EEBBC3FE-10C1-439A-9FD3-62B506A47E78}">
      <formula1>$J$5:$J$15</formula1>
    </dataValidation>
    <dataValidation type="list" allowBlank="1" showInputMessage="1" showErrorMessage="1" sqref="B94:H95" xr:uid="{1D18D249-4D63-4C5E-BC65-13765E473DA7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2458FC6-7060-4150-9939-7DD28387CD66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18ED6CDD-3C8C-4AFC-9C75-600338CEE70D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9" operator="containsText" id="{366F5D6F-A2F9-44A9-AAD0-4D4A12A13BB0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49" operator="containsText" id="{1CA69CC2-7D60-415A-AAEB-18FCE77A1C33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0" operator="containsText" id="{4D9D0644-AB27-4546-856A-5E408815F9F3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1" operator="containsText" id="{4914A09A-1C3D-4797-B00A-7DEFC1815B5B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2" operator="containsText" id="{41882A89-8FA7-47B6-B8E5-0BE23AA99D10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3" operator="containsText" id="{93E3E06D-2B64-4C1A-B0B5-9C930CD3F373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4" operator="containsText" id="{FE013884-AFF8-48E0-BD9B-3B37E13ADCB0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38" operator="containsText" id="{FF6AC560-2EB3-4F46-86BF-A68F6A5734CD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19" operator="containsText" id="{2AF51192-64FB-477C-91E4-0E3F26A7837C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5EBE515F-3EB4-46C7-B597-2790BED0FDE7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" operator="containsText" id="{701EF582-5B27-485F-93D9-B078559F50A8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5" operator="containsText" id="{254C15CB-9D8F-4499-B688-12B27A0384E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6" operator="containsText" id="{A9FA625B-77D0-4BAD-ADD9-953353E2E2E3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7" operator="containsText" id="{970A3815-3466-4E78-A6D1-E19308C44FD0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9" operator="containsText" id="{AD39F0E0-CB66-410B-AE09-F1C200EBCD2A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0" operator="containsText" id="{0C7AB1EA-2508-431A-AC2E-8B2A7BC348DC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1" operator="containsText" id="{6F641799-5B92-4D1C-8F6A-9EF73704763F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41CDF898-C636-4773-A45D-0E6A1DD66D83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96F275A2-8281-4FD8-9B05-17E6F55E4AC1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4" operator="containsText" id="{1EF221CF-4567-4177-9D0F-0CABA7AF9E0D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5" operator="containsText" id="{39E97EC7-FD37-4320-9314-BDA000D30F76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6" operator="containsText" id="{27C64C5A-9A67-4C37-BF19-30B19D2219A5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7" operator="containsText" id="{F71E5702-C078-400E-8856-F98CAC546DA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8" operator="containsText" id="{97FEB9C3-10D3-48A5-AF8D-9C84A3DB2A0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0" operator="containsText" id="{EE0C7E78-C9BC-47D8-B2F8-8A95BF4D7CD1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0" operator="containsText" id="{26A8431F-59F2-4783-8C7B-24074FEF1E6B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FA2C3F79-9A80-4BDF-81D9-A41E46CF8022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94C79BEE-DC47-4C7B-8F58-FB114B6696DF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C68EAC89-795C-4BE1-96F5-4E4F908DD484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0EE21EED-F4E8-4EFE-BEDC-1680BD8A8B9E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6E25F4D4-EABB-4555-8FD2-2B07F2638A17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8" operator="containsText" id="{707450EA-05C2-4BBB-B628-EFA9FA995CE3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F3B7-3732-4AF3-9099-4EA533DC21E3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I9" sqref="I9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110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44641</v>
      </c>
      <c r="C3" s="11">
        <f t="shared" ref="C3:H3" si="0">B3+1</f>
        <v>44642</v>
      </c>
      <c r="D3" s="11">
        <f t="shared" si="0"/>
        <v>44643</v>
      </c>
      <c r="E3" s="11">
        <f t="shared" si="0"/>
        <v>44644</v>
      </c>
      <c r="F3" s="11">
        <f t="shared" si="0"/>
        <v>44645</v>
      </c>
      <c r="G3" s="11">
        <f t="shared" si="0"/>
        <v>44646</v>
      </c>
      <c r="H3" s="12">
        <f t="shared" si="0"/>
        <v>44647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/>
      <c r="D5" s="8"/>
      <c r="E5" s="8"/>
      <c r="F5" s="8"/>
      <c r="G5" s="8"/>
      <c r="H5" s="8"/>
      <c r="J5" s="20" t="s">
        <v>5</v>
      </c>
      <c r="K5" s="40">
        <f>COUNTIF($B$5:$H$93,J5)</f>
        <v>3</v>
      </c>
      <c r="L5" s="48">
        <f t="shared" ref="L5:L15" si="2">K5/$K$16</f>
        <v>0.27272727272727271</v>
      </c>
    </row>
    <row r="6" spans="1:16">
      <c r="A6" s="6" t="s">
        <v>6</v>
      </c>
      <c r="B6" s="9"/>
      <c r="C6" s="9"/>
      <c r="D6" s="9"/>
      <c r="E6" s="9"/>
      <c r="F6" s="9"/>
      <c r="G6" s="9"/>
      <c r="H6" s="9"/>
      <c r="J6" s="21" t="s">
        <v>7</v>
      </c>
      <c r="K6" s="41">
        <f t="shared" ref="K6:K13" si="3">COUNTIF($B$5:$H$93,J6)</f>
        <v>0</v>
      </c>
      <c r="L6" s="49">
        <f t="shared" si="2"/>
        <v>0</v>
      </c>
    </row>
    <row r="7" spans="1:16">
      <c r="A7" s="6" t="s">
        <v>8</v>
      </c>
      <c r="B7" s="9"/>
      <c r="C7" s="9"/>
      <c r="D7" s="9"/>
      <c r="E7" s="9"/>
      <c r="F7" s="9"/>
      <c r="G7" s="9"/>
      <c r="H7" s="9"/>
      <c r="J7" s="22" t="s">
        <v>111</v>
      </c>
      <c r="K7" s="41">
        <f t="shared" si="3"/>
        <v>1</v>
      </c>
      <c r="L7" s="49">
        <f t="shared" si="2"/>
        <v>9.0909090909090912E-2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41">
        <f>COUNTIF($B$5:$H$93,J8)</f>
        <v>0</v>
      </c>
      <c r="L8" s="49">
        <f t="shared" si="2"/>
        <v>0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41">
        <f>COUNTIF($B$5:$H$93,J9)</f>
        <v>0</v>
      </c>
      <c r="L9" s="49">
        <f t="shared" si="2"/>
        <v>0</v>
      </c>
      <c r="P9" s="3"/>
    </row>
    <row r="10" spans="1:16">
      <c r="A10" s="6" t="s">
        <v>14</v>
      </c>
      <c r="B10" s="9"/>
      <c r="C10" s="9"/>
      <c r="D10" s="9"/>
      <c r="E10" s="9"/>
      <c r="F10" s="9"/>
      <c r="G10" s="9"/>
      <c r="H10" s="9"/>
      <c r="J10" s="25" t="s">
        <v>105</v>
      </c>
      <c r="K10" s="41">
        <f t="shared" si="3"/>
        <v>1</v>
      </c>
      <c r="L10" s="49">
        <f t="shared" si="2"/>
        <v>9.0909090909090912E-2</v>
      </c>
    </row>
    <row r="11" spans="1:16">
      <c r="A11" s="6" t="s">
        <v>16</v>
      </c>
      <c r="B11" s="9"/>
      <c r="C11" s="9"/>
      <c r="D11" s="9"/>
      <c r="E11" s="9"/>
      <c r="F11" s="9"/>
      <c r="G11" s="9"/>
      <c r="H11" s="9"/>
      <c r="J11" s="26" t="s">
        <v>17</v>
      </c>
      <c r="K11" s="41">
        <f t="shared" si="3"/>
        <v>0</v>
      </c>
      <c r="L11" s="49">
        <f t="shared" si="2"/>
        <v>0</v>
      </c>
    </row>
    <row r="12" spans="1:16">
      <c r="A12" s="6" t="s">
        <v>18</v>
      </c>
      <c r="B12" s="9"/>
      <c r="C12" s="9"/>
      <c r="D12" s="9"/>
      <c r="E12" s="9"/>
      <c r="F12" s="9"/>
      <c r="G12" s="9"/>
      <c r="H12" s="9"/>
      <c r="J12" s="27" t="s">
        <v>107</v>
      </c>
      <c r="K12" s="41">
        <f t="shared" si="3"/>
        <v>3</v>
      </c>
      <c r="L12" s="49">
        <f t="shared" si="2"/>
        <v>0.27272727272727271</v>
      </c>
    </row>
    <row r="13" spans="1:16">
      <c r="A13" s="6" t="s">
        <v>20</v>
      </c>
      <c r="B13" s="9"/>
      <c r="C13" s="9"/>
      <c r="D13" s="9"/>
      <c r="E13" s="9"/>
      <c r="F13" s="9"/>
      <c r="G13" s="9"/>
      <c r="H13" s="9"/>
      <c r="J13" s="28" t="s">
        <v>21</v>
      </c>
      <c r="K13" s="41">
        <f t="shared" si="3"/>
        <v>1</v>
      </c>
      <c r="L13" s="49">
        <f t="shared" si="2"/>
        <v>9.0909090909090912E-2</v>
      </c>
    </row>
    <row r="14" spans="1:16">
      <c r="A14" s="6" t="s">
        <v>22</v>
      </c>
      <c r="B14" s="9"/>
      <c r="C14" s="9"/>
      <c r="D14" s="9"/>
      <c r="E14" s="9"/>
      <c r="F14" s="9"/>
      <c r="G14" s="9"/>
      <c r="H14" s="9"/>
      <c r="J14" s="39" t="s">
        <v>23</v>
      </c>
      <c r="K14" s="41">
        <f>COUNTIF($B$5:$H$93,J14)</f>
        <v>2</v>
      </c>
      <c r="L14" s="49">
        <f t="shared" si="2"/>
        <v>0.18181818181818182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  <c r="J15" s="47" t="s">
        <v>108</v>
      </c>
      <c r="K15" s="50">
        <f>COUNTIF($B$5:$H$93,J15)</f>
        <v>0</v>
      </c>
      <c r="L15" s="51">
        <f t="shared" si="2"/>
        <v>0</v>
      </c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7" t="s">
        <v>26</v>
      </c>
      <c r="K16" s="1">
        <f>SUM(K5:K15)</f>
        <v>11</v>
      </c>
    </row>
    <row r="17" spans="1:10">
      <c r="A17" s="6" t="s">
        <v>27</v>
      </c>
      <c r="B17" s="9"/>
      <c r="C17" s="9"/>
      <c r="D17" s="9"/>
      <c r="E17" s="9"/>
      <c r="F17" s="9"/>
      <c r="G17" s="9"/>
      <c r="H17" s="9"/>
      <c r="J17" s="7"/>
    </row>
    <row r="18" spans="1:10">
      <c r="A18" s="6" t="s">
        <v>28</v>
      </c>
      <c r="B18" s="9"/>
      <c r="C18" s="9"/>
      <c r="D18" s="9"/>
      <c r="E18" s="9"/>
      <c r="F18" s="9"/>
      <c r="G18" s="9"/>
      <c r="H18" s="9"/>
      <c r="J18" s="7"/>
    </row>
    <row r="19" spans="1:10">
      <c r="A19" s="6" t="s">
        <v>29</v>
      </c>
      <c r="B19" s="9"/>
      <c r="C19" s="9"/>
      <c r="D19" s="9"/>
      <c r="E19" s="9"/>
      <c r="F19" s="9"/>
      <c r="G19" s="9"/>
      <c r="H19" s="9"/>
      <c r="J19" s="7"/>
    </row>
    <row r="20" spans="1:10">
      <c r="A20" s="6" t="s">
        <v>30</v>
      </c>
      <c r="B20" s="9"/>
      <c r="C20" s="9"/>
      <c r="D20" s="9"/>
      <c r="E20" s="9"/>
      <c r="F20" s="9"/>
      <c r="G20" s="9"/>
      <c r="H20" s="9"/>
      <c r="J20" s="7"/>
    </row>
    <row r="21" spans="1:10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0">
      <c r="A22" s="6" t="s">
        <v>32</v>
      </c>
      <c r="B22" s="9"/>
      <c r="C22" s="9"/>
      <c r="D22" s="9"/>
      <c r="E22" s="9"/>
      <c r="F22" s="9"/>
      <c r="G22" s="9"/>
      <c r="H22" s="9"/>
      <c r="J22" s="7"/>
    </row>
    <row r="23" spans="1:10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0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0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0">
      <c r="A26" s="6" t="s">
        <v>36</v>
      </c>
      <c r="B26" s="9"/>
      <c r="C26" s="9"/>
      <c r="D26" s="9"/>
      <c r="E26" s="9"/>
      <c r="F26" s="9"/>
      <c r="G26" s="9"/>
      <c r="H26" s="9"/>
      <c r="J26" s="7"/>
    </row>
    <row r="27" spans="1:10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0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0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0">
      <c r="A30" s="6" t="s">
        <v>40</v>
      </c>
      <c r="B30" s="9"/>
      <c r="C30" s="9"/>
      <c r="D30" s="9"/>
      <c r="E30" s="9"/>
      <c r="F30" s="9"/>
      <c r="G30" s="9"/>
      <c r="H30" s="9"/>
    </row>
    <row r="31" spans="1:10">
      <c r="A31" s="6" t="s">
        <v>41</v>
      </c>
      <c r="B31" s="9"/>
      <c r="C31" s="9"/>
      <c r="D31" s="9"/>
      <c r="E31" s="9"/>
      <c r="F31" s="9" t="s">
        <v>5</v>
      </c>
      <c r="G31" s="9"/>
      <c r="H31" s="9"/>
    </row>
    <row r="32" spans="1:10">
      <c r="A32" s="6" t="s">
        <v>42</v>
      </c>
      <c r="B32" s="9"/>
      <c r="C32" s="9"/>
      <c r="D32" s="9"/>
      <c r="E32" s="9"/>
      <c r="F32" s="9"/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/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/>
      <c r="F35" s="9"/>
      <c r="G35" s="9"/>
      <c r="H35" s="9"/>
    </row>
    <row r="36" spans="1:8">
      <c r="A36" s="6" t="s">
        <v>46</v>
      </c>
      <c r="B36" s="9"/>
      <c r="C36" s="9"/>
      <c r="D36" s="9"/>
      <c r="E36" s="9"/>
      <c r="F36" s="9"/>
      <c r="G36" s="9"/>
      <c r="H36" s="9"/>
    </row>
    <row r="37" spans="1:8">
      <c r="A37" s="6" t="s">
        <v>47</v>
      </c>
      <c r="B37" s="9"/>
      <c r="C37" s="9"/>
      <c r="D37" s="9"/>
      <c r="E37" s="9"/>
      <c r="F37" s="9"/>
      <c r="G37" s="9"/>
      <c r="H37" s="9"/>
    </row>
    <row r="38" spans="1:8">
      <c r="A38" s="6" t="s">
        <v>48</v>
      </c>
      <c r="B38" s="9"/>
      <c r="C38" s="9"/>
      <c r="D38" s="9"/>
      <c r="E38" s="9"/>
      <c r="F38" s="9"/>
      <c r="G38" s="9"/>
      <c r="H38" s="9"/>
    </row>
    <row r="39" spans="1:8">
      <c r="A39" s="6" t="s">
        <v>49</v>
      </c>
      <c r="B39" s="9"/>
      <c r="C39" s="9"/>
      <c r="D39" s="9" t="s">
        <v>111</v>
      </c>
      <c r="E39" s="9"/>
      <c r="F39" s="9"/>
      <c r="G39" s="9"/>
      <c r="H39" s="9"/>
    </row>
    <row r="40" spans="1:8">
      <c r="A40" s="6" t="s">
        <v>50</v>
      </c>
      <c r="B40" s="9"/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/>
      <c r="G44" s="9"/>
      <c r="H44" s="9"/>
    </row>
    <row r="45" spans="1:8">
      <c r="A45" s="6" t="s">
        <v>55</v>
      </c>
      <c r="B45" s="9"/>
      <c r="C45" s="9"/>
      <c r="D45" s="9"/>
      <c r="E45" s="9"/>
      <c r="F45" s="9"/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 t="s">
        <v>5</v>
      </c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 t="s">
        <v>5</v>
      </c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/>
      <c r="C52" s="9"/>
      <c r="D52" s="9"/>
      <c r="E52" s="9"/>
      <c r="F52" s="9"/>
      <c r="G52" s="9"/>
      <c r="H52" s="9"/>
    </row>
    <row r="53" spans="1:8">
      <c r="A53" s="6" t="s">
        <v>63</v>
      </c>
      <c r="B53" s="9"/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/>
      <c r="D54" s="9" t="s">
        <v>107</v>
      </c>
      <c r="E54" s="9"/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/>
      <c r="F57" s="9"/>
      <c r="G57" s="9"/>
      <c r="H57" s="9"/>
    </row>
    <row r="58" spans="1:8">
      <c r="A58" s="6" t="s">
        <v>68</v>
      </c>
      <c r="B58" s="9" t="s">
        <v>107</v>
      </c>
      <c r="C58" s="9"/>
      <c r="D58" s="9"/>
      <c r="E58" s="9"/>
      <c r="F58" s="9"/>
      <c r="G58" s="9"/>
      <c r="H58" s="9"/>
    </row>
    <row r="59" spans="1:8">
      <c r="A59" s="6" t="s">
        <v>69</v>
      </c>
      <c r="B59" s="9"/>
      <c r="C59" s="9" t="s">
        <v>107</v>
      </c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/>
      <c r="H61" s="9"/>
    </row>
    <row r="62" spans="1:8">
      <c r="A62" s="6" t="s">
        <v>72</v>
      </c>
      <c r="B62" s="9" t="s">
        <v>21</v>
      </c>
      <c r="C62" s="9" t="s">
        <v>105</v>
      </c>
      <c r="D62" s="9"/>
      <c r="E62" s="9"/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 t="s">
        <v>23</v>
      </c>
      <c r="C75" s="9"/>
      <c r="D75" s="9"/>
      <c r="E75" s="9"/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 t="s">
        <v>23</v>
      </c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/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881" priority="40" operator="containsText" text="Pulverização">
      <formula>NOT(ISERROR(SEARCH("Pulverização",B94)))</formula>
    </cfRule>
    <cfRule type="cellIs" dxfId="880" priority="41" operator="greaterThan">
      <formula>$J$5</formula>
    </cfRule>
    <cfRule type="containsText" dxfId="879" priority="42" operator="containsText" text="Cardã">
      <formula>NOT(ISERROR(SEARCH("Cardã",B94)))</formula>
    </cfRule>
    <cfRule type="containsText" dxfId="878" priority="43" operator="containsText" text="Pneu">
      <formula>NOT(ISERROR(SEARCH("Pneu",B94)))</formula>
    </cfRule>
    <cfRule type="containsText" dxfId="877" priority="44" operator="containsText" text="Vedação">
      <formula>NOT(ISERROR(SEARCH("Vedação",B94)))</formula>
    </cfRule>
    <cfRule type="containsText" dxfId="876" priority="45" operator="containsText" text="Retentor">
      <formula>NOT(ISERROR(SEARCH("Retentor",B94)))</formula>
    </cfRule>
    <cfRule type="containsText" dxfId="875" priority="46" operator="containsText" text="Motorredutor">
      <formula>NOT(ISERROR(SEARCH("Motorredutor",B94)))</formula>
    </cfRule>
    <cfRule type="containsText" dxfId="874" priority="47" operator="containsText" text="Redutor">
      <formula>NOT(ISERROR(SEARCH("Redutor",B94)))</formula>
    </cfRule>
    <cfRule type="containsText" dxfId="873" priority="48" operator="containsText" text="Bomba">
      <formula>NOT(ISERROR(SEARCH("Bomba",B94)))</formula>
    </cfRule>
  </conditionalFormatting>
  <conditionalFormatting sqref="A1:A1048576">
    <cfRule type="containsText" dxfId="872" priority="36" operator="containsText" text="Pivô">
      <formula>NOT(ISERROR(SEARCH("Pivô",A1)))</formula>
    </cfRule>
    <cfRule type="containsText" dxfId="871" priority="37" operator="containsText" text="Pivô">
      <formula>NOT(ISERROR(SEARCH("Pivô",A1)))</formula>
    </cfRule>
  </conditionalFormatting>
  <conditionalFormatting sqref="B5:H93">
    <cfRule type="containsText" dxfId="870" priority="21" operator="containsText" text="Pulverização">
      <formula>NOT(ISERROR(SEARCH("Pulverização",B5)))</formula>
    </cfRule>
    <cfRule type="cellIs" dxfId="869" priority="22" operator="greaterThan">
      <formula>$J$5</formula>
    </cfRule>
    <cfRule type="containsText" dxfId="868" priority="23" operator="containsText" text="Cardã">
      <formula>NOT(ISERROR(SEARCH("Cardã",B5)))</formula>
    </cfRule>
    <cfRule type="containsText" dxfId="867" priority="24" operator="containsText" text="Pneu">
      <formula>NOT(ISERROR(SEARCH("Pneu",B5)))</formula>
    </cfRule>
    <cfRule type="containsText" dxfId="866" priority="25" operator="containsText" text="Vedação">
      <formula>NOT(ISERROR(SEARCH("Vedação",B5)))</formula>
    </cfRule>
    <cfRule type="containsText" dxfId="865" priority="26" operator="containsText" text="Retentor">
      <formula>NOT(ISERROR(SEARCH("Retentor",B5)))</formula>
    </cfRule>
    <cfRule type="containsText" dxfId="864" priority="27" operator="containsText" text="Motorredutor">
      <formula>NOT(ISERROR(SEARCH("Motorredutor",B5)))</formula>
    </cfRule>
    <cfRule type="containsText" dxfId="863" priority="28" operator="containsText" text="Redutor">
      <formula>NOT(ISERROR(SEARCH("Redutor",B5)))</formula>
    </cfRule>
    <cfRule type="containsText" dxfId="862" priority="29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E2188271-6A7B-4E00-8FED-FED36C12D10D}">
      <formula1>$J$5:$J$11</formula1>
    </dataValidation>
    <dataValidation type="list" allowBlank="1" showInputMessage="1" showErrorMessage="1" sqref="B5:H93" xr:uid="{594098EB-A0F4-4BB3-9260-B9EE41FC6423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3CB07EC-BC67-4927-9362-9C70D42C0563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399752AC-DC80-4A64-981F-E531B2391070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9" operator="containsText" id="{36E163C0-30A8-4ED9-A5CB-2129C77DBC21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49" operator="containsText" id="{82AE0D73-A20D-4DEF-8F6D-4F4863D1CA0A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0" operator="containsText" id="{04FB1EEE-071E-4ADB-9348-FB45F273C68F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1" operator="containsText" id="{02A3F349-EEB1-4F96-A1E3-0DE4645E42E0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2" operator="containsText" id="{53DDC000-BDC4-4125-9A38-934F552AB304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3" operator="containsText" id="{2C93A9BC-BFC4-4202-9F5F-B1B660AB8D17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4" operator="containsText" id="{58D154B4-0CCF-44C8-AF10-E9DAC16D0C55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38" operator="containsText" id="{DFC50633-8FCF-4CB6-B545-49ACC342F2FA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19" operator="containsText" id="{8B3D3295-845E-4045-8844-8FE575079F71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25949B05-88A7-47C5-A3CC-59F9FFF6DDE8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" operator="containsText" id="{8210E5D2-2A70-4CD3-82B2-2C8223C2B81A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5" operator="containsText" id="{F75FA84D-4B9B-4FF1-BF96-867AF35EB9C2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6" operator="containsText" id="{41C05BCD-246A-4C62-A0F0-1E7E952C2C1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7" operator="containsText" id="{743E5A49-3C89-4BEB-B934-644C3C186E73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9" operator="containsText" id="{6796268B-F253-497F-AC6A-C542492493A8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0" operator="containsText" id="{D91ECF21-0EE1-4D9D-B826-0C8748A74BED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1" operator="containsText" id="{1F582C8C-D382-4056-86B4-38435210A006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42E26F92-7AD9-4910-B842-2E81006CFBAF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C2598725-4FC6-4BE3-9A13-E6CD3F0BD21B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4" operator="containsText" id="{4531972F-B508-46D2-8DD4-DF893219D446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5" operator="containsText" id="{7DB58150-38A0-401D-95CF-D238A87FE685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6" operator="containsText" id="{FBA21338-83BD-4C08-AE97-F01C80065133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7" operator="containsText" id="{752BBDEC-2448-4818-AFAF-11644AA9109A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8" operator="containsText" id="{CA313AE5-F491-4EF7-8937-E69A9B4AFED6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0" operator="containsText" id="{470AB4CA-7F6F-40B0-817E-CF2BB23FB63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0" operator="containsText" id="{0E882F92-18D6-4D8A-957C-FF8E1189D4A2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655C2F18-EE77-4D8E-9844-F86F8A74729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BE4D707B-2E51-4F46-91F6-75132C4A6499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F1F3134B-B720-4D75-9E39-C34087560575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D3C13119-FC83-4410-A3B6-F2320070D65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5EF3965A-B1DD-4E7F-B1B0-9B5EE0EF72E0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8" operator="containsText" id="{6364DC7E-4EC3-48F7-81B8-849E55F303A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AD7B-98B4-48C7-86F4-E4764A2A71BD}">
  <sheetPr>
    <tabColor rgb="FF92D050"/>
    <pageSetUpPr fitToPage="1"/>
  </sheetPr>
  <dimension ref="A1:P93"/>
  <sheetViews>
    <sheetView showGridLines="0" zoomScaleNormal="100" workbookViewId="0">
      <pane ySplit="4" topLeftCell="A77" activePane="bottomLeft" state="frozen"/>
      <selection pane="bottomLeft" activeCell="A3" sqref="A3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112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44648</v>
      </c>
      <c r="C3" s="11">
        <f t="shared" ref="C3:H3" si="0">B3+1</f>
        <v>44649</v>
      </c>
      <c r="D3" s="11">
        <f t="shared" si="0"/>
        <v>44650</v>
      </c>
      <c r="E3" s="11">
        <f t="shared" si="0"/>
        <v>44651</v>
      </c>
      <c r="F3" s="11">
        <f t="shared" si="0"/>
        <v>44652</v>
      </c>
      <c r="G3" s="11">
        <f t="shared" si="0"/>
        <v>44653</v>
      </c>
      <c r="H3" s="12">
        <f t="shared" si="0"/>
        <v>44654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/>
      <c r="D5" s="8"/>
      <c r="E5" s="8"/>
      <c r="F5" s="8"/>
      <c r="G5" s="8"/>
      <c r="H5" s="8"/>
      <c r="J5" s="20" t="s">
        <v>5</v>
      </c>
      <c r="K5" s="40">
        <f>COUNTIF($B$5:$H$93,J5)</f>
        <v>3</v>
      </c>
      <c r="L5" s="48">
        <f t="shared" ref="L5:L15" si="2">K5/$K$16</f>
        <v>0.5</v>
      </c>
    </row>
    <row r="6" spans="1:16">
      <c r="A6" s="6" t="s">
        <v>6</v>
      </c>
      <c r="B6" s="9"/>
      <c r="C6" s="9"/>
      <c r="D6" s="9"/>
      <c r="E6" s="9"/>
      <c r="F6" s="9"/>
      <c r="G6" s="9"/>
      <c r="H6" s="9"/>
      <c r="J6" s="21" t="s">
        <v>7</v>
      </c>
      <c r="K6" s="41">
        <f t="shared" ref="K6:K13" si="3">COUNTIF($B$5:$H$93,J6)</f>
        <v>0</v>
      </c>
      <c r="L6" s="49">
        <f t="shared" si="2"/>
        <v>0</v>
      </c>
    </row>
    <row r="7" spans="1:16">
      <c r="A7" s="6" t="s">
        <v>8</v>
      </c>
      <c r="B7" s="9"/>
      <c r="C7" s="9"/>
      <c r="D7" s="9"/>
      <c r="E7" s="9"/>
      <c r="F7" s="9"/>
      <c r="G7" s="9"/>
      <c r="H7" s="9"/>
      <c r="J7" s="22" t="s">
        <v>111</v>
      </c>
      <c r="K7" s="41">
        <f t="shared" si="3"/>
        <v>0</v>
      </c>
      <c r="L7" s="49">
        <f t="shared" si="2"/>
        <v>0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41">
        <f>COUNTIF($B$5:$H$93,J8)</f>
        <v>0</v>
      </c>
      <c r="L8" s="49">
        <f t="shared" si="2"/>
        <v>0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41">
        <f>COUNTIF($B$5:$H$93,J9)</f>
        <v>0</v>
      </c>
      <c r="L9" s="49">
        <f t="shared" si="2"/>
        <v>0</v>
      </c>
      <c r="P9" s="3"/>
    </row>
    <row r="10" spans="1:16">
      <c r="A10" s="6" t="s">
        <v>14</v>
      </c>
      <c r="B10" s="9"/>
      <c r="C10" s="9"/>
      <c r="D10" s="9"/>
      <c r="E10" s="9"/>
      <c r="F10" s="9"/>
      <c r="G10" s="9"/>
      <c r="H10" s="9"/>
      <c r="J10" s="25" t="s">
        <v>105</v>
      </c>
      <c r="K10" s="41">
        <f t="shared" si="3"/>
        <v>0</v>
      </c>
      <c r="L10" s="49">
        <f t="shared" si="2"/>
        <v>0</v>
      </c>
    </row>
    <row r="11" spans="1:16">
      <c r="A11" s="6" t="s">
        <v>16</v>
      </c>
      <c r="B11" s="9"/>
      <c r="C11" s="9"/>
      <c r="D11" s="9"/>
      <c r="E11" s="9"/>
      <c r="F11" s="9"/>
      <c r="G11" s="9"/>
      <c r="H11" s="9"/>
      <c r="J11" s="26" t="s">
        <v>17</v>
      </c>
      <c r="K11" s="41">
        <f t="shared" si="3"/>
        <v>0</v>
      </c>
      <c r="L11" s="49">
        <f t="shared" si="2"/>
        <v>0</v>
      </c>
    </row>
    <row r="12" spans="1:16">
      <c r="A12" s="6" t="s">
        <v>18</v>
      </c>
      <c r="B12" s="9"/>
      <c r="C12" s="9"/>
      <c r="D12" s="9"/>
      <c r="E12" s="9"/>
      <c r="F12" s="9"/>
      <c r="G12" s="9"/>
      <c r="H12" s="9"/>
      <c r="J12" s="27" t="s">
        <v>107</v>
      </c>
      <c r="K12" s="41">
        <f t="shared" si="3"/>
        <v>0</v>
      </c>
      <c r="L12" s="49">
        <f t="shared" si="2"/>
        <v>0</v>
      </c>
    </row>
    <row r="13" spans="1:16">
      <c r="A13" s="6" t="s">
        <v>20</v>
      </c>
      <c r="B13" s="9"/>
      <c r="C13" s="9"/>
      <c r="D13" s="9"/>
      <c r="E13" s="9"/>
      <c r="F13" s="9"/>
      <c r="G13" s="9"/>
      <c r="H13" s="9"/>
      <c r="J13" s="28" t="s">
        <v>21</v>
      </c>
      <c r="K13" s="41">
        <f t="shared" si="3"/>
        <v>0</v>
      </c>
      <c r="L13" s="49">
        <f t="shared" si="2"/>
        <v>0</v>
      </c>
    </row>
    <row r="14" spans="1:16">
      <c r="A14" s="6" t="s">
        <v>22</v>
      </c>
      <c r="B14" s="9"/>
      <c r="C14" s="9"/>
      <c r="D14" s="9"/>
      <c r="E14" s="9"/>
      <c r="F14" s="9"/>
      <c r="G14" s="9"/>
      <c r="H14" s="9"/>
      <c r="J14" s="39" t="s">
        <v>23</v>
      </c>
      <c r="K14" s="41">
        <f>COUNTIF($B$5:$H$93,J14)</f>
        <v>3</v>
      </c>
      <c r="L14" s="49">
        <f t="shared" si="2"/>
        <v>0.5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  <c r="J15" s="47" t="s">
        <v>108</v>
      </c>
      <c r="K15" s="50">
        <f>COUNTIF($B$5:$H$93,J15)</f>
        <v>0</v>
      </c>
      <c r="L15" s="51">
        <f t="shared" si="2"/>
        <v>0</v>
      </c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7" t="s">
        <v>26</v>
      </c>
      <c r="K16" s="1">
        <f>SUM(K5:K15)</f>
        <v>6</v>
      </c>
    </row>
    <row r="17" spans="1:10">
      <c r="A17" s="6" t="s">
        <v>27</v>
      </c>
      <c r="B17" s="9"/>
      <c r="C17" s="9"/>
      <c r="D17" s="9"/>
      <c r="E17" s="9"/>
      <c r="F17" s="9"/>
      <c r="G17" s="9"/>
      <c r="H17" s="9"/>
      <c r="J17" s="7"/>
    </row>
    <row r="18" spans="1:10">
      <c r="A18" s="6" t="s">
        <v>28</v>
      </c>
      <c r="B18" s="9"/>
      <c r="C18" s="9"/>
      <c r="D18" s="9"/>
      <c r="E18" s="9"/>
      <c r="F18" s="9"/>
      <c r="G18" s="9"/>
      <c r="H18" s="9"/>
      <c r="J18" s="7"/>
    </row>
    <row r="19" spans="1:10">
      <c r="A19" s="6" t="s">
        <v>29</v>
      </c>
      <c r="B19" s="9"/>
      <c r="C19" s="9" t="s">
        <v>23</v>
      </c>
      <c r="D19" s="9"/>
      <c r="E19" s="9"/>
      <c r="F19" s="9"/>
      <c r="G19" s="9"/>
      <c r="H19" s="9"/>
      <c r="J19" s="7"/>
    </row>
    <row r="20" spans="1:10">
      <c r="A20" s="6" t="s">
        <v>30</v>
      </c>
      <c r="B20" s="9"/>
      <c r="C20" s="9"/>
      <c r="D20" s="9" t="s">
        <v>23</v>
      </c>
      <c r="E20" s="9" t="s">
        <v>23</v>
      </c>
      <c r="F20" s="9"/>
      <c r="G20" s="9"/>
      <c r="H20" s="9"/>
      <c r="J20" s="7"/>
    </row>
    <row r="21" spans="1:10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0">
      <c r="A22" s="6" t="s">
        <v>32</v>
      </c>
      <c r="B22" s="9"/>
      <c r="C22" s="9"/>
      <c r="D22" s="9"/>
      <c r="E22" s="9"/>
      <c r="F22" s="9"/>
      <c r="G22" s="9"/>
      <c r="H22" s="9"/>
      <c r="J22" s="7"/>
    </row>
    <row r="23" spans="1:10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0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0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0">
      <c r="A26" s="6" t="s">
        <v>36</v>
      </c>
      <c r="B26" s="9"/>
      <c r="C26" s="9"/>
      <c r="D26" s="9"/>
      <c r="E26" s="9"/>
      <c r="F26" s="9"/>
      <c r="G26" s="9"/>
      <c r="H26" s="9"/>
      <c r="J26" s="7"/>
    </row>
    <row r="27" spans="1:10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0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0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0">
      <c r="A30" s="6" t="s">
        <v>40</v>
      </c>
      <c r="B30" s="9"/>
      <c r="C30" s="9"/>
      <c r="D30" s="9"/>
      <c r="E30" s="9"/>
      <c r="F30" s="9"/>
      <c r="G30" s="9"/>
      <c r="H30" s="9"/>
    </row>
    <row r="31" spans="1:10">
      <c r="A31" s="6" t="s">
        <v>41</v>
      </c>
      <c r="B31" s="9"/>
      <c r="C31" s="9"/>
      <c r="D31" s="9"/>
      <c r="E31" s="9"/>
      <c r="F31" s="9"/>
      <c r="G31" s="9"/>
      <c r="H31" s="9"/>
    </row>
    <row r="32" spans="1:10">
      <c r="A32" s="6" t="s">
        <v>42</v>
      </c>
      <c r="B32" s="9"/>
      <c r="C32" s="9"/>
      <c r="D32" s="9"/>
      <c r="E32" s="9"/>
      <c r="F32" s="9"/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/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/>
      <c r="F35" s="9"/>
      <c r="G35" s="9"/>
      <c r="H35" s="9"/>
    </row>
    <row r="36" spans="1:8">
      <c r="A36" s="6" t="s">
        <v>46</v>
      </c>
      <c r="B36" s="9"/>
      <c r="C36" s="9"/>
      <c r="D36" s="9"/>
      <c r="E36" s="9"/>
      <c r="F36" s="9"/>
      <c r="G36" s="9"/>
      <c r="H36" s="9"/>
    </row>
    <row r="37" spans="1:8">
      <c r="A37" s="6" t="s">
        <v>47</v>
      </c>
      <c r="B37" s="9"/>
      <c r="C37" s="9"/>
      <c r="D37" s="9"/>
      <c r="E37" s="9"/>
      <c r="F37" s="9"/>
      <c r="G37" s="9"/>
      <c r="H37" s="9"/>
    </row>
    <row r="38" spans="1:8">
      <c r="A38" s="6" t="s">
        <v>48</v>
      </c>
      <c r="B38" s="9"/>
      <c r="C38" s="9"/>
      <c r="D38" s="9"/>
      <c r="E38" s="9"/>
      <c r="F38" s="9"/>
      <c r="G38" s="9"/>
      <c r="H38" s="9"/>
    </row>
    <row r="39" spans="1:8">
      <c r="A39" s="6" t="s">
        <v>49</v>
      </c>
      <c r="B39" s="9"/>
      <c r="C39" s="9"/>
      <c r="D39" s="9"/>
      <c r="E39" s="9"/>
      <c r="F39" s="9"/>
      <c r="G39" s="9"/>
      <c r="H39" s="9"/>
    </row>
    <row r="40" spans="1:8">
      <c r="A40" s="6" t="s">
        <v>50</v>
      </c>
      <c r="B40" s="9"/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/>
      <c r="G44" s="9"/>
      <c r="H44" s="9"/>
    </row>
    <row r="45" spans="1:8">
      <c r="A45" s="6" t="s">
        <v>55</v>
      </c>
      <c r="B45" s="9"/>
      <c r="C45" s="9"/>
      <c r="D45" s="9"/>
      <c r="E45" s="9"/>
      <c r="F45" s="9"/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/>
      <c r="C52" s="9"/>
      <c r="D52" s="9"/>
      <c r="E52" s="9"/>
      <c r="F52" s="9"/>
      <c r="G52" s="9"/>
      <c r="H52" s="9"/>
    </row>
    <row r="53" spans="1:8">
      <c r="A53" s="6" t="s">
        <v>63</v>
      </c>
      <c r="B53" s="9"/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/>
      <c r="D54" s="9"/>
      <c r="E54" s="9"/>
      <c r="F54" s="9" t="s">
        <v>5</v>
      </c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 t="s">
        <v>5</v>
      </c>
      <c r="F57" s="9"/>
      <c r="G57" s="9"/>
      <c r="H57" s="9"/>
    </row>
    <row r="58" spans="1:8">
      <c r="A58" s="6" t="s">
        <v>68</v>
      </c>
      <c r="B58" s="9"/>
      <c r="C58" s="9"/>
      <c r="D58" s="9"/>
      <c r="E58" s="9"/>
      <c r="F58" s="9"/>
      <c r="G58" s="9"/>
      <c r="H58" s="9"/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/>
      <c r="H61" s="9"/>
    </row>
    <row r="62" spans="1:8">
      <c r="A62" s="6" t="s">
        <v>72</v>
      </c>
      <c r="B62" s="9"/>
      <c r="C62" s="9"/>
      <c r="D62" s="9"/>
      <c r="E62" s="9"/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/>
      <c r="C75" s="9"/>
      <c r="D75" s="9"/>
      <c r="E75" s="9"/>
      <c r="F75" s="9" t="s">
        <v>5</v>
      </c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/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827" priority="40" operator="containsText" text="Pulverização">
      <formula>NOT(ISERROR(SEARCH("Pulverização",B94)))</formula>
    </cfRule>
    <cfRule type="cellIs" dxfId="826" priority="41" operator="greaterThan">
      <formula>$J$5</formula>
    </cfRule>
    <cfRule type="containsText" dxfId="825" priority="42" operator="containsText" text="Cardã">
      <formula>NOT(ISERROR(SEARCH("Cardã",B94)))</formula>
    </cfRule>
    <cfRule type="containsText" dxfId="824" priority="43" operator="containsText" text="Pneu">
      <formula>NOT(ISERROR(SEARCH("Pneu",B94)))</formula>
    </cfRule>
    <cfRule type="containsText" dxfId="823" priority="44" operator="containsText" text="Vedação">
      <formula>NOT(ISERROR(SEARCH("Vedação",B94)))</formula>
    </cfRule>
    <cfRule type="containsText" dxfId="822" priority="45" operator="containsText" text="Retentor">
      <formula>NOT(ISERROR(SEARCH("Retentor",B94)))</formula>
    </cfRule>
    <cfRule type="containsText" dxfId="821" priority="46" operator="containsText" text="Motorredutor">
      <formula>NOT(ISERROR(SEARCH("Motorredutor",B94)))</formula>
    </cfRule>
    <cfRule type="containsText" dxfId="820" priority="47" operator="containsText" text="Redutor">
      <formula>NOT(ISERROR(SEARCH("Redutor",B94)))</formula>
    </cfRule>
    <cfRule type="containsText" dxfId="819" priority="48" operator="containsText" text="Bomba">
      <formula>NOT(ISERROR(SEARCH("Bomba",B94)))</formula>
    </cfRule>
  </conditionalFormatting>
  <conditionalFormatting sqref="A1:A1048576">
    <cfRule type="containsText" dxfId="818" priority="36" operator="containsText" text="Pivô">
      <formula>NOT(ISERROR(SEARCH("Pivô",A1)))</formula>
    </cfRule>
    <cfRule type="containsText" dxfId="817" priority="37" operator="containsText" text="Pivô">
      <formula>NOT(ISERROR(SEARCH("Pivô",A1)))</formula>
    </cfRule>
  </conditionalFormatting>
  <conditionalFormatting sqref="B5:H93">
    <cfRule type="containsText" dxfId="816" priority="21" operator="containsText" text="Pulverização">
      <formula>NOT(ISERROR(SEARCH("Pulverização",B5)))</formula>
    </cfRule>
    <cfRule type="cellIs" dxfId="815" priority="22" operator="greaterThan">
      <formula>$J$5</formula>
    </cfRule>
    <cfRule type="containsText" dxfId="814" priority="23" operator="containsText" text="Cardã">
      <formula>NOT(ISERROR(SEARCH("Cardã",B5)))</formula>
    </cfRule>
    <cfRule type="containsText" dxfId="813" priority="24" operator="containsText" text="Pneu">
      <formula>NOT(ISERROR(SEARCH("Pneu",B5)))</formula>
    </cfRule>
    <cfRule type="containsText" dxfId="812" priority="25" operator="containsText" text="Vedação">
      <formula>NOT(ISERROR(SEARCH("Vedação",B5)))</formula>
    </cfRule>
    <cfRule type="containsText" dxfId="811" priority="26" operator="containsText" text="Retentor">
      <formula>NOT(ISERROR(SEARCH("Retentor",B5)))</formula>
    </cfRule>
    <cfRule type="containsText" dxfId="810" priority="27" operator="containsText" text="Motorredutor">
      <formula>NOT(ISERROR(SEARCH("Motorredutor",B5)))</formula>
    </cfRule>
    <cfRule type="containsText" dxfId="809" priority="28" operator="containsText" text="Redutor">
      <formula>NOT(ISERROR(SEARCH("Redutor",B5)))</formula>
    </cfRule>
    <cfRule type="containsText" dxfId="808" priority="29" operator="containsText" text="Bomba">
      <formula>NOT(ISERROR(SEARCH("Bomba",B5)))</formula>
    </cfRule>
  </conditionalFormatting>
  <dataValidations count="2">
    <dataValidation type="list" allowBlank="1" showInputMessage="1" showErrorMessage="1" sqref="B5:H93" xr:uid="{72243197-E80C-46C5-91FC-A702C3227A3C}">
      <formula1>$J$5:$J$15</formula1>
    </dataValidation>
    <dataValidation type="list" allowBlank="1" showInputMessage="1" showErrorMessage="1" sqref="B94:H95" xr:uid="{12C50FF9-0067-41EA-857D-ADCF4F10845D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99D8A15-27AB-40EB-AB1A-FD18EB8F3064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8DDA6277-A3CF-4D6B-B607-36063BEAE686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9" operator="containsText" id="{4212AC40-C9E5-44FB-9022-B812EDAEF4C9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49" operator="containsText" id="{916A8B0A-7200-4F58-A194-8AF3DAD05C85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0" operator="containsText" id="{F1575DF2-B0D2-4423-A491-C89842BC2EFD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1" operator="containsText" id="{B1FEF023-6F43-49FD-A6CB-9B2DBF9BF193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2" operator="containsText" id="{070F6D7B-B5CB-4429-AC3E-692C2B2887F2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3" operator="containsText" id="{374974CF-9787-4116-8BA4-4DFFD773B94A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4" operator="containsText" id="{AA3632DC-DD85-45D2-879C-18B1C41EDF98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38" operator="containsText" id="{36B51686-03D7-41C6-9674-D3BF61C68310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19" operator="containsText" id="{E5B0E559-A936-42BE-8956-A454D3D83EC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E45FDC61-AD6A-4FB9-A6AF-F8EA9CEA3270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" operator="containsText" id="{6D4D4647-6A47-43C0-BCBF-E780CCF72C39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5" operator="containsText" id="{FDE31C28-335A-4C5F-BCA3-CB7AD5079348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6" operator="containsText" id="{9348ED1E-1E20-481F-BB7B-9A3E5607B00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7" operator="containsText" id="{89C10CC3-10C3-4842-86B9-53F871C44549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9" operator="containsText" id="{398AF599-26B5-4588-9F63-CC1C533FCE4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0" operator="containsText" id="{C9CE2908-022B-4730-A33F-F08A7A1647CD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1" operator="containsText" id="{E4385135-CECF-4D69-80DE-1225F0BED72C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9CEAD1C1-97A2-420B-B6BE-7689AD16FCBA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1E0B1D9B-F269-4EE9-B7D1-074E0FD0F5C9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4" operator="containsText" id="{CDAE4499-80CC-4A37-9CD9-72413F2EED5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5" operator="containsText" id="{0154DD89-FDE6-4737-A654-C5C36B56EE77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6" operator="containsText" id="{F8B1A86D-4300-4C98-BC42-BFA20F6B6B70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7" operator="containsText" id="{33512125-D0F8-4B64-9885-E12C77BE7DF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8" operator="containsText" id="{E5DAB362-FC62-4620-BABC-B1ACCAEE07F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0" operator="containsText" id="{979C72ED-5B74-4E1C-A256-8765067618A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0" operator="containsText" id="{90C11492-6658-47A7-B5C5-55A4FE2A7AA7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C780BD7E-3234-4EF1-9D92-8EF8381A8C5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CF6104DD-3290-4D5C-809C-CB2B2010FB13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C2ECFCC2-66EE-4490-B031-A3751D0D0F5A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A3F59D77-F9E6-4997-AC35-D647A68C90CA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A43260E1-F26F-4528-9A69-E9578B1F9849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8" operator="containsText" id="{79ACA2FB-8A4B-4727-8940-DC2D969696DF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764E-9D0A-428A-A47A-120971672CFE}">
  <sheetPr>
    <tabColor rgb="FF92D050"/>
    <pageSetUpPr fitToPage="1"/>
  </sheetPr>
  <dimension ref="A1:P93"/>
  <sheetViews>
    <sheetView showGridLines="0" zoomScaleNormal="100" workbookViewId="0">
      <pane ySplit="4" topLeftCell="A41" activePane="bottomLeft" state="frozen"/>
      <selection pane="bottomLeft" activeCell="H58" sqref="H58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113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44655</v>
      </c>
      <c r="C3" s="11">
        <f t="shared" ref="C3:H3" si="0">B3+1</f>
        <v>44656</v>
      </c>
      <c r="D3" s="11">
        <f t="shared" si="0"/>
        <v>44657</v>
      </c>
      <c r="E3" s="11">
        <f t="shared" si="0"/>
        <v>44658</v>
      </c>
      <c r="F3" s="11">
        <f t="shared" si="0"/>
        <v>44659</v>
      </c>
      <c r="G3" s="11">
        <f t="shared" si="0"/>
        <v>44660</v>
      </c>
      <c r="H3" s="12">
        <f t="shared" si="0"/>
        <v>44661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/>
      <c r="D5" s="8"/>
      <c r="E5" s="8"/>
      <c r="F5" s="8"/>
      <c r="G5" s="8"/>
      <c r="H5" s="8"/>
      <c r="J5" s="20" t="s">
        <v>5</v>
      </c>
      <c r="K5" s="40">
        <f>COUNTIF($B$5:$H$93,J5)</f>
        <v>1</v>
      </c>
      <c r="L5" s="48">
        <f t="shared" ref="L5:L15" si="2">K5/$K$16</f>
        <v>0.16666666666666666</v>
      </c>
    </row>
    <row r="6" spans="1:16">
      <c r="A6" s="6" t="s">
        <v>6</v>
      </c>
      <c r="B6" s="9"/>
      <c r="C6" s="9"/>
      <c r="D6" s="9"/>
      <c r="E6" s="9"/>
      <c r="F6" s="9"/>
      <c r="G6" s="9"/>
      <c r="H6" s="9"/>
      <c r="J6" s="21" t="s">
        <v>7</v>
      </c>
      <c r="K6" s="41">
        <f t="shared" ref="K6:K13" si="3">COUNTIF($B$5:$H$93,J6)</f>
        <v>3</v>
      </c>
      <c r="L6" s="49">
        <f t="shared" si="2"/>
        <v>0.5</v>
      </c>
    </row>
    <row r="7" spans="1:16">
      <c r="A7" s="6" t="s">
        <v>8</v>
      </c>
      <c r="B7" s="9"/>
      <c r="C7" s="9"/>
      <c r="D7" s="9"/>
      <c r="E7" s="9"/>
      <c r="F7" s="9"/>
      <c r="G7" s="9"/>
      <c r="H7" s="9"/>
      <c r="J7" s="22" t="s">
        <v>111</v>
      </c>
      <c r="K7" s="41">
        <f t="shared" si="3"/>
        <v>0</v>
      </c>
      <c r="L7" s="49">
        <f t="shared" si="2"/>
        <v>0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41">
        <f>COUNTIF($B$5:$H$93,J8)</f>
        <v>0</v>
      </c>
      <c r="L8" s="49">
        <f t="shared" si="2"/>
        <v>0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41">
        <f>COUNTIF($B$5:$H$93,J9)</f>
        <v>1</v>
      </c>
      <c r="L9" s="49">
        <f t="shared" si="2"/>
        <v>0.16666666666666666</v>
      </c>
      <c r="P9" s="3"/>
    </row>
    <row r="10" spans="1:16">
      <c r="A10" s="6" t="s">
        <v>14</v>
      </c>
      <c r="B10" s="9"/>
      <c r="C10" s="9"/>
      <c r="D10" s="9"/>
      <c r="E10" s="9"/>
      <c r="F10" s="9"/>
      <c r="G10" s="9"/>
      <c r="H10" s="9"/>
      <c r="J10" s="25" t="s">
        <v>105</v>
      </c>
      <c r="K10" s="41">
        <f t="shared" si="3"/>
        <v>0</v>
      </c>
      <c r="L10" s="49">
        <f t="shared" si="2"/>
        <v>0</v>
      </c>
    </row>
    <row r="11" spans="1:16">
      <c r="A11" s="6" t="s">
        <v>16</v>
      </c>
      <c r="B11" s="9"/>
      <c r="C11" s="9"/>
      <c r="D11" s="9"/>
      <c r="E11" s="9"/>
      <c r="F11" s="9"/>
      <c r="G11" s="9"/>
      <c r="H11" s="9"/>
      <c r="J11" s="26" t="s">
        <v>17</v>
      </c>
      <c r="K11" s="41">
        <f t="shared" si="3"/>
        <v>0</v>
      </c>
      <c r="L11" s="49">
        <f t="shared" si="2"/>
        <v>0</v>
      </c>
    </row>
    <row r="12" spans="1:16">
      <c r="A12" s="6" t="s">
        <v>18</v>
      </c>
      <c r="B12" s="9"/>
      <c r="C12" s="9"/>
      <c r="D12" s="9"/>
      <c r="E12" s="9"/>
      <c r="F12" s="9"/>
      <c r="G12" s="9"/>
      <c r="H12" s="9"/>
      <c r="J12" s="27" t="s">
        <v>107</v>
      </c>
      <c r="K12" s="41">
        <f t="shared" si="3"/>
        <v>0</v>
      </c>
      <c r="L12" s="49">
        <f t="shared" si="2"/>
        <v>0</v>
      </c>
    </row>
    <row r="13" spans="1:16">
      <c r="A13" s="6" t="s">
        <v>20</v>
      </c>
      <c r="B13" s="9"/>
      <c r="C13" s="9"/>
      <c r="D13" s="9"/>
      <c r="E13" s="9"/>
      <c r="F13" s="9"/>
      <c r="G13" s="9"/>
      <c r="H13" s="9"/>
      <c r="J13" s="28" t="s">
        <v>21</v>
      </c>
      <c r="K13" s="41">
        <f t="shared" si="3"/>
        <v>1</v>
      </c>
      <c r="L13" s="49">
        <f t="shared" si="2"/>
        <v>0.16666666666666666</v>
      </c>
    </row>
    <row r="14" spans="1:16">
      <c r="A14" s="6" t="s">
        <v>22</v>
      </c>
      <c r="B14" s="9"/>
      <c r="C14" s="9"/>
      <c r="D14" s="9"/>
      <c r="E14" s="9"/>
      <c r="F14" s="9"/>
      <c r="G14" s="9"/>
      <c r="H14" s="9"/>
      <c r="J14" s="39" t="s">
        <v>23</v>
      </c>
      <c r="K14" s="41">
        <f>COUNTIF($B$5:$H$93,J14)</f>
        <v>0</v>
      </c>
      <c r="L14" s="49">
        <f t="shared" si="2"/>
        <v>0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  <c r="J15" s="47" t="s">
        <v>108</v>
      </c>
      <c r="K15" s="50">
        <f>COUNTIF($B$5:$H$93,J15)</f>
        <v>0</v>
      </c>
      <c r="L15" s="51">
        <f t="shared" si="2"/>
        <v>0</v>
      </c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7" t="s">
        <v>26</v>
      </c>
      <c r="K16" s="1">
        <f>SUM(K5:K15)</f>
        <v>6</v>
      </c>
    </row>
    <row r="17" spans="1:10">
      <c r="A17" s="6" t="s">
        <v>27</v>
      </c>
      <c r="B17" s="9"/>
      <c r="C17" s="9"/>
      <c r="D17" s="9"/>
      <c r="E17" s="9"/>
      <c r="F17" s="9"/>
      <c r="G17" s="9"/>
      <c r="H17" s="9"/>
      <c r="J17" s="7"/>
    </row>
    <row r="18" spans="1:10">
      <c r="A18" s="6" t="s">
        <v>28</v>
      </c>
      <c r="B18" s="9"/>
      <c r="C18" s="9"/>
      <c r="D18" s="9"/>
      <c r="E18" s="9"/>
      <c r="F18" s="9"/>
      <c r="G18" s="9"/>
      <c r="H18" s="9"/>
      <c r="J18" s="7"/>
    </row>
    <row r="19" spans="1:10">
      <c r="A19" s="6" t="s">
        <v>29</v>
      </c>
      <c r="B19" s="9"/>
      <c r="C19" s="9"/>
      <c r="D19" s="9"/>
      <c r="E19" s="9"/>
      <c r="F19" s="9"/>
      <c r="G19" s="9"/>
      <c r="H19" s="9"/>
      <c r="J19" s="7"/>
    </row>
    <row r="20" spans="1:10">
      <c r="A20" s="6" t="s">
        <v>30</v>
      </c>
      <c r="B20" s="9"/>
      <c r="C20" s="9"/>
      <c r="D20" s="9"/>
      <c r="E20" s="9"/>
      <c r="F20" s="9"/>
      <c r="G20" s="9" t="s">
        <v>5</v>
      </c>
      <c r="H20" s="9"/>
      <c r="J20" s="7"/>
    </row>
    <row r="21" spans="1:10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0">
      <c r="A22" s="6" t="s">
        <v>32</v>
      </c>
      <c r="B22" s="9"/>
      <c r="C22" s="9"/>
      <c r="D22" s="9"/>
      <c r="E22" s="9"/>
      <c r="F22" s="9"/>
      <c r="G22" s="9"/>
      <c r="H22" s="9"/>
      <c r="J22" s="7"/>
    </row>
    <row r="23" spans="1:10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0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0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0">
      <c r="A26" s="6" t="s">
        <v>36</v>
      </c>
      <c r="B26" s="9"/>
      <c r="C26" s="9"/>
      <c r="D26" s="9"/>
      <c r="E26" s="9"/>
      <c r="F26" s="9"/>
      <c r="G26" s="9"/>
      <c r="H26" s="9"/>
      <c r="J26" s="7"/>
    </row>
    <row r="27" spans="1:10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0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0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0">
      <c r="A30" s="6" t="s">
        <v>40</v>
      </c>
      <c r="B30" s="9"/>
      <c r="C30" s="9"/>
      <c r="D30" s="9"/>
      <c r="E30" s="9"/>
      <c r="F30" s="9"/>
      <c r="G30" s="9"/>
      <c r="H30" s="9"/>
    </row>
    <row r="31" spans="1:10">
      <c r="A31" s="6" t="s">
        <v>41</v>
      </c>
      <c r="B31" s="9"/>
      <c r="C31" s="9"/>
      <c r="D31" s="9"/>
      <c r="E31" s="9"/>
      <c r="F31" s="9"/>
      <c r="G31" s="9"/>
      <c r="H31" s="9"/>
    </row>
    <row r="32" spans="1:10">
      <c r="A32" s="6" t="s">
        <v>42</v>
      </c>
      <c r="B32" s="9"/>
      <c r="C32" s="9"/>
      <c r="D32" s="9"/>
      <c r="E32" s="9"/>
      <c r="F32" s="9"/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/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/>
      <c r="F35" s="9"/>
      <c r="G35" s="9"/>
      <c r="H35" s="9"/>
    </row>
    <row r="36" spans="1:8">
      <c r="A36" s="6" t="s">
        <v>46</v>
      </c>
      <c r="B36" s="9"/>
      <c r="C36" s="9"/>
      <c r="D36" s="9"/>
      <c r="E36" s="9"/>
      <c r="F36" s="9"/>
      <c r="G36" s="9"/>
      <c r="H36" s="9"/>
    </row>
    <row r="37" spans="1:8">
      <c r="A37" s="6" t="s">
        <v>47</v>
      </c>
      <c r="B37" s="9"/>
      <c r="C37" s="9"/>
      <c r="D37" s="9"/>
      <c r="E37" s="9"/>
      <c r="F37" s="9"/>
      <c r="G37" s="9"/>
      <c r="H37" s="9"/>
    </row>
    <row r="38" spans="1:8">
      <c r="A38" s="6" t="s">
        <v>48</v>
      </c>
      <c r="B38" s="9"/>
      <c r="C38" s="9"/>
      <c r="D38" s="9"/>
      <c r="E38" s="9"/>
      <c r="F38" s="9"/>
      <c r="G38" s="9"/>
      <c r="H38" s="9"/>
    </row>
    <row r="39" spans="1:8">
      <c r="A39" s="6" t="s">
        <v>49</v>
      </c>
      <c r="B39" s="9"/>
      <c r="C39" s="9"/>
      <c r="D39" s="9"/>
      <c r="E39" s="9"/>
      <c r="F39" s="9"/>
      <c r="G39" s="9"/>
      <c r="H39" s="9"/>
    </row>
    <row r="40" spans="1:8">
      <c r="A40" s="6" t="s">
        <v>50</v>
      </c>
      <c r="B40" s="9"/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/>
      <c r="G44" s="9"/>
      <c r="H44" s="9"/>
    </row>
    <row r="45" spans="1:8">
      <c r="A45" s="6" t="s">
        <v>55</v>
      </c>
      <c r="B45" s="9"/>
      <c r="C45" s="9"/>
      <c r="D45" s="9"/>
      <c r="E45" s="9"/>
      <c r="F45" s="9"/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/>
      <c r="C52" s="9"/>
      <c r="D52" s="9"/>
      <c r="E52" s="9"/>
      <c r="F52" s="9"/>
      <c r="G52" s="9"/>
      <c r="H52" s="9"/>
    </row>
    <row r="53" spans="1:8">
      <c r="A53" s="6" t="s">
        <v>63</v>
      </c>
      <c r="B53" s="9"/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/>
      <c r="D54" s="9"/>
      <c r="E54" s="9"/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/>
      <c r="F57" s="9"/>
      <c r="G57" s="9"/>
      <c r="H57" s="9"/>
    </row>
    <row r="58" spans="1:8">
      <c r="A58" s="6" t="s">
        <v>68</v>
      </c>
      <c r="B58" s="9"/>
      <c r="C58" s="9"/>
      <c r="D58" s="9"/>
      <c r="E58" s="9"/>
      <c r="F58" s="9"/>
      <c r="G58" s="9"/>
      <c r="H58" s="9" t="s">
        <v>21</v>
      </c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/>
      <c r="H61" s="9"/>
    </row>
    <row r="62" spans="1:8">
      <c r="A62" s="6" t="s">
        <v>72</v>
      </c>
      <c r="B62" s="9"/>
      <c r="C62" s="9"/>
      <c r="D62" s="9"/>
      <c r="E62" s="9"/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 t="s">
        <v>13</v>
      </c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/>
      <c r="C75" s="9"/>
      <c r="D75" s="9"/>
      <c r="E75" s="9"/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 t="s">
        <v>7</v>
      </c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/>
      <c r="G86" s="9"/>
      <c r="H86" s="9"/>
    </row>
    <row r="87" spans="1:8">
      <c r="A87" s="6" t="s">
        <v>97</v>
      </c>
      <c r="B87" s="9"/>
      <c r="C87" s="9"/>
      <c r="D87" s="9" t="s">
        <v>7</v>
      </c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 t="s">
        <v>7</v>
      </c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773" priority="40" operator="containsText" text="Pulverização">
      <formula>NOT(ISERROR(SEARCH("Pulverização",B94)))</formula>
    </cfRule>
    <cfRule type="cellIs" dxfId="772" priority="41" operator="greaterThan">
      <formula>$J$5</formula>
    </cfRule>
    <cfRule type="containsText" dxfId="771" priority="42" operator="containsText" text="Cardã">
      <formula>NOT(ISERROR(SEARCH("Cardã",B94)))</formula>
    </cfRule>
    <cfRule type="containsText" dxfId="770" priority="43" operator="containsText" text="Pneu">
      <formula>NOT(ISERROR(SEARCH("Pneu",B94)))</formula>
    </cfRule>
    <cfRule type="containsText" dxfId="769" priority="44" operator="containsText" text="Vedação">
      <formula>NOT(ISERROR(SEARCH("Vedação",B94)))</formula>
    </cfRule>
    <cfRule type="containsText" dxfId="768" priority="45" operator="containsText" text="Retentor">
      <formula>NOT(ISERROR(SEARCH("Retentor",B94)))</formula>
    </cfRule>
    <cfRule type="containsText" dxfId="767" priority="46" operator="containsText" text="Motorredutor">
      <formula>NOT(ISERROR(SEARCH("Motorredutor",B94)))</formula>
    </cfRule>
    <cfRule type="containsText" dxfId="766" priority="47" operator="containsText" text="Redutor">
      <formula>NOT(ISERROR(SEARCH("Redutor",B94)))</formula>
    </cfRule>
    <cfRule type="containsText" dxfId="765" priority="48" operator="containsText" text="Bomba">
      <formula>NOT(ISERROR(SEARCH("Bomba",B94)))</formula>
    </cfRule>
  </conditionalFormatting>
  <conditionalFormatting sqref="A1:A1048576">
    <cfRule type="containsText" dxfId="764" priority="36" operator="containsText" text="Pivô">
      <formula>NOT(ISERROR(SEARCH("Pivô",A1)))</formula>
    </cfRule>
    <cfRule type="containsText" dxfId="763" priority="37" operator="containsText" text="Pivô">
      <formula>NOT(ISERROR(SEARCH("Pivô",A1)))</formula>
    </cfRule>
  </conditionalFormatting>
  <conditionalFormatting sqref="B5:H93">
    <cfRule type="containsText" dxfId="762" priority="21" operator="containsText" text="Pulverização">
      <formula>NOT(ISERROR(SEARCH("Pulverização",B5)))</formula>
    </cfRule>
    <cfRule type="cellIs" dxfId="761" priority="22" operator="greaterThan">
      <formula>$J$5</formula>
    </cfRule>
    <cfRule type="containsText" dxfId="760" priority="23" operator="containsText" text="Cardã">
      <formula>NOT(ISERROR(SEARCH("Cardã",B5)))</formula>
    </cfRule>
    <cfRule type="containsText" dxfId="759" priority="24" operator="containsText" text="Pneu">
      <formula>NOT(ISERROR(SEARCH("Pneu",B5)))</formula>
    </cfRule>
    <cfRule type="containsText" dxfId="758" priority="25" operator="containsText" text="Vedação">
      <formula>NOT(ISERROR(SEARCH("Vedação",B5)))</formula>
    </cfRule>
    <cfRule type="containsText" dxfId="757" priority="26" operator="containsText" text="Retentor">
      <formula>NOT(ISERROR(SEARCH("Retentor",B5)))</formula>
    </cfRule>
    <cfRule type="containsText" dxfId="756" priority="27" operator="containsText" text="Motorredutor">
      <formula>NOT(ISERROR(SEARCH("Motorredutor",B5)))</formula>
    </cfRule>
    <cfRule type="containsText" dxfId="755" priority="28" operator="containsText" text="Redutor">
      <formula>NOT(ISERROR(SEARCH("Redutor",B5)))</formula>
    </cfRule>
    <cfRule type="containsText" dxfId="754" priority="29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900CEE19-C4A0-4B6D-9F5D-06D43F0577C0}">
      <formula1>$J$5:$J$11</formula1>
    </dataValidation>
    <dataValidation type="list" allowBlank="1" showInputMessage="1" showErrorMessage="1" sqref="B5:H93" xr:uid="{D3CF5590-2C8C-4CAC-81D4-AB4CC0936629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08FA689-F867-46B1-824C-1985D85C66DE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979ED602-9332-4880-B44C-942C6B3A8645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9" operator="containsText" id="{962E119D-4EDD-49AB-A928-AD1A385C1F3F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49" operator="containsText" id="{32EDE7F8-B98E-400F-8232-1C23194523CC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0" operator="containsText" id="{2EECEDEC-8069-400B-8607-F1BDB7BDB14F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1" operator="containsText" id="{7A2FB230-23EE-40C3-B0AD-1514CFD76D46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2" operator="containsText" id="{BF4FCE08-FB3B-48D2-8712-ABFE6780EE8C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3" operator="containsText" id="{45924BFB-2C8C-4350-90D8-E558D66CBDCB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4" operator="containsText" id="{087F7D46-076F-4880-9533-BE12CB770C93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38" operator="containsText" id="{71828ACF-C109-4DCD-B455-78DE8F734BAF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19" operator="containsText" id="{689DF955-C439-4D01-9D8A-4D13323B072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2950C316-92F2-4D2A-AC7B-AB503BCD8B8F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" operator="containsText" id="{D97D9CA0-95E8-418A-AB06-7E2B08EAE053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5" operator="containsText" id="{B94D7E13-A040-4F82-AA2B-32E613C9942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6" operator="containsText" id="{B26E8C7F-4063-4581-BA42-2C0145749189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7" operator="containsText" id="{F0006ABD-142D-4EF4-B120-5D7333811B94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9" operator="containsText" id="{963916A8-70B1-49FB-986B-E5DA7C426E84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0" operator="containsText" id="{1D9066BC-8586-42FC-8635-072D35D7AF94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1" operator="containsText" id="{28DEA6FD-3E69-49D8-AEB9-B4FC47A6A9A5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03E65FEE-D0C9-4F03-B8E2-55AB71DE5AEC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4BC7F27D-E2BF-464D-8054-883F8BB16271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4" operator="containsText" id="{69D621C4-17F9-43E2-9042-4F3CC1D95E1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5" operator="containsText" id="{7BACC906-0682-4F15-9D86-4D1687D0B0B8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6" operator="containsText" id="{18E06758-226F-4B71-9FC2-1DCCB5C15F9D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7" operator="containsText" id="{594AB4B7-FF35-4E15-B81A-70381411799B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8" operator="containsText" id="{5F438530-888D-4DBE-A084-FA30A3F10077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0" operator="containsText" id="{C2D5D2C9-724D-4327-AF02-5D27306EBCE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0" operator="containsText" id="{DDCBA992-C6CE-4D6B-B3F7-6762D68D6579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EFA37CAA-C08E-4CC9-9CE4-6ABE62C7020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73F3E004-7951-429A-8D21-B05040C55CE9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3E52851B-9957-4DD8-8195-1B854BB7BB58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48C98877-23FB-461C-AFA3-7C3BD1814BCD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11F95B7A-82F5-4A1C-9521-9C49B31282DA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8" operator="containsText" id="{48D435B7-D43C-40CB-88FA-607128B77292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E0AC-12DC-4539-9705-FA5ADFBB033D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5" sqref="K5:K15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113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44662</v>
      </c>
      <c r="C3" s="11">
        <f t="shared" ref="C3:H3" si="0">B3+1</f>
        <v>44663</v>
      </c>
      <c r="D3" s="11">
        <f t="shared" si="0"/>
        <v>44664</v>
      </c>
      <c r="E3" s="11">
        <f t="shared" si="0"/>
        <v>44665</v>
      </c>
      <c r="F3" s="11">
        <f t="shared" si="0"/>
        <v>44666</v>
      </c>
      <c r="G3" s="11">
        <f t="shared" si="0"/>
        <v>44667</v>
      </c>
      <c r="H3" s="12">
        <f t="shared" si="0"/>
        <v>44668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/>
      <c r="D5" s="8"/>
      <c r="E5" s="8"/>
      <c r="F5" s="8"/>
      <c r="G5" s="8"/>
      <c r="H5" s="8"/>
      <c r="J5" s="20" t="s">
        <v>5</v>
      </c>
      <c r="K5" s="40">
        <f>COUNTIF($B$5:$H$93,J5)</f>
        <v>2</v>
      </c>
      <c r="L5" s="48">
        <f t="shared" ref="L5:L15" si="2">K5/$K$16</f>
        <v>0.66666666666666663</v>
      </c>
    </row>
    <row r="6" spans="1:16">
      <c r="A6" s="6" t="s">
        <v>6</v>
      </c>
      <c r="B6" s="9"/>
      <c r="C6" s="9"/>
      <c r="D6" s="9"/>
      <c r="E6" s="9"/>
      <c r="F6" s="9"/>
      <c r="G6" s="9"/>
      <c r="H6" s="9"/>
      <c r="J6" s="21" t="s">
        <v>7</v>
      </c>
      <c r="K6" s="41">
        <f t="shared" ref="K6:K13" si="3">COUNTIF($B$5:$H$93,J6)</f>
        <v>1</v>
      </c>
      <c r="L6" s="49">
        <f t="shared" si="2"/>
        <v>0.33333333333333331</v>
      </c>
    </row>
    <row r="7" spans="1:16">
      <c r="A7" s="6" t="s">
        <v>8</v>
      </c>
      <c r="B7" s="9"/>
      <c r="C7" s="9"/>
      <c r="D7" s="9"/>
      <c r="E7" s="9"/>
      <c r="F7" s="9"/>
      <c r="G7" s="9"/>
      <c r="H7" s="9"/>
      <c r="J7" s="22" t="s">
        <v>111</v>
      </c>
      <c r="K7" s="41">
        <f t="shared" si="3"/>
        <v>0</v>
      </c>
      <c r="L7" s="49">
        <f t="shared" si="2"/>
        <v>0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41">
        <f>COUNTIF($B$5:$H$93,J8)</f>
        <v>0</v>
      </c>
      <c r="L8" s="49">
        <f t="shared" si="2"/>
        <v>0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41">
        <f>COUNTIF($B$5:$H$93,J9)</f>
        <v>0</v>
      </c>
      <c r="L9" s="49">
        <f t="shared" si="2"/>
        <v>0</v>
      </c>
      <c r="P9" s="3"/>
    </row>
    <row r="10" spans="1:16">
      <c r="A10" s="6" t="s">
        <v>14</v>
      </c>
      <c r="B10" s="9"/>
      <c r="C10" s="9"/>
      <c r="D10" s="9"/>
      <c r="E10" s="9"/>
      <c r="F10" s="9"/>
      <c r="G10" s="9"/>
      <c r="H10" s="9"/>
      <c r="J10" s="25" t="s">
        <v>105</v>
      </c>
      <c r="K10" s="41">
        <f t="shared" si="3"/>
        <v>0</v>
      </c>
      <c r="L10" s="49">
        <f t="shared" si="2"/>
        <v>0</v>
      </c>
    </row>
    <row r="11" spans="1:16">
      <c r="A11" s="6" t="s">
        <v>16</v>
      </c>
      <c r="B11" s="9"/>
      <c r="C11" s="9"/>
      <c r="D11" s="9"/>
      <c r="E11" s="9"/>
      <c r="F11" s="9"/>
      <c r="G11" s="9"/>
      <c r="H11" s="9"/>
      <c r="J11" s="26" t="s">
        <v>17</v>
      </c>
      <c r="K11" s="41">
        <f t="shared" si="3"/>
        <v>0</v>
      </c>
      <c r="L11" s="49">
        <f t="shared" si="2"/>
        <v>0</v>
      </c>
    </row>
    <row r="12" spans="1:16">
      <c r="A12" s="6" t="s">
        <v>18</v>
      </c>
      <c r="B12" s="9"/>
      <c r="C12" s="9"/>
      <c r="D12" s="9"/>
      <c r="E12" s="9"/>
      <c r="F12" s="9"/>
      <c r="G12" s="9"/>
      <c r="H12" s="9"/>
      <c r="J12" s="27" t="s">
        <v>107</v>
      </c>
      <c r="K12" s="41">
        <f t="shared" si="3"/>
        <v>0</v>
      </c>
      <c r="L12" s="49">
        <f t="shared" si="2"/>
        <v>0</v>
      </c>
    </row>
    <row r="13" spans="1:16">
      <c r="A13" s="6" t="s">
        <v>20</v>
      </c>
      <c r="B13" s="9"/>
      <c r="C13" s="9"/>
      <c r="D13" s="9"/>
      <c r="E13" s="9"/>
      <c r="F13" s="9"/>
      <c r="G13" s="9"/>
      <c r="H13" s="9"/>
      <c r="J13" s="28" t="s">
        <v>21</v>
      </c>
      <c r="K13" s="41">
        <f t="shared" si="3"/>
        <v>0</v>
      </c>
      <c r="L13" s="49">
        <f t="shared" si="2"/>
        <v>0</v>
      </c>
    </row>
    <row r="14" spans="1:16">
      <c r="A14" s="6" t="s">
        <v>22</v>
      </c>
      <c r="B14" s="9"/>
      <c r="C14" s="9"/>
      <c r="D14" s="9"/>
      <c r="E14" s="9"/>
      <c r="F14" s="9"/>
      <c r="G14" s="9"/>
      <c r="H14" s="9"/>
      <c r="J14" s="39" t="s">
        <v>23</v>
      </c>
      <c r="K14" s="41">
        <f>COUNTIF($B$5:$H$93,J14)</f>
        <v>0</v>
      </c>
      <c r="L14" s="49">
        <f t="shared" si="2"/>
        <v>0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  <c r="J15" s="47" t="s">
        <v>108</v>
      </c>
      <c r="K15" s="50">
        <f>COUNTIF($B$5:$H$93,J15)</f>
        <v>0</v>
      </c>
      <c r="L15" s="51">
        <f t="shared" si="2"/>
        <v>0</v>
      </c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7" t="s">
        <v>26</v>
      </c>
      <c r="K16" s="1">
        <f>SUM(K5:K15)</f>
        <v>3</v>
      </c>
    </row>
    <row r="17" spans="1:10">
      <c r="A17" s="6" t="s">
        <v>27</v>
      </c>
      <c r="B17" s="9"/>
      <c r="C17" s="9"/>
      <c r="D17" s="9"/>
      <c r="E17" s="9"/>
      <c r="F17" s="9"/>
      <c r="G17" s="9"/>
      <c r="H17" s="9"/>
      <c r="J17" s="7"/>
    </row>
    <row r="18" spans="1:10">
      <c r="A18" s="6" t="s">
        <v>28</v>
      </c>
      <c r="B18" s="9"/>
      <c r="C18" s="9"/>
      <c r="D18" s="9"/>
      <c r="E18" s="9"/>
      <c r="F18" s="9"/>
      <c r="G18" s="9"/>
      <c r="H18" s="9"/>
      <c r="J18" s="7"/>
    </row>
    <row r="19" spans="1:10">
      <c r="A19" s="6" t="s">
        <v>29</v>
      </c>
      <c r="B19" s="9"/>
      <c r="C19" s="9"/>
      <c r="D19" s="9"/>
      <c r="E19" s="9"/>
      <c r="F19" s="9"/>
      <c r="G19" s="9"/>
      <c r="H19" s="9"/>
      <c r="J19" s="7"/>
    </row>
    <row r="20" spans="1:10">
      <c r="A20" s="6" t="s">
        <v>30</v>
      </c>
      <c r="B20" s="9" t="s">
        <v>5</v>
      </c>
      <c r="C20" s="9"/>
      <c r="D20" s="9"/>
      <c r="E20" s="9"/>
      <c r="F20" s="9"/>
      <c r="G20" s="9"/>
      <c r="H20" s="9"/>
      <c r="J20" s="7"/>
    </row>
    <row r="21" spans="1:10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0">
      <c r="A22" s="6" t="s">
        <v>32</v>
      </c>
      <c r="B22" s="9"/>
      <c r="C22" s="9"/>
      <c r="D22" s="9"/>
      <c r="E22" s="9"/>
      <c r="F22" s="9"/>
      <c r="G22" s="9"/>
      <c r="H22" s="9"/>
      <c r="J22" s="7"/>
    </row>
    <row r="23" spans="1:10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0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0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0">
      <c r="A26" s="6" t="s">
        <v>36</v>
      </c>
      <c r="B26" s="9"/>
      <c r="C26" s="9"/>
      <c r="D26" s="9"/>
      <c r="E26" s="9"/>
      <c r="F26" s="9"/>
      <c r="G26" s="9"/>
      <c r="H26" s="9"/>
      <c r="J26" s="7"/>
    </row>
    <row r="27" spans="1:10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0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0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0">
      <c r="A30" s="6" t="s">
        <v>40</v>
      </c>
      <c r="B30" s="9"/>
      <c r="C30" s="9"/>
      <c r="D30" s="9"/>
      <c r="E30" s="9"/>
      <c r="F30" s="9"/>
      <c r="G30" s="9"/>
      <c r="H30" s="9"/>
    </row>
    <row r="31" spans="1:10">
      <c r="A31" s="6" t="s">
        <v>41</v>
      </c>
      <c r="B31" s="9"/>
      <c r="C31" s="9"/>
      <c r="D31" s="9"/>
      <c r="E31" s="9"/>
      <c r="F31" s="9"/>
      <c r="G31" s="9"/>
      <c r="H31" s="9"/>
    </row>
    <row r="32" spans="1:10">
      <c r="A32" s="6" t="s">
        <v>42</v>
      </c>
      <c r="B32" s="9"/>
      <c r="C32" s="9"/>
      <c r="D32" s="9"/>
      <c r="E32" s="9"/>
      <c r="F32" s="9"/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/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/>
      <c r="F35" s="9"/>
      <c r="G35" s="9"/>
      <c r="H35" s="9"/>
    </row>
    <row r="36" spans="1:8">
      <c r="A36" s="6" t="s">
        <v>46</v>
      </c>
      <c r="B36" s="9"/>
      <c r="C36" s="9"/>
      <c r="D36" s="9"/>
      <c r="E36" s="9"/>
      <c r="F36" s="9"/>
      <c r="G36" s="9"/>
      <c r="H36" s="9"/>
    </row>
    <row r="37" spans="1:8">
      <c r="A37" s="6" t="s">
        <v>47</v>
      </c>
      <c r="B37" s="9"/>
      <c r="C37" s="9"/>
      <c r="D37" s="9"/>
      <c r="E37" s="9"/>
      <c r="F37" s="9"/>
      <c r="G37" s="9"/>
      <c r="H37" s="9"/>
    </row>
    <row r="38" spans="1:8">
      <c r="A38" s="6" t="s">
        <v>48</v>
      </c>
      <c r="B38" s="9"/>
      <c r="C38" s="9"/>
      <c r="D38" s="9"/>
      <c r="E38" s="9"/>
      <c r="F38" s="9"/>
      <c r="G38" s="9"/>
      <c r="H38" s="9"/>
    </row>
    <row r="39" spans="1:8">
      <c r="A39" s="6" t="s">
        <v>49</v>
      </c>
      <c r="B39" s="9"/>
      <c r="C39" s="9"/>
      <c r="D39" s="9"/>
      <c r="E39" s="9"/>
      <c r="F39" s="9"/>
      <c r="G39" s="9"/>
      <c r="H39" s="9"/>
    </row>
    <row r="40" spans="1:8">
      <c r="A40" s="6" t="s">
        <v>50</v>
      </c>
      <c r="B40" s="9"/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/>
      <c r="G44" s="9"/>
      <c r="H44" s="9"/>
    </row>
    <row r="45" spans="1:8">
      <c r="A45" s="6" t="s">
        <v>55</v>
      </c>
      <c r="B45" s="9"/>
      <c r="C45" s="9"/>
      <c r="D45" s="9"/>
      <c r="E45" s="9"/>
      <c r="F45" s="9"/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/>
      <c r="C52" s="9"/>
      <c r="D52" s="9"/>
      <c r="E52" s="9"/>
      <c r="F52" s="9"/>
      <c r="G52" s="9"/>
      <c r="H52" s="9"/>
    </row>
    <row r="53" spans="1:8">
      <c r="A53" s="6" t="s">
        <v>63</v>
      </c>
      <c r="B53" s="9"/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/>
      <c r="D54" s="9"/>
      <c r="E54" s="9"/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/>
      <c r="F57" s="9"/>
      <c r="G57" s="9"/>
      <c r="H57" s="9"/>
    </row>
    <row r="58" spans="1:8">
      <c r="A58" s="6" t="s">
        <v>68</v>
      </c>
      <c r="B58" s="9"/>
      <c r="C58" s="9"/>
      <c r="D58" s="9"/>
      <c r="E58" s="9"/>
      <c r="F58" s="9"/>
      <c r="G58" s="9"/>
      <c r="H58" s="9"/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 t="s">
        <v>5</v>
      </c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/>
      <c r="H61" s="9"/>
    </row>
    <row r="62" spans="1:8">
      <c r="A62" s="6" t="s">
        <v>72</v>
      </c>
      <c r="B62" s="9"/>
      <c r="C62" s="9"/>
      <c r="D62" s="9"/>
      <c r="E62" s="9"/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/>
      <c r="C75" s="9"/>
      <c r="D75" s="9"/>
      <c r="E75" s="9"/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/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 t="s">
        <v>7</v>
      </c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719" priority="40" operator="containsText" text="Pulverização">
      <formula>NOT(ISERROR(SEARCH("Pulverização",B94)))</formula>
    </cfRule>
    <cfRule type="cellIs" dxfId="718" priority="41" operator="greaterThan">
      <formula>$J$5</formula>
    </cfRule>
    <cfRule type="containsText" dxfId="717" priority="42" operator="containsText" text="Cardã">
      <formula>NOT(ISERROR(SEARCH("Cardã",B94)))</formula>
    </cfRule>
    <cfRule type="containsText" dxfId="716" priority="43" operator="containsText" text="Pneu">
      <formula>NOT(ISERROR(SEARCH("Pneu",B94)))</formula>
    </cfRule>
    <cfRule type="containsText" dxfId="715" priority="44" operator="containsText" text="Vedação">
      <formula>NOT(ISERROR(SEARCH("Vedação",B94)))</formula>
    </cfRule>
    <cfRule type="containsText" dxfId="714" priority="45" operator="containsText" text="Retentor">
      <formula>NOT(ISERROR(SEARCH("Retentor",B94)))</formula>
    </cfRule>
    <cfRule type="containsText" dxfId="713" priority="46" operator="containsText" text="Motorredutor">
      <formula>NOT(ISERROR(SEARCH("Motorredutor",B94)))</formula>
    </cfRule>
    <cfRule type="containsText" dxfId="712" priority="47" operator="containsText" text="Redutor">
      <formula>NOT(ISERROR(SEARCH("Redutor",B94)))</formula>
    </cfRule>
    <cfRule type="containsText" dxfId="711" priority="48" operator="containsText" text="Bomba">
      <formula>NOT(ISERROR(SEARCH("Bomba",B94)))</formula>
    </cfRule>
  </conditionalFormatting>
  <conditionalFormatting sqref="A1:A1048576">
    <cfRule type="containsText" dxfId="710" priority="36" operator="containsText" text="Pivô">
      <formula>NOT(ISERROR(SEARCH("Pivô",A1)))</formula>
    </cfRule>
    <cfRule type="containsText" dxfId="709" priority="37" operator="containsText" text="Pivô">
      <formula>NOT(ISERROR(SEARCH("Pivô",A1)))</formula>
    </cfRule>
  </conditionalFormatting>
  <conditionalFormatting sqref="B5:H93">
    <cfRule type="containsText" dxfId="708" priority="21" operator="containsText" text="Pulverização">
      <formula>NOT(ISERROR(SEARCH("Pulverização",B5)))</formula>
    </cfRule>
    <cfRule type="cellIs" dxfId="707" priority="22" operator="greaterThan">
      <formula>$J$5</formula>
    </cfRule>
    <cfRule type="containsText" dxfId="706" priority="23" operator="containsText" text="Cardã">
      <formula>NOT(ISERROR(SEARCH("Cardã",B5)))</formula>
    </cfRule>
    <cfRule type="containsText" dxfId="705" priority="24" operator="containsText" text="Pneu">
      <formula>NOT(ISERROR(SEARCH("Pneu",B5)))</formula>
    </cfRule>
    <cfRule type="containsText" dxfId="704" priority="25" operator="containsText" text="Vedação">
      <formula>NOT(ISERROR(SEARCH("Vedação",B5)))</formula>
    </cfRule>
    <cfRule type="containsText" dxfId="703" priority="26" operator="containsText" text="Retentor">
      <formula>NOT(ISERROR(SEARCH("Retentor",B5)))</formula>
    </cfRule>
    <cfRule type="containsText" dxfId="702" priority="27" operator="containsText" text="Motorredutor">
      <formula>NOT(ISERROR(SEARCH("Motorredutor",B5)))</formula>
    </cfRule>
    <cfRule type="containsText" dxfId="701" priority="28" operator="containsText" text="Redutor">
      <formula>NOT(ISERROR(SEARCH("Redutor",B5)))</formula>
    </cfRule>
    <cfRule type="containsText" dxfId="700" priority="29" operator="containsText" text="Bomba">
      <formula>NOT(ISERROR(SEARCH("Bomba",B5)))</formula>
    </cfRule>
  </conditionalFormatting>
  <dataValidations count="2">
    <dataValidation type="list" allowBlank="1" showInputMessage="1" showErrorMessage="1" sqref="B5:H93" xr:uid="{DCEB9F86-7F0E-4E36-90AA-E445702C76A4}">
      <formula1>$J$5:$J$15</formula1>
    </dataValidation>
    <dataValidation type="list" allowBlank="1" showInputMessage="1" showErrorMessage="1" sqref="B94:H95" xr:uid="{8E8D06C1-C400-4212-B9EA-426E7A7D299C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88B53F8-87BB-41D0-B6FB-248864713835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CFE9DD4E-58EA-49A1-B488-A33ABCDD8F7B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9" operator="containsText" id="{8AA3646E-1F0D-4E3B-B853-CCF3A1749EF1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49" operator="containsText" id="{94024D54-E079-4FF2-9DB6-6546267A64F5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0" operator="containsText" id="{1AD61C53-7D2A-4437-A47E-90848362FFF8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1" operator="containsText" id="{038F021E-0D0E-475D-8597-324BD31ED5B2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2" operator="containsText" id="{B5E05F1F-2E7A-47DA-9794-148587EB8DB2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3" operator="containsText" id="{3DDECF71-D2A0-4811-89FA-D23D0618D2FC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4" operator="containsText" id="{F0996EAA-54A8-4756-8809-3C61CEBAD353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38" operator="containsText" id="{24169689-2F9B-44CD-B7F3-99A6B88B25DA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19" operator="containsText" id="{43700843-F558-43E0-86DF-4680DF44F561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3C1D885B-9FA3-48DB-8EE7-775DFB70B89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" operator="containsText" id="{A04CA905-1D9F-4D2A-B2DC-84B2A7464EB7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5" operator="containsText" id="{8FCFC670-EA6E-4441-A6D9-9712A95126AE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6" operator="containsText" id="{6BB390EA-5880-4557-96CD-DB2328255DA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7" operator="containsText" id="{AE704A1D-2F35-4E8A-8337-43605DF07B89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9" operator="containsText" id="{F345D4FD-4A77-436C-B8AC-E1A40D2D9532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0" operator="containsText" id="{119DC58B-61DD-4F38-97C9-86BFB013553C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1" operator="containsText" id="{C75883E4-11B6-42E8-BE10-F65791F69AEF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307A5B5D-A772-4813-913F-56E6EECDA3CD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CFF68F0B-BD26-441F-9EB7-DAA193AD4944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4" operator="containsText" id="{90F08EDF-E01F-45A3-9F8D-622DEB95352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5" operator="containsText" id="{EA6B3DCA-1C3D-49F8-844E-DB97B76620ED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6" operator="containsText" id="{8422CF6E-ECCC-408A-AB0A-F40613870BD3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7" operator="containsText" id="{814D3323-22D1-4978-B9E3-C48C6C62B23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8" operator="containsText" id="{E98D42F5-9A9B-4419-8A86-81C376548CBE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0" operator="containsText" id="{F0ED2402-3EA2-42C3-8210-B0BE2C9A905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0" operator="containsText" id="{55F55338-6B00-4A50-AA53-FA9C519C6262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386A6187-0D5A-4B79-A4BC-53E76259B023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3F197C94-38D8-4875-82C7-DDF1E06C3836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99449635-4C90-4870-97BA-CB5EFA767853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E66E49E1-49E4-4E38-9DD4-46513485950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3CD41289-5A48-404B-BCB1-A3E5B5F3F549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8" operator="containsText" id="{4A66936C-2E38-4B77-8944-DC41353894F4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6E44-7096-493D-B569-B33E5D6F36F2}">
  <sheetPr>
    <tabColor rgb="FF92D050"/>
    <pageSetUpPr fitToPage="1"/>
  </sheetPr>
  <dimension ref="A1:P93"/>
  <sheetViews>
    <sheetView showGridLines="0" zoomScaleNormal="100" workbookViewId="0">
      <pane ySplit="4" topLeftCell="A13" activePane="bottomLeft" state="frozen"/>
      <selection pane="bottomLeft" activeCell="K5" sqref="K5:K15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113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44669</v>
      </c>
      <c r="C3" s="11">
        <f t="shared" ref="C3:H3" si="0">B3+1</f>
        <v>44670</v>
      </c>
      <c r="D3" s="11">
        <f t="shared" si="0"/>
        <v>44671</v>
      </c>
      <c r="E3" s="11">
        <f t="shared" si="0"/>
        <v>44672</v>
      </c>
      <c r="F3" s="11">
        <f t="shared" si="0"/>
        <v>44673</v>
      </c>
      <c r="G3" s="11">
        <f t="shared" si="0"/>
        <v>44674</v>
      </c>
      <c r="H3" s="12">
        <f t="shared" si="0"/>
        <v>44675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/>
      <c r="D5" s="8"/>
      <c r="E5" s="8"/>
      <c r="F5" s="8"/>
      <c r="G5" s="8"/>
      <c r="H5" s="8"/>
      <c r="J5" s="20" t="s">
        <v>5</v>
      </c>
      <c r="K5" s="40">
        <f>COUNTIF($B$5:$H$93,J5)</f>
        <v>1</v>
      </c>
      <c r="L5" s="48">
        <f t="shared" ref="L5:L15" si="2">K5/$K$16</f>
        <v>1</v>
      </c>
    </row>
    <row r="6" spans="1:16">
      <c r="A6" s="6" t="s">
        <v>6</v>
      </c>
      <c r="B6" s="9"/>
      <c r="C6" s="9"/>
      <c r="D6" s="9"/>
      <c r="E6" s="9"/>
      <c r="F6" s="9"/>
      <c r="G6" s="9"/>
      <c r="H6" s="9"/>
      <c r="J6" s="21" t="s">
        <v>7</v>
      </c>
      <c r="K6" s="41">
        <f t="shared" ref="K6:K13" si="3">COUNTIF($B$5:$H$93,J6)</f>
        <v>0</v>
      </c>
      <c r="L6" s="49">
        <f t="shared" si="2"/>
        <v>0</v>
      </c>
    </row>
    <row r="7" spans="1:16">
      <c r="A7" s="6" t="s">
        <v>8</v>
      </c>
      <c r="B7" s="9"/>
      <c r="C7" s="9"/>
      <c r="D7" s="9"/>
      <c r="E7" s="9"/>
      <c r="F7" s="9"/>
      <c r="G7" s="9"/>
      <c r="H7" s="9"/>
      <c r="J7" s="22" t="s">
        <v>111</v>
      </c>
      <c r="K7" s="41">
        <f t="shared" si="3"/>
        <v>0</v>
      </c>
      <c r="L7" s="49">
        <f t="shared" si="2"/>
        <v>0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41">
        <f>COUNTIF($B$5:$H$93,J8)</f>
        <v>0</v>
      </c>
      <c r="L8" s="49">
        <f t="shared" si="2"/>
        <v>0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41">
        <f>COUNTIF($B$5:$H$93,J9)</f>
        <v>0</v>
      </c>
      <c r="L9" s="49">
        <f t="shared" si="2"/>
        <v>0</v>
      </c>
      <c r="P9" s="3"/>
    </row>
    <row r="10" spans="1:16">
      <c r="A10" s="6" t="s">
        <v>14</v>
      </c>
      <c r="B10" s="9"/>
      <c r="C10" s="9"/>
      <c r="D10" s="9"/>
      <c r="E10" s="9"/>
      <c r="F10" s="9"/>
      <c r="G10" s="9"/>
      <c r="H10" s="9"/>
      <c r="J10" s="25" t="s">
        <v>105</v>
      </c>
      <c r="K10" s="41">
        <f t="shared" si="3"/>
        <v>0</v>
      </c>
      <c r="L10" s="49">
        <f t="shared" si="2"/>
        <v>0</v>
      </c>
    </row>
    <row r="11" spans="1:16">
      <c r="A11" s="6" t="s">
        <v>16</v>
      </c>
      <c r="B11" s="9"/>
      <c r="C11" s="9"/>
      <c r="D11" s="9"/>
      <c r="E11" s="9"/>
      <c r="F11" s="9"/>
      <c r="G11" s="9"/>
      <c r="H11" s="9"/>
      <c r="J11" s="26" t="s">
        <v>17</v>
      </c>
      <c r="K11" s="41">
        <f t="shared" si="3"/>
        <v>0</v>
      </c>
      <c r="L11" s="49">
        <f t="shared" si="2"/>
        <v>0</v>
      </c>
    </row>
    <row r="12" spans="1:16">
      <c r="A12" s="6" t="s">
        <v>18</v>
      </c>
      <c r="B12" s="9"/>
      <c r="C12" s="9"/>
      <c r="D12" s="9"/>
      <c r="E12" s="9"/>
      <c r="F12" s="9"/>
      <c r="G12" s="9"/>
      <c r="H12" s="9"/>
      <c r="J12" s="27" t="s">
        <v>107</v>
      </c>
      <c r="K12" s="41">
        <f t="shared" si="3"/>
        <v>0</v>
      </c>
      <c r="L12" s="49">
        <f t="shared" si="2"/>
        <v>0</v>
      </c>
    </row>
    <row r="13" spans="1:16">
      <c r="A13" s="6" t="s">
        <v>20</v>
      </c>
      <c r="B13" s="9"/>
      <c r="C13" s="9"/>
      <c r="D13" s="9"/>
      <c r="E13" s="9"/>
      <c r="F13" s="9"/>
      <c r="G13" s="9"/>
      <c r="H13" s="9"/>
      <c r="J13" s="28" t="s">
        <v>21</v>
      </c>
      <c r="K13" s="41">
        <f t="shared" si="3"/>
        <v>0</v>
      </c>
      <c r="L13" s="49">
        <f t="shared" si="2"/>
        <v>0</v>
      </c>
    </row>
    <row r="14" spans="1:16">
      <c r="A14" s="6" t="s">
        <v>22</v>
      </c>
      <c r="B14" s="9"/>
      <c r="C14" s="9"/>
      <c r="D14" s="9"/>
      <c r="E14" s="9"/>
      <c r="F14" s="9"/>
      <c r="G14" s="9"/>
      <c r="H14" s="9"/>
      <c r="J14" s="39" t="s">
        <v>23</v>
      </c>
      <c r="K14" s="41">
        <f>COUNTIF($B$5:$H$93,J14)</f>
        <v>0</v>
      </c>
      <c r="L14" s="49">
        <f t="shared" si="2"/>
        <v>0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  <c r="J15" s="47" t="s">
        <v>108</v>
      </c>
      <c r="K15" s="50">
        <f>COUNTIF($B$5:$H$93,J15)</f>
        <v>0</v>
      </c>
      <c r="L15" s="51">
        <f t="shared" si="2"/>
        <v>0</v>
      </c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7" t="s">
        <v>26</v>
      </c>
      <c r="K16" s="1">
        <f>SUM(K5:K15)</f>
        <v>1</v>
      </c>
    </row>
    <row r="17" spans="1:10">
      <c r="A17" s="6" t="s">
        <v>27</v>
      </c>
      <c r="B17" s="9"/>
      <c r="C17" s="9"/>
      <c r="D17" s="9"/>
      <c r="E17" s="9"/>
      <c r="F17" s="9"/>
      <c r="G17" s="9"/>
      <c r="H17" s="9"/>
      <c r="J17" s="7"/>
    </row>
    <row r="18" spans="1:10">
      <c r="A18" s="6" t="s">
        <v>28</v>
      </c>
      <c r="B18" s="9"/>
      <c r="C18" s="9"/>
      <c r="D18" s="9"/>
      <c r="E18" s="9"/>
      <c r="F18" s="9"/>
      <c r="G18" s="9"/>
      <c r="H18" s="9"/>
      <c r="J18" s="7"/>
    </row>
    <row r="19" spans="1:10">
      <c r="A19" s="6" t="s">
        <v>29</v>
      </c>
      <c r="B19" s="9"/>
      <c r="C19" s="9"/>
      <c r="D19" s="9"/>
      <c r="E19" s="9"/>
      <c r="F19" s="9"/>
      <c r="G19" s="9"/>
      <c r="H19" s="9"/>
      <c r="J19" s="7"/>
    </row>
    <row r="20" spans="1:10">
      <c r="A20" s="6" t="s">
        <v>30</v>
      </c>
      <c r="B20" s="9"/>
      <c r="C20" s="9"/>
      <c r="D20" s="9"/>
      <c r="E20" s="9"/>
      <c r="F20" s="9"/>
      <c r="G20" s="9"/>
      <c r="H20" s="9"/>
      <c r="J20" s="7"/>
    </row>
    <row r="21" spans="1:10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0">
      <c r="A22" s="6" t="s">
        <v>32</v>
      </c>
      <c r="B22" s="9"/>
      <c r="C22" s="9"/>
      <c r="D22" s="9"/>
      <c r="E22" s="9"/>
      <c r="F22" s="9"/>
      <c r="G22" s="9"/>
      <c r="H22" s="9"/>
      <c r="J22" s="7"/>
    </row>
    <row r="23" spans="1:10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0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0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0">
      <c r="A26" s="6" t="s">
        <v>36</v>
      </c>
      <c r="B26" s="9"/>
      <c r="C26" s="9"/>
      <c r="D26" s="9"/>
      <c r="E26" s="9"/>
      <c r="F26" s="9"/>
      <c r="G26" s="9"/>
      <c r="H26" s="9"/>
      <c r="J26" s="7"/>
    </row>
    <row r="27" spans="1:10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0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0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0">
      <c r="A30" s="6" t="s">
        <v>40</v>
      </c>
      <c r="B30" s="9"/>
      <c r="C30" s="9"/>
      <c r="D30" s="9"/>
      <c r="E30" s="9"/>
      <c r="F30" s="9"/>
      <c r="G30" s="9"/>
      <c r="H30" s="9"/>
    </row>
    <row r="31" spans="1:10">
      <c r="A31" s="6" t="s">
        <v>41</v>
      </c>
      <c r="B31" s="9"/>
      <c r="C31" s="9"/>
      <c r="D31" s="9"/>
      <c r="E31" s="9"/>
      <c r="F31" s="9"/>
      <c r="G31" s="9"/>
      <c r="H31" s="9"/>
    </row>
    <row r="32" spans="1:10">
      <c r="A32" s="6" t="s">
        <v>42</v>
      </c>
      <c r="B32" s="9"/>
      <c r="C32" s="9"/>
      <c r="D32" s="9"/>
      <c r="E32" s="9"/>
      <c r="F32" s="9"/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/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/>
      <c r="F35" s="9"/>
      <c r="G35" s="9"/>
      <c r="H35" s="9"/>
    </row>
    <row r="36" spans="1:8">
      <c r="A36" s="6" t="s">
        <v>46</v>
      </c>
      <c r="B36" s="9"/>
      <c r="C36" s="9"/>
      <c r="D36" s="9"/>
      <c r="E36" s="9"/>
      <c r="F36" s="9"/>
      <c r="G36" s="9"/>
      <c r="H36" s="9"/>
    </row>
    <row r="37" spans="1:8">
      <c r="A37" s="6" t="s">
        <v>47</v>
      </c>
      <c r="B37" s="9"/>
      <c r="C37" s="9"/>
      <c r="D37" s="9"/>
      <c r="E37" s="9"/>
      <c r="F37" s="9"/>
      <c r="G37" s="9"/>
      <c r="H37" s="9"/>
    </row>
    <row r="38" spans="1:8">
      <c r="A38" s="6" t="s">
        <v>48</v>
      </c>
      <c r="B38" s="9"/>
      <c r="C38" s="9"/>
      <c r="D38" s="9"/>
      <c r="E38" s="9"/>
      <c r="F38" s="9"/>
      <c r="G38" s="9"/>
      <c r="H38" s="9"/>
    </row>
    <row r="39" spans="1:8">
      <c r="A39" s="6" t="s">
        <v>49</v>
      </c>
      <c r="B39" s="9"/>
      <c r="C39" s="9"/>
      <c r="D39" s="9"/>
      <c r="E39" s="9"/>
      <c r="F39" s="9"/>
      <c r="G39" s="9"/>
      <c r="H39" s="9"/>
    </row>
    <row r="40" spans="1:8">
      <c r="A40" s="6" t="s">
        <v>50</v>
      </c>
      <c r="B40" s="9"/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/>
      <c r="G44" s="9"/>
      <c r="H44" s="9"/>
    </row>
    <row r="45" spans="1:8">
      <c r="A45" s="6" t="s">
        <v>55</v>
      </c>
      <c r="B45" s="9"/>
      <c r="C45" s="9"/>
      <c r="D45" s="9"/>
      <c r="E45" s="9"/>
      <c r="F45" s="9"/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 t="s">
        <v>5</v>
      </c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/>
      <c r="C52" s="9"/>
      <c r="D52" s="9"/>
      <c r="E52" s="9"/>
      <c r="F52" s="9"/>
      <c r="G52" s="9"/>
      <c r="H52" s="9"/>
    </row>
    <row r="53" spans="1:8">
      <c r="A53" s="6" t="s">
        <v>63</v>
      </c>
      <c r="B53" s="9"/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/>
      <c r="D54" s="9"/>
      <c r="E54" s="9"/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/>
      <c r="F57" s="9"/>
      <c r="G57" s="9"/>
      <c r="H57" s="9"/>
    </row>
    <row r="58" spans="1:8">
      <c r="A58" s="6" t="s">
        <v>68</v>
      </c>
      <c r="B58" s="9"/>
      <c r="C58" s="9"/>
      <c r="D58" s="9"/>
      <c r="E58" s="9"/>
      <c r="F58" s="9"/>
      <c r="G58" s="9"/>
      <c r="H58" s="9"/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/>
      <c r="H61" s="9"/>
    </row>
    <row r="62" spans="1:8">
      <c r="A62" s="6" t="s">
        <v>72</v>
      </c>
      <c r="B62" s="9"/>
      <c r="C62" s="9"/>
      <c r="D62" s="9"/>
      <c r="E62" s="9"/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/>
      <c r="C75" s="9"/>
      <c r="D75" s="9"/>
      <c r="E75" s="9"/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/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665" priority="40" operator="containsText" text="Pulverização">
      <formula>NOT(ISERROR(SEARCH("Pulverização",B94)))</formula>
    </cfRule>
    <cfRule type="cellIs" dxfId="664" priority="41" operator="greaterThan">
      <formula>$J$5</formula>
    </cfRule>
    <cfRule type="containsText" dxfId="663" priority="42" operator="containsText" text="Cardã">
      <formula>NOT(ISERROR(SEARCH("Cardã",B94)))</formula>
    </cfRule>
    <cfRule type="containsText" dxfId="662" priority="43" operator="containsText" text="Pneu">
      <formula>NOT(ISERROR(SEARCH("Pneu",B94)))</formula>
    </cfRule>
    <cfRule type="containsText" dxfId="661" priority="44" operator="containsText" text="Vedação">
      <formula>NOT(ISERROR(SEARCH("Vedação",B94)))</formula>
    </cfRule>
    <cfRule type="containsText" dxfId="660" priority="45" operator="containsText" text="Retentor">
      <formula>NOT(ISERROR(SEARCH("Retentor",B94)))</formula>
    </cfRule>
    <cfRule type="containsText" dxfId="659" priority="46" operator="containsText" text="Motorredutor">
      <formula>NOT(ISERROR(SEARCH("Motorredutor",B94)))</formula>
    </cfRule>
    <cfRule type="containsText" dxfId="658" priority="47" operator="containsText" text="Redutor">
      <formula>NOT(ISERROR(SEARCH("Redutor",B94)))</formula>
    </cfRule>
    <cfRule type="containsText" dxfId="657" priority="48" operator="containsText" text="Bomba">
      <formula>NOT(ISERROR(SEARCH("Bomba",B94)))</formula>
    </cfRule>
  </conditionalFormatting>
  <conditionalFormatting sqref="A1:A1048576">
    <cfRule type="containsText" dxfId="656" priority="36" operator="containsText" text="Pivô">
      <formula>NOT(ISERROR(SEARCH("Pivô",A1)))</formula>
    </cfRule>
    <cfRule type="containsText" dxfId="655" priority="37" operator="containsText" text="Pivô">
      <formula>NOT(ISERROR(SEARCH("Pivô",A1)))</formula>
    </cfRule>
  </conditionalFormatting>
  <conditionalFormatting sqref="B5:H93">
    <cfRule type="containsText" dxfId="654" priority="21" operator="containsText" text="Pulverização">
      <formula>NOT(ISERROR(SEARCH("Pulverização",B5)))</formula>
    </cfRule>
    <cfRule type="cellIs" dxfId="653" priority="22" operator="greaterThan">
      <formula>$J$5</formula>
    </cfRule>
    <cfRule type="containsText" dxfId="652" priority="23" operator="containsText" text="Cardã">
      <formula>NOT(ISERROR(SEARCH("Cardã",B5)))</formula>
    </cfRule>
    <cfRule type="containsText" dxfId="651" priority="24" operator="containsText" text="Pneu">
      <formula>NOT(ISERROR(SEARCH("Pneu",B5)))</formula>
    </cfRule>
    <cfRule type="containsText" dxfId="650" priority="25" operator="containsText" text="Vedação">
      <formula>NOT(ISERROR(SEARCH("Vedação",B5)))</formula>
    </cfRule>
    <cfRule type="containsText" dxfId="649" priority="26" operator="containsText" text="Retentor">
      <formula>NOT(ISERROR(SEARCH("Retentor",B5)))</formula>
    </cfRule>
    <cfRule type="containsText" dxfId="648" priority="27" operator="containsText" text="Motorredutor">
      <formula>NOT(ISERROR(SEARCH("Motorredutor",B5)))</formula>
    </cfRule>
    <cfRule type="containsText" dxfId="647" priority="28" operator="containsText" text="Redutor">
      <formula>NOT(ISERROR(SEARCH("Redutor",B5)))</formula>
    </cfRule>
    <cfRule type="containsText" dxfId="646" priority="29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42C00458-C4F1-4346-B164-369A8FD436AE}">
      <formula1>$J$5:$J$11</formula1>
    </dataValidation>
    <dataValidation type="list" allowBlank="1" showInputMessage="1" showErrorMessage="1" sqref="B5:H93" xr:uid="{3FFFAC95-F3A4-4C0E-9905-5B92FEB4B2CA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6C57A3E-7C4D-4535-AE2E-58CCC4C86F78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BBB1D979-85E2-44E2-BBDF-832339C3B040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9" operator="containsText" id="{2C66212C-1178-4E4E-B82C-FBEABF93E447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49" operator="containsText" id="{962C88B9-537E-4ECB-95A8-1EDB6BBF0A66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0" operator="containsText" id="{AC89EBBB-5FCD-4495-8AE3-63FD05E376AA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1" operator="containsText" id="{7F64ABE9-F672-4EF1-9D94-0AA99B015F96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2" operator="containsText" id="{D7C73187-F889-4310-A4A5-0DBB96869411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3" operator="containsText" id="{5CC86665-26BE-4F64-9832-A87A5D18FFE2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4" operator="containsText" id="{43DCC44F-6630-44EA-8887-201440E2F3CE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38" operator="containsText" id="{BF037439-E018-4BD3-8B0B-9DE6DB73D423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19" operator="containsText" id="{8F7B8728-2C69-4FFD-AB8F-40ED1EE19EE5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CA2776AB-8FB8-4A78-B900-4C1FE274CB8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" operator="containsText" id="{C76D15FF-740C-48B0-A765-FD01EA6C751A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5" operator="containsText" id="{15D64191-368B-4C13-8651-ED5938CF2D5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6" operator="containsText" id="{B11238BB-A124-497B-9035-8D81239114A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7" operator="containsText" id="{9AB8F137-B97E-47DB-8CE6-2D961564BC90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9" operator="containsText" id="{CA58AB6C-9C14-409A-BBBF-15AC3FFFA388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0" operator="containsText" id="{6F527F87-1B7A-4CD9-862E-469550B5FBA3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1" operator="containsText" id="{B4D120DA-1FA6-4E76-A2BD-DDD4861682CB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5A29CA94-9D02-43A2-BDE8-4DB11410FF9F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9BAAA70B-F374-457E-9EE0-72315A980E2E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4" operator="containsText" id="{BBF32FAE-0F2C-41C8-BFE3-6B428D0D9CD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5" operator="containsText" id="{7BB9D29B-3F37-48E6-834B-321F569E6274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6" operator="containsText" id="{92F7D3F9-CDC5-4A8C-BC50-14906FC02BB8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7" operator="containsText" id="{3612E194-D92B-424A-83C7-73D42B2EE0CE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8" operator="containsText" id="{A95B108B-70D4-4069-AAA7-2C7FE3749889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0" operator="containsText" id="{D17798E4-5B78-48FD-9EBA-A0E7ACB704F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0" operator="containsText" id="{0F35FCFD-22C3-46B4-B0EE-87AAAF4B84D7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1" operator="containsText" id="{302E5F40-CD31-49E9-88BC-5B9E48F8146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89C88313-3C2B-47B3-BBC7-A236F972EA45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3" operator="containsText" id="{265F6644-51FE-4572-87FA-01D6AD93E811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4" operator="containsText" id="{31E338E7-D07E-4424-912B-4B8123C07543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ABAF0A4D-B81A-4A28-8E9F-366727064571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8" operator="containsText" id="{C28E5214-869B-4126-9556-735A4995BBBF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F783-F6F5-4B00-B1BD-D66534DF376E}">
  <sheetPr>
    <tabColor rgb="FF92D050"/>
    <pageSetUpPr fitToPage="1"/>
  </sheetPr>
  <dimension ref="A1:P93"/>
  <sheetViews>
    <sheetView showGridLines="0" topLeftCell="G1" zoomScaleNormal="100" workbookViewId="0">
      <pane ySplit="4" topLeftCell="A5" activePane="bottomLeft" state="frozen"/>
      <selection pane="bottomLeft" activeCell="K24" sqref="K24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114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44676</v>
      </c>
      <c r="C3" s="11">
        <f t="shared" ref="C3:H3" si="0">B3+1</f>
        <v>44677</v>
      </c>
      <c r="D3" s="11">
        <f t="shared" si="0"/>
        <v>44678</v>
      </c>
      <c r="E3" s="11">
        <f t="shared" si="0"/>
        <v>44679</v>
      </c>
      <c r="F3" s="11">
        <f t="shared" si="0"/>
        <v>44680</v>
      </c>
      <c r="G3" s="11">
        <f t="shared" si="0"/>
        <v>44681</v>
      </c>
      <c r="H3" s="12">
        <f t="shared" si="0"/>
        <v>44682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/>
      <c r="D5" s="8"/>
      <c r="E5" s="8"/>
      <c r="F5" s="8"/>
      <c r="G5" s="8"/>
      <c r="H5" s="8"/>
      <c r="J5" s="20" t="s">
        <v>5</v>
      </c>
      <c r="K5" s="1">
        <f>COUNTIF($B$5:$H$93,J5)</f>
        <v>3</v>
      </c>
      <c r="L5" s="54">
        <f t="shared" ref="L5:L16" si="2">K5/$K$17</f>
        <v>0.6</v>
      </c>
    </row>
    <row r="6" spans="1:16">
      <c r="A6" s="6" t="s">
        <v>6</v>
      </c>
      <c r="B6" s="9"/>
      <c r="C6" s="9"/>
      <c r="D6" s="9"/>
      <c r="E6" s="9"/>
      <c r="F6" s="9"/>
      <c r="G6" s="9"/>
      <c r="H6" s="9"/>
      <c r="J6" s="21" t="s">
        <v>7</v>
      </c>
      <c r="K6" s="1">
        <f t="shared" ref="K6:K13" si="3">COUNTIF($B$5:$H$93,J6)</f>
        <v>1</v>
      </c>
      <c r="L6" s="54">
        <f t="shared" si="2"/>
        <v>0.2</v>
      </c>
    </row>
    <row r="7" spans="1:16">
      <c r="A7" s="6" t="s">
        <v>8</v>
      </c>
      <c r="B7" s="9"/>
      <c r="C7" s="9"/>
      <c r="D7" s="9"/>
      <c r="E7" s="9"/>
      <c r="F7" s="9"/>
      <c r="G7" s="9"/>
      <c r="H7" s="9"/>
      <c r="J7" s="22" t="s">
        <v>111</v>
      </c>
      <c r="K7" s="1">
        <f t="shared" si="3"/>
        <v>0</v>
      </c>
      <c r="L7" s="54">
        <f t="shared" si="2"/>
        <v>0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1">
        <f>COUNTIF($B$5:$H$93,J8)</f>
        <v>0</v>
      </c>
      <c r="L8" s="54">
        <f t="shared" si="2"/>
        <v>0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1">
        <f>COUNTIF($B$5:$H$93,J9)</f>
        <v>0</v>
      </c>
      <c r="L9" s="54">
        <f t="shared" si="2"/>
        <v>0</v>
      </c>
      <c r="P9" s="3"/>
    </row>
    <row r="10" spans="1:16">
      <c r="A10" s="6" t="s">
        <v>14</v>
      </c>
      <c r="B10" s="9"/>
      <c r="C10" s="9"/>
      <c r="D10" s="9"/>
      <c r="E10" s="9"/>
      <c r="F10" s="9"/>
      <c r="G10" s="9"/>
      <c r="H10" s="9"/>
      <c r="J10" s="25" t="s">
        <v>105</v>
      </c>
      <c r="K10" s="1">
        <f t="shared" si="3"/>
        <v>0</v>
      </c>
      <c r="L10" s="54">
        <f t="shared" si="2"/>
        <v>0</v>
      </c>
    </row>
    <row r="11" spans="1:16">
      <c r="A11" s="6" t="s">
        <v>16</v>
      </c>
      <c r="B11" s="9"/>
      <c r="C11" s="9"/>
      <c r="D11" s="9"/>
      <c r="E11" s="9"/>
      <c r="F11" s="9"/>
      <c r="G11" s="9"/>
      <c r="H11" s="9"/>
      <c r="J11" s="26" t="s">
        <v>17</v>
      </c>
      <c r="K11" s="1">
        <f t="shared" si="3"/>
        <v>1</v>
      </c>
      <c r="L11" s="54">
        <f t="shared" si="2"/>
        <v>0.2</v>
      </c>
    </row>
    <row r="12" spans="1:16">
      <c r="A12" s="6" t="s">
        <v>18</v>
      </c>
      <c r="B12" s="9"/>
      <c r="C12" s="9"/>
      <c r="D12" s="9"/>
      <c r="E12" s="9"/>
      <c r="F12" s="9"/>
      <c r="G12" s="9"/>
      <c r="H12" s="9"/>
      <c r="J12" s="27" t="s">
        <v>107</v>
      </c>
      <c r="K12" s="1">
        <f t="shared" si="3"/>
        <v>0</v>
      </c>
      <c r="L12" s="54">
        <f t="shared" si="2"/>
        <v>0</v>
      </c>
    </row>
    <row r="13" spans="1:16">
      <c r="A13" s="6" t="s">
        <v>20</v>
      </c>
      <c r="B13" s="9"/>
      <c r="C13" s="9"/>
      <c r="D13" s="9"/>
      <c r="E13" s="9"/>
      <c r="F13" s="9"/>
      <c r="G13" s="9"/>
      <c r="H13" s="9"/>
      <c r="J13" s="28" t="s">
        <v>21</v>
      </c>
      <c r="K13" s="1">
        <f t="shared" si="3"/>
        <v>0</v>
      </c>
      <c r="L13" s="54">
        <f t="shared" si="2"/>
        <v>0</v>
      </c>
    </row>
    <row r="14" spans="1:16">
      <c r="A14" s="6" t="s">
        <v>22</v>
      </c>
      <c r="B14" s="9"/>
      <c r="C14" s="9"/>
      <c r="D14" s="9"/>
      <c r="E14" s="9"/>
      <c r="F14" s="9"/>
      <c r="G14" s="9"/>
      <c r="H14" s="9"/>
      <c r="J14" s="39" t="s">
        <v>23</v>
      </c>
      <c r="K14" s="1">
        <f>COUNTIF($B$5:$H$93,J14)</f>
        <v>0</v>
      </c>
      <c r="L14" s="54">
        <f t="shared" si="2"/>
        <v>0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  <c r="J15" s="47" t="s">
        <v>108</v>
      </c>
      <c r="K15" s="1">
        <f>COUNTIF($B$5:$H$93,J15)</f>
        <v>0</v>
      </c>
      <c r="L15" s="54">
        <f t="shared" si="2"/>
        <v>0</v>
      </c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53" t="s">
        <v>115</v>
      </c>
      <c r="K16" s="1">
        <f>COUNTIF($B$5:$H$93,J16)</f>
        <v>3</v>
      </c>
      <c r="L16" s="54">
        <f t="shared" si="2"/>
        <v>0.6</v>
      </c>
    </row>
    <row r="17" spans="1:11">
      <c r="A17" s="6" t="s">
        <v>27</v>
      </c>
      <c r="B17" s="9"/>
      <c r="C17" s="9"/>
      <c r="D17" s="9"/>
      <c r="E17" s="9"/>
      <c r="F17" s="9"/>
      <c r="G17" s="9"/>
      <c r="H17" s="9"/>
      <c r="J17" s="7" t="s">
        <v>26</v>
      </c>
      <c r="K17" s="1">
        <f>SUM(K5:K15)</f>
        <v>5</v>
      </c>
    </row>
    <row r="18" spans="1:11">
      <c r="A18" s="6" t="s">
        <v>28</v>
      </c>
      <c r="B18" s="9"/>
      <c r="C18" s="9"/>
      <c r="D18" s="9"/>
      <c r="E18" s="9"/>
      <c r="F18" s="9"/>
      <c r="G18" s="9"/>
      <c r="H18" s="9"/>
      <c r="J18" s="7"/>
    </row>
    <row r="19" spans="1:11">
      <c r="A19" s="6" t="s">
        <v>29</v>
      </c>
      <c r="B19" s="9"/>
      <c r="C19" s="9"/>
      <c r="D19" s="9"/>
      <c r="E19" s="9"/>
      <c r="F19" s="9"/>
      <c r="G19" s="9"/>
      <c r="H19" s="9"/>
      <c r="J19" s="7"/>
    </row>
    <row r="20" spans="1:11">
      <c r="A20" s="6" t="s">
        <v>30</v>
      </c>
      <c r="B20" s="9"/>
      <c r="C20" s="9"/>
      <c r="D20" s="9"/>
      <c r="E20" s="9"/>
      <c r="F20" s="9"/>
      <c r="G20" s="9"/>
      <c r="H20" s="9"/>
      <c r="J20" s="7"/>
    </row>
    <row r="21" spans="1:11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1">
      <c r="A22" s="6" t="s">
        <v>32</v>
      </c>
      <c r="B22" s="9"/>
      <c r="C22" s="9"/>
      <c r="D22" s="9"/>
      <c r="E22" s="9"/>
      <c r="F22" s="9"/>
      <c r="G22" s="9"/>
      <c r="H22" s="9"/>
      <c r="J22" s="7"/>
    </row>
    <row r="23" spans="1:11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1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1">
      <c r="A25" s="6" t="s">
        <v>35</v>
      </c>
      <c r="B25" s="9"/>
      <c r="C25" s="9"/>
      <c r="D25" s="9"/>
      <c r="E25" s="9"/>
      <c r="F25" s="9" t="s">
        <v>5</v>
      </c>
      <c r="G25" s="9"/>
      <c r="H25" s="9"/>
      <c r="J25" s="7"/>
    </row>
    <row r="26" spans="1:11">
      <c r="A26" s="6" t="s">
        <v>36</v>
      </c>
      <c r="B26" s="9"/>
      <c r="C26" s="9"/>
      <c r="D26" s="9"/>
      <c r="E26" s="9"/>
      <c r="F26" s="9"/>
      <c r="G26" s="9"/>
      <c r="H26" s="9"/>
      <c r="J26" s="7"/>
    </row>
    <row r="27" spans="1:11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1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1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1">
      <c r="A30" s="6" t="s">
        <v>40</v>
      </c>
      <c r="B30" s="9"/>
      <c r="C30" s="9"/>
      <c r="D30" s="9"/>
      <c r="E30" s="9"/>
      <c r="F30" s="9"/>
      <c r="G30" s="9"/>
      <c r="H30" s="9"/>
    </row>
    <row r="31" spans="1:11">
      <c r="A31" s="6" t="s">
        <v>41</v>
      </c>
      <c r="B31" s="9"/>
      <c r="C31" s="9"/>
      <c r="D31" s="9"/>
      <c r="E31" s="9"/>
      <c r="F31" s="9"/>
      <c r="G31" s="9"/>
      <c r="H31" s="9" t="s">
        <v>115</v>
      </c>
    </row>
    <row r="32" spans="1:11">
      <c r="A32" s="6" t="s">
        <v>42</v>
      </c>
      <c r="B32" s="9"/>
      <c r="C32" s="9"/>
      <c r="D32" s="9"/>
      <c r="E32" s="9"/>
      <c r="F32" s="9"/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/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/>
      <c r="F35" s="9"/>
      <c r="G35" s="9"/>
      <c r="H35" s="9"/>
    </row>
    <row r="36" spans="1:8">
      <c r="A36" s="6" t="s">
        <v>46</v>
      </c>
      <c r="B36" s="9"/>
      <c r="C36" s="9"/>
      <c r="D36" s="9"/>
      <c r="E36" s="9"/>
      <c r="F36" s="9"/>
      <c r="G36" s="9"/>
      <c r="H36" s="9" t="s">
        <v>115</v>
      </c>
    </row>
    <row r="37" spans="1:8">
      <c r="A37" s="6" t="s">
        <v>47</v>
      </c>
      <c r="B37" s="9"/>
      <c r="C37" s="9"/>
      <c r="D37" s="9"/>
      <c r="E37" s="9"/>
      <c r="F37" s="9"/>
      <c r="G37" s="9"/>
      <c r="H37" s="9" t="s">
        <v>115</v>
      </c>
    </row>
    <row r="38" spans="1:8">
      <c r="A38" s="6" t="s">
        <v>48</v>
      </c>
      <c r="B38" s="9"/>
      <c r="C38" s="9"/>
      <c r="D38" s="9"/>
      <c r="E38" s="9"/>
      <c r="F38" s="9"/>
      <c r="G38" s="9"/>
      <c r="H38" s="9"/>
    </row>
    <row r="39" spans="1:8">
      <c r="A39" s="6" t="s">
        <v>49</v>
      </c>
      <c r="B39" s="9"/>
      <c r="C39" s="9"/>
      <c r="D39" s="9"/>
      <c r="E39" s="9" t="s">
        <v>17</v>
      </c>
      <c r="F39" s="9" t="s">
        <v>7</v>
      </c>
      <c r="G39" s="9"/>
      <c r="H39" s="9"/>
    </row>
    <row r="40" spans="1:8">
      <c r="A40" s="6" t="s">
        <v>50</v>
      </c>
      <c r="B40" s="9"/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 t="s">
        <v>5</v>
      </c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/>
      <c r="G44" s="9"/>
      <c r="H44" s="9"/>
    </row>
    <row r="45" spans="1:8">
      <c r="A45" s="6" t="s">
        <v>55</v>
      </c>
      <c r="B45" s="9"/>
      <c r="C45" s="9"/>
      <c r="D45" s="9"/>
      <c r="E45" s="9"/>
      <c r="F45" s="9"/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/>
      <c r="C52" s="9"/>
      <c r="D52" s="9"/>
      <c r="E52" s="9"/>
      <c r="F52" s="9"/>
      <c r="G52" s="9" t="s">
        <v>5</v>
      </c>
      <c r="H52" s="9"/>
    </row>
    <row r="53" spans="1:8">
      <c r="A53" s="6" t="s">
        <v>63</v>
      </c>
      <c r="B53" s="9"/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/>
      <c r="D54" s="9"/>
      <c r="E54" s="9"/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/>
      <c r="F57" s="9"/>
      <c r="G57" s="9"/>
      <c r="H57" s="9"/>
    </row>
    <row r="58" spans="1:8">
      <c r="A58" s="6" t="s">
        <v>68</v>
      </c>
      <c r="B58" s="9"/>
      <c r="C58" s="9"/>
      <c r="D58" s="9"/>
      <c r="E58" s="9"/>
      <c r="F58" s="9"/>
      <c r="G58" s="9"/>
      <c r="H58" s="9"/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/>
      <c r="H61" s="9"/>
    </row>
    <row r="62" spans="1:8">
      <c r="A62" s="6" t="s">
        <v>72</v>
      </c>
      <c r="B62" s="9"/>
      <c r="C62" s="9"/>
      <c r="D62" s="9"/>
      <c r="E62" s="9"/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/>
      <c r="C75" s="9"/>
      <c r="D75" s="9"/>
      <c r="E75" s="9"/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/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611" priority="41" operator="containsText" text="Pulverização">
      <formula>NOT(ISERROR(SEARCH("Pulverização",B94)))</formula>
    </cfRule>
    <cfRule type="cellIs" dxfId="610" priority="42" operator="greaterThan">
      <formula>$J$5</formula>
    </cfRule>
    <cfRule type="containsText" dxfId="609" priority="43" operator="containsText" text="Cardã">
      <formula>NOT(ISERROR(SEARCH("Cardã",B94)))</formula>
    </cfRule>
    <cfRule type="containsText" dxfId="608" priority="44" operator="containsText" text="Pneu">
      <formula>NOT(ISERROR(SEARCH("Pneu",B94)))</formula>
    </cfRule>
    <cfRule type="containsText" dxfId="607" priority="45" operator="containsText" text="Vedação">
      <formula>NOT(ISERROR(SEARCH("Vedação",B94)))</formula>
    </cfRule>
    <cfRule type="containsText" dxfId="606" priority="46" operator="containsText" text="Retentor">
      <formula>NOT(ISERROR(SEARCH("Retentor",B94)))</formula>
    </cfRule>
    <cfRule type="containsText" dxfId="605" priority="47" operator="containsText" text="Motorredutor">
      <formula>NOT(ISERROR(SEARCH("Motorredutor",B94)))</formula>
    </cfRule>
    <cfRule type="containsText" dxfId="604" priority="48" operator="containsText" text="Redutor">
      <formula>NOT(ISERROR(SEARCH("Redutor",B94)))</formula>
    </cfRule>
    <cfRule type="containsText" dxfId="603" priority="49" operator="containsText" text="Bomba">
      <formula>NOT(ISERROR(SEARCH("Bomba",B94)))</formula>
    </cfRule>
  </conditionalFormatting>
  <conditionalFormatting sqref="A1:A1048576">
    <cfRule type="containsText" dxfId="602" priority="37" operator="containsText" text="Pivô">
      <formula>NOT(ISERROR(SEARCH("Pivô",A1)))</formula>
    </cfRule>
    <cfRule type="containsText" dxfId="601" priority="38" operator="containsText" text="Pivô">
      <formula>NOT(ISERROR(SEARCH("Pivô",A1)))</formula>
    </cfRule>
  </conditionalFormatting>
  <conditionalFormatting sqref="B5:H93">
    <cfRule type="containsText" dxfId="600" priority="22" operator="containsText" text="Pulverização">
      <formula>NOT(ISERROR(SEARCH("Pulverização",B5)))</formula>
    </cfRule>
    <cfRule type="cellIs" dxfId="599" priority="23" operator="greaterThan">
      <formula>$J$5</formula>
    </cfRule>
    <cfRule type="containsText" dxfId="598" priority="24" operator="containsText" text="Cardã">
      <formula>NOT(ISERROR(SEARCH("Cardã",B5)))</formula>
    </cfRule>
    <cfRule type="containsText" dxfId="597" priority="25" operator="containsText" text="Pneu">
      <formula>NOT(ISERROR(SEARCH("Pneu",B5)))</formula>
    </cfRule>
    <cfRule type="containsText" dxfId="596" priority="26" operator="containsText" text="Vedação">
      <formula>NOT(ISERROR(SEARCH("Vedação",B5)))</formula>
    </cfRule>
    <cfRule type="containsText" dxfId="595" priority="27" operator="containsText" text="Retentor">
      <formula>NOT(ISERROR(SEARCH("Retentor",B5)))</formula>
    </cfRule>
    <cfRule type="containsText" dxfId="594" priority="28" operator="containsText" text="Motorredutor">
      <formula>NOT(ISERROR(SEARCH("Motorredutor",B5)))</formula>
    </cfRule>
    <cfRule type="containsText" dxfId="593" priority="29" operator="containsText" text="Redutor">
      <formula>NOT(ISERROR(SEARCH("Redutor",B5)))</formula>
    </cfRule>
    <cfRule type="containsText" dxfId="592" priority="30" operator="containsText" text="Bomba">
      <formula>NOT(ISERROR(SEARCH("Bomba",B5)))</formula>
    </cfRule>
  </conditionalFormatting>
  <dataValidations count="2">
    <dataValidation type="list" allowBlank="1" showInputMessage="1" showErrorMessage="1" sqref="B5:H93" xr:uid="{946E4209-AAB2-4CC4-AA99-0859D6AA50CE}">
      <formula1>$J$5:$J$16</formula1>
    </dataValidation>
    <dataValidation type="list" allowBlank="1" showInputMessage="1" showErrorMessage="1" sqref="B94:H95" xr:uid="{7567B29F-FE90-4B7C-A287-64A7325C6BB8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0137D3A-92B0-4BD4-B4D7-191C79323F62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8E153F64-9DF2-4C89-923C-229FE7EB455A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3AC8A37C-EABF-4776-9D81-16AFE3BD2C98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0" operator="containsText" id="{991321FF-DCD8-4FC6-BCC2-5AA52BEF7C81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50" operator="containsText" id="{DB31B01B-60D5-43D6-9DCF-66F42F6BA562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1" operator="containsText" id="{34049B9E-33E3-4381-A3DB-98B8B5796903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2" operator="containsText" id="{1139932D-741B-4674-95B2-935075BE4DB7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3" operator="containsText" id="{AB2B05ED-602F-46BF-B281-2434C9DA4373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4" operator="containsText" id="{FDF77085-9A0A-497C-B24D-095CB698F896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5" operator="containsText" id="{52037DC2-1E5F-418D-B23E-5996307D92B2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39" operator="containsText" id="{EF114382-408E-4517-B851-3A7FF70C1BB9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20" operator="containsText" id="{7D5473EC-F5ED-49A5-8AD5-6B2F3658DED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" operator="containsText" id="{7C44952E-C6B2-425C-A2A6-E08F8555EAB9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69BB4763-3B8E-4A2F-950C-903734A4EEFC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6" operator="containsText" id="{7B2E5257-3E57-4B38-A2A4-79636E198C81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7" operator="containsText" id="{E9A861B7-44A5-4D00-ACC7-0A8814995AE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8" operator="containsText" id="{24A60B45-CE6A-4C7B-A175-FE281826904E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0" operator="containsText" id="{C90C601E-3A99-4E51-A564-B55E652BB715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1" operator="containsText" id="{4C078F5D-3622-4C0C-8420-3FD5D65C4137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2" operator="containsText" id="{87E8AC19-1D5D-47B8-8822-46F32B22D643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A42F91C5-3D56-4A47-98D2-9A1B34EC70EE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411EC29C-4A51-4D3E-A28D-FF6AB46AAB92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5" operator="containsText" id="{3C6B0A49-3491-4A5E-8770-AB5BCAD60545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6" operator="containsText" id="{0CC979A5-84EE-480A-985A-8E84F2CD80DA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7" operator="containsText" id="{F4CACA89-7565-4134-8A66-50305203C1E9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8" operator="containsText" id="{C56417D7-3C97-445F-8795-F1DA0DECB948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9" operator="containsText" id="{91A453E1-761B-42B2-85F5-8C563C336F4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1" operator="containsText" id="{CE737943-7B8B-4CEF-9B58-72A9F88A8B0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1" operator="containsText" id="{93C7E26D-2BA9-4DB5-B9A3-881BC1C3D60D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2" operator="containsText" id="{076C3CC5-8964-4923-8CC7-C1B07AADABE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3" operator="containsText" id="{9A4289CC-9474-4701-BCBD-452705B0B58A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4" operator="containsText" id="{04AF8A75-E6CD-4255-B4D2-2899394609C3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5" operator="containsText" id="{5E61D4A0-2119-4D09-987C-9D43D7BB0256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6" operator="containsText" id="{08C57631-5EA8-4F97-9267-D0BB1AC03881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9" operator="containsText" id="{20F3CC23-1E64-493E-9852-E4474E6CDE06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D871-8D5C-4D2F-B03C-6B98CC21BDAB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H15" sqref="H15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116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44683</v>
      </c>
      <c r="C3" s="11">
        <f t="shared" ref="C3:H3" si="0">B3+1</f>
        <v>44684</v>
      </c>
      <c r="D3" s="11">
        <f t="shared" si="0"/>
        <v>44685</v>
      </c>
      <c r="E3" s="11">
        <f t="shared" si="0"/>
        <v>44686</v>
      </c>
      <c r="F3" s="11">
        <f t="shared" si="0"/>
        <v>44687</v>
      </c>
      <c r="G3" s="11">
        <f t="shared" si="0"/>
        <v>44688</v>
      </c>
      <c r="H3" s="12">
        <f t="shared" si="0"/>
        <v>44689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/>
      <c r="D5" s="8" t="s">
        <v>115</v>
      </c>
      <c r="E5" s="8"/>
      <c r="F5" s="8"/>
      <c r="G5" s="8"/>
      <c r="H5" s="8"/>
      <c r="J5" s="20" t="s">
        <v>5</v>
      </c>
      <c r="K5" s="1">
        <f>COUNTIF($B$5:$H$93,J5)</f>
        <v>3</v>
      </c>
      <c r="L5" s="54">
        <f t="shared" ref="L5:L16" si="2">K5/$K$17</f>
        <v>0.17647058823529413</v>
      </c>
    </row>
    <row r="6" spans="1:16">
      <c r="A6" s="6" t="s">
        <v>6</v>
      </c>
      <c r="B6" s="9" t="s">
        <v>5</v>
      </c>
      <c r="C6" s="9"/>
      <c r="D6" s="9" t="s">
        <v>115</v>
      </c>
      <c r="E6" s="9"/>
      <c r="F6" s="9"/>
      <c r="G6" s="9"/>
      <c r="H6" s="9"/>
      <c r="J6" s="21" t="s">
        <v>7</v>
      </c>
      <c r="K6" s="1">
        <f t="shared" ref="K6:K13" si="3">COUNTIF($B$5:$H$93,J6)</f>
        <v>0</v>
      </c>
      <c r="L6" s="54">
        <f t="shared" si="2"/>
        <v>0</v>
      </c>
    </row>
    <row r="7" spans="1:16">
      <c r="A7" s="6" t="s">
        <v>8</v>
      </c>
      <c r="B7" s="9" t="s">
        <v>107</v>
      </c>
      <c r="C7" s="9"/>
      <c r="D7" s="9" t="s">
        <v>115</v>
      </c>
      <c r="E7" s="9"/>
      <c r="F7" s="9"/>
      <c r="G7" s="9"/>
      <c r="H7" s="9"/>
      <c r="J7" s="22" t="s">
        <v>111</v>
      </c>
      <c r="K7" s="1">
        <f t="shared" si="3"/>
        <v>1</v>
      </c>
      <c r="L7" s="54">
        <f t="shared" si="2"/>
        <v>5.8823529411764705E-2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1">
        <f>COUNTIF($B$5:$H$93,J8)</f>
        <v>0</v>
      </c>
      <c r="L8" s="54">
        <f t="shared" si="2"/>
        <v>0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1">
        <f>COUNTIF($B$5:$H$93,J9)</f>
        <v>0</v>
      </c>
      <c r="L9" s="54">
        <f t="shared" si="2"/>
        <v>0</v>
      </c>
      <c r="P9" s="3"/>
    </row>
    <row r="10" spans="1:16">
      <c r="A10" s="6" t="s">
        <v>14</v>
      </c>
      <c r="B10" s="9"/>
      <c r="C10" s="9"/>
      <c r="D10" s="9"/>
      <c r="E10" s="9"/>
      <c r="F10" s="9"/>
      <c r="G10" s="9"/>
      <c r="H10" s="9"/>
      <c r="J10" s="25" t="s">
        <v>105</v>
      </c>
      <c r="K10" s="1">
        <f t="shared" si="3"/>
        <v>0</v>
      </c>
      <c r="L10" s="54">
        <f t="shared" si="2"/>
        <v>0</v>
      </c>
    </row>
    <row r="11" spans="1:16">
      <c r="A11" s="6" t="s">
        <v>16</v>
      </c>
      <c r="B11" s="9"/>
      <c r="C11" s="9"/>
      <c r="D11" s="9"/>
      <c r="E11" s="9"/>
      <c r="F11" s="9"/>
      <c r="G11" s="9"/>
      <c r="H11" s="9"/>
      <c r="J11" s="26" t="s">
        <v>17</v>
      </c>
      <c r="K11" s="1">
        <f t="shared" si="3"/>
        <v>3</v>
      </c>
      <c r="L11" s="54">
        <f t="shared" si="2"/>
        <v>0.17647058823529413</v>
      </c>
    </row>
    <row r="12" spans="1:16">
      <c r="A12" s="6" t="s">
        <v>18</v>
      </c>
      <c r="B12" s="9"/>
      <c r="C12" s="9"/>
      <c r="D12" s="9"/>
      <c r="E12" s="9"/>
      <c r="F12" s="9"/>
      <c r="G12" s="9"/>
      <c r="H12" s="9"/>
      <c r="J12" s="27" t="s">
        <v>107</v>
      </c>
      <c r="K12" s="1">
        <f t="shared" si="3"/>
        <v>1</v>
      </c>
      <c r="L12" s="54">
        <f t="shared" si="2"/>
        <v>5.8823529411764705E-2</v>
      </c>
    </row>
    <row r="13" spans="1:16">
      <c r="A13" s="6" t="s">
        <v>20</v>
      </c>
      <c r="B13" s="9" t="s">
        <v>111</v>
      </c>
      <c r="C13" s="9"/>
      <c r="D13" s="9"/>
      <c r="E13" s="9"/>
      <c r="F13" s="9"/>
      <c r="G13" s="9"/>
      <c r="H13" s="9"/>
      <c r="J13" s="28" t="s">
        <v>21</v>
      </c>
      <c r="K13" s="1">
        <f t="shared" si="3"/>
        <v>0</v>
      </c>
      <c r="L13" s="54">
        <f t="shared" si="2"/>
        <v>0</v>
      </c>
    </row>
    <row r="14" spans="1:16">
      <c r="A14" s="6" t="s">
        <v>22</v>
      </c>
      <c r="B14" s="9"/>
      <c r="C14" s="9"/>
      <c r="D14" s="9"/>
      <c r="E14" s="9"/>
      <c r="F14" s="9"/>
      <c r="G14" s="9"/>
      <c r="H14" s="9"/>
      <c r="J14" s="39" t="s">
        <v>23</v>
      </c>
      <c r="K14" s="1">
        <f>COUNTIF($B$5:$H$93,J14)</f>
        <v>0</v>
      </c>
      <c r="L14" s="54">
        <f t="shared" si="2"/>
        <v>0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  <c r="J15" s="47" t="s">
        <v>108</v>
      </c>
      <c r="K15" s="1">
        <f>COUNTIF($B$5:$H$93,J15)</f>
        <v>0</v>
      </c>
      <c r="L15" s="54">
        <f t="shared" si="2"/>
        <v>0</v>
      </c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53" t="s">
        <v>115</v>
      </c>
      <c r="K16" s="1">
        <f>COUNTIF($B$5:$H$93,J16)</f>
        <v>9</v>
      </c>
      <c r="L16" s="54">
        <f t="shared" si="2"/>
        <v>0.52941176470588236</v>
      </c>
    </row>
    <row r="17" spans="1:11">
      <c r="A17" s="6" t="s">
        <v>27</v>
      </c>
      <c r="B17" s="9"/>
      <c r="C17" s="9"/>
      <c r="D17" s="9"/>
      <c r="E17" s="9"/>
      <c r="F17" s="9"/>
      <c r="G17" s="9"/>
      <c r="H17" s="9"/>
      <c r="J17" s="7" t="s">
        <v>26</v>
      </c>
      <c r="K17" s="1">
        <f>SUM(K5:K16)</f>
        <v>17</v>
      </c>
    </row>
    <row r="18" spans="1:11">
      <c r="A18" s="6" t="s">
        <v>28</v>
      </c>
      <c r="B18" s="9"/>
      <c r="C18" s="9"/>
      <c r="D18" s="9"/>
      <c r="E18" s="9"/>
      <c r="F18" s="9"/>
      <c r="G18" s="9"/>
      <c r="H18" s="9"/>
      <c r="J18" s="7"/>
    </row>
    <row r="19" spans="1:11">
      <c r="A19" s="6" t="s">
        <v>29</v>
      </c>
      <c r="B19" s="9"/>
      <c r="C19" s="9"/>
      <c r="D19" s="9"/>
      <c r="E19" s="9"/>
      <c r="F19" s="9"/>
      <c r="G19" s="9"/>
      <c r="H19" s="9"/>
      <c r="J19" s="7"/>
    </row>
    <row r="20" spans="1:11">
      <c r="A20" s="6" t="s">
        <v>30</v>
      </c>
      <c r="B20" s="9"/>
      <c r="C20" s="9"/>
      <c r="D20" s="9"/>
      <c r="E20" s="9"/>
      <c r="F20" s="9"/>
      <c r="G20" s="9"/>
      <c r="H20" s="9"/>
      <c r="J20" s="7"/>
    </row>
    <row r="21" spans="1:11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1">
      <c r="A22" s="6" t="s">
        <v>32</v>
      </c>
      <c r="B22" s="9"/>
      <c r="C22" s="9"/>
      <c r="D22" s="9"/>
      <c r="E22" s="9"/>
      <c r="F22" s="9"/>
      <c r="G22" s="9"/>
      <c r="H22" s="9"/>
      <c r="J22" s="7"/>
    </row>
    <row r="23" spans="1:11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1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1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1">
      <c r="A26" s="6" t="s">
        <v>36</v>
      </c>
      <c r="B26" s="9"/>
      <c r="C26" s="9"/>
      <c r="D26" s="9"/>
      <c r="E26" s="9"/>
      <c r="F26" s="9"/>
      <c r="G26" s="9"/>
      <c r="H26" s="9"/>
      <c r="J26" s="7"/>
    </row>
    <row r="27" spans="1:11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1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1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1">
      <c r="A30" s="6" t="s">
        <v>40</v>
      </c>
      <c r="B30" s="9"/>
      <c r="C30" s="9"/>
      <c r="D30" s="9"/>
      <c r="E30" s="9"/>
      <c r="F30" s="9"/>
      <c r="G30" s="9"/>
      <c r="H30" s="9"/>
    </row>
    <row r="31" spans="1:11">
      <c r="A31" s="6" t="s">
        <v>41</v>
      </c>
      <c r="B31" s="9"/>
      <c r="C31" s="9"/>
      <c r="D31" s="9"/>
      <c r="E31" s="9"/>
      <c r="F31" s="9"/>
      <c r="G31" s="9"/>
      <c r="H31" s="9"/>
    </row>
    <row r="32" spans="1:11">
      <c r="A32" s="6" t="s">
        <v>42</v>
      </c>
      <c r="B32" s="9"/>
      <c r="C32" s="9"/>
      <c r="D32" s="9"/>
      <c r="E32" s="9"/>
      <c r="F32" s="9" t="s">
        <v>5</v>
      </c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/>
      <c r="E34" s="9" t="s">
        <v>115</v>
      </c>
      <c r="F34" s="9"/>
      <c r="G34" s="9"/>
      <c r="H34" s="9"/>
    </row>
    <row r="35" spans="1:8">
      <c r="A35" s="6" t="s">
        <v>45</v>
      </c>
      <c r="B35" s="9"/>
      <c r="C35" s="9"/>
      <c r="D35" s="9"/>
      <c r="E35" s="9" t="s">
        <v>115</v>
      </c>
      <c r="F35" s="9"/>
      <c r="G35" s="9"/>
      <c r="H35" s="9"/>
    </row>
    <row r="36" spans="1:8">
      <c r="A36" s="6" t="s">
        <v>46</v>
      </c>
      <c r="B36" s="9"/>
      <c r="C36" s="9"/>
      <c r="D36" s="9"/>
      <c r="E36" s="9"/>
      <c r="F36" s="9" t="s">
        <v>115</v>
      </c>
      <c r="G36" s="9"/>
      <c r="H36" s="9"/>
    </row>
    <row r="37" spans="1:8">
      <c r="A37" s="6" t="s">
        <v>47</v>
      </c>
      <c r="B37" s="9"/>
      <c r="C37" s="9"/>
      <c r="D37" s="9"/>
      <c r="E37" s="9"/>
      <c r="F37" s="9" t="s">
        <v>115</v>
      </c>
      <c r="G37" s="9"/>
      <c r="H37" s="9"/>
    </row>
    <row r="38" spans="1:8">
      <c r="A38" s="6" t="s">
        <v>48</v>
      </c>
      <c r="B38" s="9"/>
      <c r="C38" s="9" t="s">
        <v>115</v>
      </c>
      <c r="D38" s="9"/>
      <c r="E38" s="9" t="s">
        <v>115</v>
      </c>
      <c r="F38" s="9"/>
      <c r="G38" s="9"/>
      <c r="H38" s="9"/>
    </row>
    <row r="39" spans="1:8">
      <c r="A39" s="6" t="s">
        <v>49</v>
      </c>
      <c r="B39" s="9"/>
      <c r="C39" s="9"/>
      <c r="D39" s="9"/>
      <c r="E39" s="9"/>
      <c r="F39" s="9"/>
      <c r="G39" s="9"/>
      <c r="H39" s="9"/>
    </row>
    <row r="40" spans="1:8">
      <c r="A40" s="6" t="s">
        <v>50</v>
      </c>
      <c r="B40" s="9" t="s">
        <v>5</v>
      </c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/>
      <c r="G44" s="9"/>
      <c r="H44" s="9"/>
    </row>
    <row r="45" spans="1:8">
      <c r="A45" s="6" t="s">
        <v>55</v>
      </c>
      <c r="B45" s="9"/>
      <c r="C45" s="9"/>
      <c r="D45" s="9"/>
      <c r="E45" s="9"/>
      <c r="F45" s="9"/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/>
      <c r="C52" s="9"/>
      <c r="D52" s="9"/>
      <c r="E52" s="9"/>
      <c r="F52" s="9"/>
      <c r="G52" s="9"/>
      <c r="H52" s="9"/>
    </row>
    <row r="53" spans="1:8">
      <c r="A53" s="6" t="s">
        <v>63</v>
      </c>
      <c r="B53" s="9"/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 t="s">
        <v>17</v>
      </c>
      <c r="D54" s="9" t="s">
        <v>17</v>
      </c>
      <c r="E54" s="9" t="s">
        <v>17</v>
      </c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/>
      <c r="F57" s="9"/>
      <c r="G57" s="9"/>
      <c r="H57" s="9"/>
    </row>
    <row r="58" spans="1:8">
      <c r="A58" s="6" t="s">
        <v>68</v>
      </c>
      <c r="B58" s="9"/>
      <c r="C58" s="9"/>
      <c r="D58" s="9"/>
      <c r="E58" s="9"/>
      <c r="F58" s="9"/>
      <c r="G58" s="9"/>
      <c r="H58" s="9"/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/>
      <c r="H61" s="9"/>
    </row>
    <row r="62" spans="1:8">
      <c r="A62" s="6" t="s">
        <v>72</v>
      </c>
      <c r="B62" s="9"/>
      <c r="C62" s="9"/>
      <c r="D62" s="9"/>
      <c r="E62" s="9"/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/>
      <c r="C75" s="9"/>
      <c r="D75" s="9"/>
      <c r="E75" s="9"/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/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556" priority="41" operator="containsText" text="Pulverização">
      <formula>NOT(ISERROR(SEARCH("Pulverização",B94)))</formula>
    </cfRule>
    <cfRule type="cellIs" dxfId="555" priority="42" operator="greaterThan">
      <formula>$J$5</formula>
    </cfRule>
    <cfRule type="containsText" dxfId="554" priority="43" operator="containsText" text="Cardã">
      <formula>NOT(ISERROR(SEARCH("Cardã",B94)))</formula>
    </cfRule>
    <cfRule type="containsText" dxfId="553" priority="44" operator="containsText" text="Pneu">
      <formula>NOT(ISERROR(SEARCH("Pneu",B94)))</formula>
    </cfRule>
    <cfRule type="containsText" dxfId="552" priority="45" operator="containsText" text="Vedação">
      <formula>NOT(ISERROR(SEARCH("Vedação",B94)))</formula>
    </cfRule>
    <cfRule type="containsText" dxfId="551" priority="46" operator="containsText" text="Retentor">
      <formula>NOT(ISERROR(SEARCH("Retentor",B94)))</formula>
    </cfRule>
    <cfRule type="containsText" dxfId="550" priority="47" operator="containsText" text="Motorredutor">
      <formula>NOT(ISERROR(SEARCH("Motorredutor",B94)))</formula>
    </cfRule>
    <cfRule type="containsText" dxfId="549" priority="48" operator="containsText" text="Redutor">
      <formula>NOT(ISERROR(SEARCH("Redutor",B94)))</formula>
    </cfRule>
    <cfRule type="containsText" dxfId="548" priority="49" operator="containsText" text="Bomba">
      <formula>NOT(ISERROR(SEARCH("Bomba",B94)))</formula>
    </cfRule>
  </conditionalFormatting>
  <conditionalFormatting sqref="A1:A1048576">
    <cfRule type="containsText" dxfId="547" priority="37" operator="containsText" text="Pivô">
      <formula>NOT(ISERROR(SEARCH("Pivô",A1)))</formula>
    </cfRule>
    <cfRule type="containsText" dxfId="546" priority="38" operator="containsText" text="Pivô">
      <formula>NOT(ISERROR(SEARCH("Pivô",A1)))</formula>
    </cfRule>
  </conditionalFormatting>
  <conditionalFormatting sqref="B5:H93">
    <cfRule type="containsText" dxfId="545" priority="22" operator="containsText" text="Pulverização">
      <formula>NOT(ISERROR(SEARCH("Pulverização",B5)))</formula>
    </cfRule>
    <cfRule type="cellIs" dxfId="544" priority="23" operator="greaterThan">
      <formula>$J$5</formula>
    </cfRule>
    <cfRule type="containsText" dxfId="543" priority="24" operator="containsText" text="Cardã">
      <formula>NOT(ISERROR(SEARCH("Cardã",B5)))</formula>
    </cfRule>
    <cfRule type="containsText" dxfId="542" priority="25" operator="containsText" text="Pneu">
      <formula>NOT(ISERROR(SEARCH("Pneu",B5)))</formula>
    </cfRule>
    <cfRule type="containsText" dxfId="541" priority="26" operator="containsText" text="Vedação">
      <formula>NOT(ISERROR(SEARCH("Vedação",B5)))</formula>
    </cfRule>
    <cfRule type="containsText" dxfId="540" priority="27" operator="containsText" text="Retentor">
      <formula>NOT(ISERROR(SEARCH("Retentor",B5)))</formula>
    </cfRule>
    <cfRule type="containsText" dxfId="539" priority="28" operator="containsText" text="Motorredutor">
      <formula>NOT(ISERROR(SEARCH("Motorredutor",B5)))</formula>
    </cfRule>
    <cfRule type="containsText" dxfId="538" priority="29" operator="containsText" text="Redutor">
      <formula>NOT(ISERROR(SEARCH("Redutor",B5)))</formula>
    </cfRule>
    <cfRule type="containsText" dxfId="537" priority="30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B5A07F57-9903-4C12-86D1-02C7B6C56978}">
      <formula1>$J$5:$J$11</formula1>
    </dataValidation>
    <dataValidation type="list" allowBlank="1" showInputMessage="1" showErrorMessage="1" sqref="B5:H93" xr:uid="{F8BFC815-558C-4287-A415-A3DE2FC0786B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9449B53-EE39-415D-8ED6-90E64B2E113C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3731AB95-7535-41BC-B5B8-58D78EF770C0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96D353A3-454D-4453-9163-56D284BF9BEC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0" operator="containsText" id="{4777D15C-3E7D-423A-98EB-90D74DC50350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50" operator="containsText" id="{4ADA5217-203A-470D-9AFC-BB323CEFD68C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1" operator="containsText" id="{675027FA-444B-4FCF-8DC1-D114A932A1A7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2" operator="containsText" id="{C04A32EB-7489-4BBF-9A9A-9445FE1A9E3B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3" operator="containsText" id="{CE382D32-F379-4916-B40B-F944E2092169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4" operator="containsText" id="{E8BC7B38-B54B-4846-BF7F-22580AA42456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5" operator="containsText" id="{ABD5A777-9799-4A77-BA88-38D2CEAD9E41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39" operator="containsText" id="{EF437760-F6E8-41B3-A4F6-F8E7A3CF5502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20" operator="containsText" id="{6F16E574-4AB4-43B5-84E2-7DBFE795A299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" operator="containsText" id="{465B50DB-91E0-45EB-8FB7-454C05A40C2F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0D9BD053-D94C-4C98-9FD4-5671216CCE13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6" operator="containsText" id="{0FFA85CF-64C7-4559-9634-F6A0CF6F8A6B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7" operator="containsText" id="{F26FC93E-5502-49DD-BB77-7B5D57DF9BB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8" operator="containsText" id="{A0D08248-391B-48AB-8D8E-DF7300D81D41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0" operator="containsText" id="{D057AA1B-F7B7-49CA-86D5-359BD7CF3AFA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1" operator="containsText" id="{1C61977B-FBA3-4189-AF46-99966B5E773B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2" operator="containsText" id="{725D5583-00B9-470B-B3E6-EFCBEC056D8A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14EB0302-0AC8-49EF-A213-C421E20D603D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DB9B6740-2EF0-4566-ADAF-476E0E020192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5" operator="containsText" id="{2264238E-CC84-40DF-B723-AF2D659B333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6" operator="containsText" id="{DDD07CC2-1A8A-49D0-B240-71367D8C8C15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7" operator="containsText" id="{046FF2B4-79EF-4112-9217-A7D3E41F1936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8" operator="containsText" id="{80EDBCC0-FCC7-49CA-9543-3743922B429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9" operator="containsText" id="{BD3EFA79-147C-4C46-AE03-93312FEEA4F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1" operator="containsText" id="{BC989069-B2D1-40A6-A158-1F901952107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1" operator="containsText" id="{0FDAA7A0-2794-4848-AD8A-65F5403DFA01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2" operator="containsText" id="{7AAAEEF2-D8EF-44A0-B062-8EDB3EF99A3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3" operator="containsText" id="{2C44FB90-DBF9-4660-A95C-1D737D3C05FC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4" operator="containsText" id="{574C65DF-6DEA-4048-80FB-204576F88608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5" operator="containsText" id="{FE3A6040-1DDB-48A6-9E10-45D4B369369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6" operator="containsText" id="{33D24729-6293-4EEA-8AEC-375558496B20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9" operator="containsText" id="{91B62D6E-E3C2-4756-8793-5445880BFEC7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92005-A1C6-45B4-9BE0-2D0A7F1D1FC0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L25" sqref="L25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117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44690</v>
      </c>
      <c r="C3" s="11">
        <f t="shared" ref="C3:H3" si="0">B3+1</f>
        <v>44691</v>
      </c>
      <c r="D3" s="11">
        <f t="shared" si="0"/>
        <v>44692</v>
      </c>
      <c r="E3" s="11">
        <f t="shared" si="0"/>
        <v>44693</v>
      </c>
      <c r="F3" s="11">
        <f t="shared" si="0"/>
        <v>44694</v>
      </c>
      <c r="G3" s="11">
        <f t="shared" si="0"/>
        <v>44695</v>
      </c>
      <c r="H3" s="12">
        <f t="shared" si="0"/>
        <v>44696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 t="s">
        <v>115</v>
      </c>
      <c r="D5" s="8"/>
      <c r="E5" s="8"/>
      <c r="F5" s="8"/>
      <c r="G5" s="8"/>
      <c r="H5" s="8"/>
      <c r="J5" s="20" t="s">
        <v>5</v>
      </c>
      <c r="K5" s="1">
        <f>COUNTIF($B$5:$H$93,J5)</f>
        <v>3</v>
      </c>
      <c r="L5" s="54">
        <f t="shared" ref="L5:L16" si="2">K5/$K$17</f>
        <v>0.27272727272727271</v>
      </c>
    </row>
    <row r="6" spans="1:16">
      <c r="A6" s="6" t="s">
        <v>6</v>
      </c>
      <c r="B6" s="9"/>
      <c r="C6" s="9" t="s">
        <v>115</v>
      </c>
      <c r="D6" s="9"/>
      <c r="E6" s="9"/>
      <c r="F6" s="9"/>
      <c r="G6" s="9"/>
      <c r="H6" s="9"/>
      <c r="J6" s="21" t="s">
        <v>7</v>
      </c>
      <c r="K6" s="1">
        <f t="shared" ref="K6:K13" si="3">COUNTIF($B$5:$H$93,J6)</f>
        <v>0</v>
      </c>
      <c r="L6" s="54">
        <f t="shared" si="2"/>
        <v>0</v>
      </c>
    </row>
    <row r="7" spans="1:16">
      <c r="A7" s="6" t="s">
        <v>8</v>
      </c>
      <c r="B7" s="9"/>
      <c r="C7" s="9" t="s">
        <v>115</v>
      </c>
      <c r="D7" s="9"/>
      <c r="E7" s="9"/>
      <c r="F7" s="9"/>
      <c r="G7" s="9"/>
      <c r="H7" s="9"/>
      <c r="J7" s="22" t="s">
        <v>111</v>
      </c>
      <c r="K7" s="1">
        <f t="shared" si="3"/>
        <v>0</v>
      </c>
      <c r="L7" s="54">
        <f t="shared" si="2"/>
        <v>0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1">
        <f>COUNTIF($B$5:$H$93,J8)</f>
        <v>0</v>
      </c>
      <c r="L8" s="54">
        <f t="shared" si="2"/>
        <v>0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1">
        <f>COUNTIF($B$5:$H$93,J9)</f>
        <v>0</v>
      </c>
      <c r="L9" s="54">
        <f t="shared" si="2"/>
        <v>0</v>
      </c>
      <c r="P9" s="3"/>
    </row>
    <row r="10" spans="1:16">
      <c r="A10" s="6" t="s">
        <v>14</v>
      </c>
      <c r="B10" s="9"/>
      <c r="C10" s="9"/>
      <c r="D10" s="9"/>
      <c r="E10" s="9"/>
      <c r="F10" s="9"/>
      <c r="G10" s="9"/>
      <c r="H10" s="9"/>
      <c r="J10" s="25" t="s">
        <v>105</v>
      </c>
      <c r="K10" s="1">
        <f t="shared" si="3"/>
        <v>0</v>
      </c>
      <c r="L10" s="54">
        <f t="shared" si="2"/>
        <v>0</v>
      </c>
    </row>
    <row r="11" spans="1:16">
      <c r="A11" s="6" t="s">
        <v>16</v>
      </c>
      <c r="B11" s="9"/>
      <c r="C11" s="9"/>
      <c r="D11" s="9"/>
      <c r="E11" s="9"/>
      <c r="F11" s="9"/>
      <c r="G11" s="9"/>
      <c r="H11" s="9"/>
      <c r="J11" s="26" t="s">
        <v>17</v>
      </c>
      <c r="K11" s="1">
        <f t="shared" si="3"/>
        <v>0</v>
      </c>
      <c r="L11" s="54">
        <f t="shared" si="2"/>
        <v>0</v>
      </c>
    </row>
    <row r="12" spans="1:16">
      <c r="A12" s="6" t="s">
        <v>18</v>
      </c>
      <c r="B12" s="9"/>
      <c r="C12" s="9"/>
      <c r="D12" s="9"/>
      <c r="E12" s="9"/>
      <c r="F12" s="9"/>
      <c r="G12" s="9"/>
      <c r="H12" s="9"/>
      <c r="J12" s="27" t="s">
        <v>107</v>
      </c>
      <c r="K12" s="1">
        <f t="shared" si="3"/>
        <v>0</v>
      </c>
      <c r="L12" s="54">
        <f t="shared" si="2"/>
        <v>0</v>
      </c>
    </row>
    <row r="13" spans="1:16">
      <c r="A13" s="6" t="s">
        <v>20</v>
      </c>
      <c r="B13" s="9"/>
      <c r="C13" s="9"/>
      <c r="D13" s="9"/>
      <c r="E13" s="9"/>
      <c r="F13" s="9"/>
      <c r="G13" s="9"/>
      <c r="H13" s="9"/>
      <c r="J13" s="28" t="s">
        <v>21</v>
      </c>
      <c r="K13" s="1">
        <f t="shared" si="3"/>
        <v>1</v>
      </c>
      <c r="L13" s="54">
        <f t="shared" si="2"/>
        <v>9.0909090909090912E-2</v>
      </c>
    </row>
    <row r="14" spans="1:16">
      <c r="A14" s="6" t="s">
        <v>22</v>
      </c>
      <c r="B14" s="9"/>
      <c r="C14" s="9"/>
      <c r="D14" s="9"/>
      <c r="E14" s="9"/>
      <c r="F14" s="9"/>
      <c r="G14" s="9"/>
      <c r="H14" s="9"/>
      <c r="J14" s="39" t="s">
        <v>23</v>
      </c>
      <c r="K14" s="1">
        <f>COUNTIF($B$5:$H$93,J14)</f>
        <v>0</v>
      </c>
      <c r="L14" s="54">
        <f t="shared" si="2"/>
        <v>0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  <c r="J15" s="47" t="s">
        <v>108</v>
      </c>
      <c r="K15" s="1">
        <f>COUNTIF($B$5:$H$93,J15)</f>
        <v>0</v>
      </c>
      <c r="L15" s="54">
        <f t="shared" si="2"/>
        <v>0</v>
      </c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53" t="s">
        <v>115</v>
      </c>
      <c r="K16" s="1">
        <f>COUNTIF($B$5:$H$93,J16)</f>
        <v>7</v>
      </c>
      <c r="L16" s="54">
        <f t="shared" si="2"/>
        <v>0.63636363636363635</v>
      </c>
    </row>
    <row r="17" spans="1:11">
      <c r="A17" s="6" t="s">
        <v>27</v>
      </c>
      <c r="B17" s="9"/>
      <c r="C17" s="9"/>
      <c r="D17" s="9"/>
      <c r="E17" s="9"/>
      <c r="F17" s="9"/>
      <c r="G17" s="9"/>
      <c r="H17" s="9"/>
      <c r="J17" s="7" t="s">
        <v>26</v>
      </c>
      <c r="K17" s="1">
        <f>SUM(K5:K16)</f>
        <v>11</v>
      </c>
    </row>
    <row r="18" spans="1:11">
      <c r="A18" s="6" t="s">
        <v>28</v>
      </c>
      <c r="B18" s="9"/>
      <c r="C18" s="9"/>
      <c r="D18" s="9"/>
      <c r="E18" s="9"/>
      <c r="F18" s="9"/>
      <c r="G18" s="9"/>
      <c r="H18" s="9"/>
      <c r="J18" s="7"/>
    </row>
    <row r="19" spans="1:11">
      <c r="A19" s="6" t="s">
        <v>29</v>
      </c>
      <c r="B19" s="9"/>
      <c r="C19" s="9"/>
      <c r="D19" s="9"/>
      <c r="E19" s="9"/>
      <c r="F19" s="9"/>
      <c r="G19" s="9"/>
      <c r="H19" s="9"/>
      <c r="J19" s="7"/>
    </row>
    <row r="20" spans="1:11">
      <c r="A20" s="6" t="s">
        <v>30</v>
      </c>
      <c r="B20" s="9" t="s">
        <v>5</v>
      </c>
      <c r="C20" s="9"/>
      <c r="D20" s="9"/>
      <c r="E20" s="9"/>
      <c r="F20" s="9"/>
      <c r="G20" s="9"/>
      <c r="H20" s="9"/>
      <c r="J20" s="7"/>
    </row>
    <row r="21" spans="1:11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1">
      <c r="A22" s="6" t="s">
        <v>32</v>
      </c>
      <c r="B22" s="9"/>
      <c r="C22" s="9"/>
      <c r="D22" s="9"/>
      <c r="E22" s="9"/>
      <c r="F22" s="9"/>
      <c r="G22" s="9"/>
      <c r="H22" s="9"/>
      <c r="J22" s="7"/>
    </row>
    <row r="23" spans="1:11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1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1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1">
      <c r="A26" s="6" t="s">
        <v>36</v>
      </c>
      <c r="B26" s="9"/>
      <c r="C26" s="9"/>
      <c r="D26" s="9"/>
      <c r="E26" s="9"/>
      <c r="F26" s="9"/>
      <c r="G26" s="9"/>
      <c r="H26" s="9"/>
      <c r="J26" s="7"/>
    </row>
    <row r="27" spans="1:11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1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1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1">
      <c r="A30" s="6" t="s">
        <v>40</v>
      </c>
      <c r="B30" s="9"/>
      <c r="C30" s="9" t="s">
        <v>115</v>
      </c>
      <c r="D30" s="9"/>
      <c r="E30" s="9"/>
      <c r="F30" s="9"/>
      <c r="G30" s="9"/>
      <c r="H30" s="9"/>
    </row>
    <row r="31" spans="1:11">
      <c r="A31" s="6" t="s">
        <v>41</v>
      </c>
      <c r="B31" s="9"/>
      <c r="C31" s="9"/>
      <c r="D31" s="9"/>
      <c r="E31" s="9"/>
      <c r="F31" s="9"/>
      <c r="G31" s="9"/>
      <c r="H31" s="9"/>
    </row>
    <row r="32" spans="1:11">
      <c r="A32" s="6" t="s">
        <v>42</v>
      </c>
      <c r="B32" s="9"/>
      <c r="C32" s="9" t="s">
        <v>115</v>
      </c>
      <c r="D32" s="9"/>
      <c r="E32" s="9"/>
      <c r="F32" s="9" t="s">
        <v>21</v>
      </c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/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/>
      <c r="F35" s="9"/>
      <c r="G35" s="9"/>
      <c r="H35" s="9"/>
    </row>
    <row r="36" spans="1:8">
      <c r="A36" s="6" t="s">
        <v>46</v>
      </c>
      <c r="B36" s="9"/>
      <c r="C36" s="9" t="s">
        <v>115</v>
      </c>
      <c r="D36" s="9"/>
      <c r="E36" s="9"/>
      <c r="F36" s="9"/>
      <c r="G36" s="9"/>
      <c r="H36" s="9"/>
    </row>
    <row r="37" spans="1:8">
      <c r="A37" s="6" t="s">
        <v>47</v>
      </c>
      <c r="B37" s="9"/>
      <c r="C37" s="9" t="s">
        <v>115</v>
      </c>
      <c r="D37" s="9"/>
      <c r="E37" s="9"/>
      <c r="F37" s="9"/>
      <c r="G37" s="9"/>
      <c r="H37" s="9"/>
    </row>
    <row r="38" spans="1:8">
      <c r="A38" s="6" t="s">
        <v>48</v>
      </c>
      <c r="B38" s="9"/>
      <c r="C38" s="9"/>
      <c r="D38" s="9"/>
      <c r="E38" s="9"/>
      <c r="F38" s="9"/>
      <c r="G38" s="9"/>
      <c r="H38" s="9"/>
    </row>
    <row r="39" spans="1:8">
      <c r="A39" s="6" t="s">
        <v>49</v>
      </c>
      <c r="B39" s="9"/>
      <c r="C39" s="9"/>
      <c r="D39" s="9"/>
      <c r="E39" s="9"/>
      <c r="F39" s="9"/>
      <c r="G39" s="9"/>
      <c r="H39" s="9"/>
    </row>
    <row r="40" spans="1:8">
      <c r="A40" s="6" t="s">
        <v>50</v>
      </c>
      <c r="B40" s="9"/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/>
      <c r="G44" s="9"/>
      <c r="H44" s="9"/>
    </row>
    <row r="45" spans="1:8">
      <c r="A45" s="6" t="s">
        <v>55</v>
      </c>
      <c r="B45" s="9" t="s">
        <v>5</v>
      </c>
      <c r="C45" s="9"/>
      <c r="D45" s="9"/>
      <c r="E45" s="9"/>
      <c r="F45" s="9"/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/>
      <c r="C52" s="9"/>
      <c r="D52" s="9"/>
      <c r="E52" s="9"/>
      <c r="F52" s="9"/>
      <c r="G52" s="9"/>
      <c r="H52" s="9"/>
    </row>
    <row r="53" spans="1:8">
      <c r="A53" s="6" t="s">
        <v>63</v>
      </c>
      <c r="B53" s="9"/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/>
      <c r="D54" s="9"/>
      <c r="E54" s="9"/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 t="s">
        <v>5</v>
      </c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/>
      <c r="F57" s="9"/>
      <c r="G57" s="9"/>
      <c r="H57" s="9"/>
    </row>
    <row r="58" spans="1:8">
      <c r="A58" s="6" t="s">
        <v>68</v>
      </c>
      <c r="B58" s="9"/>
      <c r="C58" s="9"/>
      <c r="D58" s="9"/>
      <c r="E58" s="9"/>
      <c r="F58" s="9"/>
      <c r="G58" s="9"/>
      <c r="H58" s="9"/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/>
      <c r="H61" s="9"/>
    </row>
    <row r="62" spans="1:8">
      <c r="A62" s="6" t="s">
        <v>72</v>
      </c>
      <c r="B62" s="9"/>
      <c r="C62" s="9"/>
      <c r="D62" s="9"/>
      <c r="E62" s="9"/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/>
      <c r="C75" s="9"/>
      <c r="D75" s="9"/>
      <c r="E75" s="9"/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/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501" priority="41" operator="containsText" text="Pulverização">
      <formula>NOT(ISERROR(SEARCH("Pulverização",B94)))</formula>
    </cfRule>
    <cfRule type="cellIs" dxfId="500" priority="42" operator="greaterThan">
      <formula>$J$5</formula>
    </cfRule>
    <cfRule type="containsText" dxfId="499" priority="43" operator="containsText" text="Cardã">
      <formula>NOT(ISERROR(SEARCH("Cardã",B94)))</formula>
    </cfRule>
    <cfRule type="containsText" dxfId="498" priority="44" operator="containsText" text="Pneu">
      <formula>NOT(ISERROR(SEARCH("Pneu",B94)))</formula>
    </cfRule>
    <cfRule type="containsText" dxfId="497" priority="45" operator="containsText" text="Vedação">
      <formula>NOT(ISERROR(SEARCH("Vedação",B94)))</formula>
    </cfRule>
    <cfRule type="containsText" dxfId="496" priority="46" operator="containsText" text="Retentor">
      <formula>NOT(ISERROR(SEARCH("Retentor",B94)))</formula>
    </cfRule>
    <cfRule type="containsText" dxfId="495" priority="47" operator="containsText" text="Motorredutor">
      <formula>NOT(ISERROR(SEARCH("Motorredutor",B94)))</formula>
    </cfRule>
    <cfRule type="containsText" dxfId="494" priority="48" operator="containsText" text="Redutor">
      <formula>NOT(ISERROR(SEARCH("Redutor",B94)))</formula>
    </cfRule>
    <cfRule type="containsText" dxfId="493" priority="49" operator="containsText" text="Bomba">
      <formula>NOT(ISERROR(SEARCH("Bomba",B94)))</formula>
    </cfRule>
  </conditionalFormatting>
  <conditionalFormatting sqref="A1:A1048576">
    <cfRule type="containsText" dxfId="492" priority="37" operator="containsText" text="Pivô">
      <formula>NOT(ISERROR(SEARCH("Pivô",A1)))</formula>
    </cfRule>
    <cfRule type="containsText" dxfId="491" priority="38" operator="containsText" text="Pivô">
      <formula>NOT(ISERROR(SEARCH("Pivô",A1)))</formula>
    </cfRule>
  </conditionalFormatting>
  <conditionalFormatting sqref="B5:H93">
    <cfRule type="containsText" dxfId="490" priority="22" operator="containsText" text="Pulverização">
      <formula>NOT(ISERROR(SEARCH("Pulverização",B5)))</formula>
    </cfRule>
    <cfRule type="cellIs" dxfId="489" priority="23" operator="greaterThan">
      <formula>$J$5</formula>
    </cfRule>
    <cfRule type="containsText" dxfId="488" priority="24" operator="containsText" text="Cardã">
      <formula>NOT(ISERROR(SEARCH("Cardã",B5)))</formula>
    </cfRule>
    <cfRule type="containsText" dxfId="487" priority="25" operator="containsText" text="Pneu">
      <formula>NOT(ISERROR(SEARCH("Pneu",B5)))</formula>
    </cfRule>
    <cfRule type="containsText" dxfId="486" priority="26" operator="containsText" text="Vedação">
      <formula>NOT(ISERROR(SEARCH("Vedação",B5)))</formula>
    </cfRule>
    <cfRule type="containsText" dxfId="485" priority="27" operator="containsText" text="Retentor">
      <formula>NOT(ISERROR(SEARCH("Retentor",B5)))</formula>
    </cfRule>
    <cfRule type="containsText" dxfId="484" priority="28" operator="containsText" text="Motorredutor">
      <formula>NOT(ISERROR(SEARCH("Motorredutor",B5)))</formula>
    </cfRule>
    <cfRule type="containsText" dxfId="483" priority="29" operator="containsText" text="Redutor">
      <formula>NOT(ISERROR(SEARCH("Redutor",B5)))</formula>
    </cfRule>
    <cfRule type="containsText" dxfId="482" priority="30" operator="containsText" text="Bomba">
      <formula>NOT(ISERROR(SEARCH("Bomba",B5)))</formula>
    </cfRule>
  </conditionalFormatting>
  <dataValidations count="2">
    <dataValidation type="list" allowBlank="1" showInputMessage="1" showErrorMessage="1" sqref="B5:H93" xr:uid="{63AE929B-DBEB-460D-9B40-0A73DA14B8B4}">
      <formula1>$J$5:$J$16</formula1>
    </dataValidation>
    <dataValidation type="list" allowBlank="1" showInputMessage="1" showErrorMessage="1" sqref="B94:H95" xr:uid="{FE99112D-2139-410E-82AA-1E715ADC73DB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662B3F4-6F2C-4A1E-8991-3F1988ABA861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47F2CD74-BC3C-42C5-985B-57D2135FF4D0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175E57F8-4283-4BC1-8CCA-5B01FD0A7E1D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0" operator="containsText" id="{334FCE24-B8EF-42A4-AEDD-5062B6073B8D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50" operator="containsText" id="{774EB3B1-08B8-4A10-A924-AAB28283ADC2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1" operator="containsText" id="{CF75FC12-41B7-4A1D-9D1D-ED4354F041C4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2" operator="containsText" id="{A2C659E1-ECCE-42C9-84DA-86ECE31A5D78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3" operator="containsText" id="{0D62D512-6117-48CE-AD54-AA0A8E17DD7B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4" operator="containsText" id="{E0176318-D44A-4D8C-B2FA-7C95EEB5CE8A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5" operator="containsText" id="{F5CCB446-8362-49C6-8565-7C40E75FDE7A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39" operator="containsText" id="{5B68E38D-86AC-4B8A-90EC-9BE3496995EA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20" operator="containsText" id="{F0124938-AED1-4F0C-8EAC-5C83FA7EDFC3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" operator="containsText" id="{000E2677-A311-4DB7-B6B6-71505BF0E500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9256344D-A7A3-41FB-AFCF-3BDAEC05772A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6" operator="containsText" id="{81EA9A24-F2D1-4376-808C-7AA02AF69AF1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7" operator="containsText" id="{A55CD200-CAD0-417A-8351-FACF520D927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8" operator="containsText" id="{AF28DCB2-78F7-47DD-B4E2-399F07F2BB7A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0" operator="containsText" id="{AA584C4E-DC9B-49CF-9092-3FAC11CAC32C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1" operator="containsText" id="{D7EE36ED-5096-49A7-83AE-7C8F7687153C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2" operator="containsText" id="{EE61DABF-CCF2-4D8A-B5A8-89BE4D919420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563453C9-99AE-4392-84DE-44BCBFDDC544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F61B1BD0-2C5A-4E70-A4AB-0144E3C34033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5" operator="containsText" id="{4E064697-DFEA-4940-93BC-1265A4C322C8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6" operator="containsText" id="{7A294B0C-F059-40C6-8BF3-281EC60F3FD8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7" operator="containsText" id="{1F0F96D1-9E62-41D5-B84C-06A38CDB6991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8" operator="containsText" id="{BF8E98CA-D010-459B-B4D7-6FD235A2C6D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9" operator="containsText" id="{58567C5C-E90A-4B28-89C8-41B68A8CE8CD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1" operator="containsText" id="{3480BFD4-EF7A-4303-9F95-110FAA4AD2B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1" operator="containsText" id="{61F534BB-713A-4CDB-A975-D411F8F9CECF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2" operator="containsText" id="{B04AEB60-CDFF-4BAD-A9FD-DD695E6D2BF5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3" operator="containsText" id="{F9B81EC0-3741-4249-AB06-A02E8AB34D9D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4" operator="containsText" id="{8E1633EE-9703-468B-AD43-046E090409DE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5" operator="containsText" id="{D5463B87-5298-4E50-9E1E-9E8104202F6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6" operator="containsText" id="{6F8CFCE4-4A33-4B79-BD6A-76B7E63F7AC0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9" operator="containsText" id="{B97A6B7B-9FAB-4FD8-BFDF-A114EA9B7670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31F0-ADA9-430E-9BE6-BE37F91A7798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E41" sqref="E41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118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44697</v>
      </c>
      <c r="C3" s="11">
        <f t="shared" ref="C3:H3" si="0">B3+1</f>
        <v>44698</v>
      </c>
      <c r="D3" s="11">
        <f t="shared" si="0"/>
        <v>44699</v>
      </c>
      <c r="E3" s="11">
        <f t="shared" si="0"/>
        <v>44700</v>
      </c>
      <c r="F3" s="11">
        <f t="shared" si="0"/>
        <v>44701</v>
      </c>
      <c r="G3" s="11">
        <f t="shared" si="0"/>
        <v>44702</v>
      </c>
      <c r="H3" s="12">
        <f t="shared" si="0"/>
        <v>44703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/>
      <c r="D5" s="8"/>
      <c r="E5" s="8"/>
      <c r="F5" s="8"/>
      <c r="G5" s="8"/>
      <c r="H5" s="8"/>
      <c r="J5" s="20" t="s">
        <v>5</v>
      </c>
      <c r="K5" s="1">
        <f>COUNTIF($B$5:$H$93,J5)</f>
        <v>1</v>
      </c>
      <c r="L5" s="54">
        <f t="shared" ref="L5:L16" si="2">K5/$K$17</f>
        <v>9.0909090909090912E-2</v>
      </c>
    </row>
    <row r="6" spans="1:16">
      <c r="A6" s="6" t="s">
        <v>6</v>
      </c>
      <c r="B6" s="9"/>
      <c r="C6" s="9"/>
      <c r="D6" s="9"/>
      <c r="E6" s="9"/>
      <c r="F6" s="9"/>
      <c r="G6" s="9"/>
      <c r="H6" s="9"/>
      <c r="J6" s="21" t="s">
        <v>7</v>
      </c>
      <c r="K6" s="1">
        <f t="shared" ref="K6:K13" si="3">COUNTIF($B$5:$H$93,J6)</f>
        <v>0</v>
      </c>
      <c r="L6" s="54">
        <f t="shared" si="2"/>
        <v>0</v>
      </c>
    </row>
    <row r="7" spans="1:16">
      <c r="A7" s="6" t="s">
        <v>8</v>
      </c>
      <c r="B7" s="9"/>
      <c r="C7" s="9"/>
      <c r="D7" s="9"/>
      <c r="E7" s="9"/>
      <c r="F7" s="9"/>
      <c r="G7" s="9"/>
      <c r="H7" s="9"/>
      <c r="J7" s="22" t="s">
        <v>111</v>
      </c>
      <c r="K7" s="1">
        <f t="shared" si="3"/>
        <v>0</v>
      </c>
      <c r="L7" s="54">
        <f t="shared" si="2"/>
        <v>0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1">
        <f>COUNTIF($B$5:$H$93,J8)</f>
        <v>0</v>
      </c>
      <c r="L8" s="54">
        <f t="shared" si="2"/>
        <v>0</v>
      </c>
    </row>
    <row r="9" spans="1:16">
      <c r="A9" s="6" t="s">
        <v>12</v>
      </c>
      <c r="B9" s="9"/>
      <c r="C9" s="9"/>
      <c r="D9" s="9" t="s">
        <v>17</v>
      </c>
      <c r="E9" s="9" t="s">
        <v>17</v>
      </c>
      <c r="F9" s="9" t="s">
        <v>17</v>
      </c>
      <c r="G9" s="9" t="s">
        <v>17</v>
      </c>
      <c r="H9" s="9"/>
      <c r="J9" s="24" t="s">
        <v>13</v>
      </c>
      <c r="K9" s="1">
        <f>COUNTIF($B$5:$H$93,J9)</f>
        <v>0</v>
      </c>
      <c r="L9" s="54">
        <f t="shared" si="2"/>
        <v>0</v>
      </c>
      <c r="P9" s="3"/>
    </row>
    <row r="10" spans="1:16">
      <c r="A10" s="6" t="s">
        <v>14</v>
      </c>
      <c r="B10" s="9"/>
      <c r="C10" s="9"/>
      <c r="D10" s="9"/>
      <c r="E10" s="9"/>
      <c r="F10" s="9"/>
      <c r="G10" s="9"/>
      <c r="H10" s="9"/>
      <c r="J10" s="25" t="s">
        <v>105</v>
      </c>
      <c r="K10" s="1">
        <f t="shared" si="3"/>
        <v>0</v>
      </c>
      <c r="L10" s="54">
        <f t="shared" si="2"/>
        <v>0</v>
      </c>
    </row>
    <row r="11" spans="1:16">
      <c r="A11" s="6" t="s">
        <v>16</v>
      </c>
      <c r="B11" s="9"/>
      <c r="C11" s="9"/>
      <c r="D11" s="9"/>
      <c r="E11" s="9"/>
      <c r="F11" s="9"/>
      <c r="G11" s="9"/>
      <c r="H11" s="9"/>
      <c r="J11" s="26" t="s">
        <v>17</v>
      </c>
      <c r="K11" s="1">
        <f t="shared" si="3"/>
        <v>10</v>
      </c>
      <c r="L11" s="54">
        <f t="shared" si="2"/>
        <v>0.90909090909090906</v>
      </c>
    </row>
    <row r="12" spans="1:16">
      <c r="A12" s="6" t="s">
        <v>18</v>
      </c>
      <c r="B12" s="9"/>
      <c r="C12" s="9"/>
      <c r="D12" s="9"/>
      <c r="E12" s="9"/>
      <c r="F12" s="9"/>
      <c r="G12" s="9"/>
      <c r="H12" s="9"/>
      <c r="J12" s="27" t="s">
        <v>107</v>
      </c>
      <c r="K12" s="1">
        <f t="shared" si="3"/>
        <v>0</v>
      </c>
      <c r="L12" s="54">
        <f t="shared" si="2"/>
        <v>0</v>
      </c>
    </row>
    <row r="13" spans="1:16">
      <c r="A13" s="6" t="s">
        <v>20</v>
      </c>
      <c r="B13" s="9"/>
      <c r="C13" s="9"/>
      <c r="D13" s="9"/>
      <c r="E13" s="9"/>
      <c r="F13" s="9"/>
      <c r="G13" s="9"/>
      <c r="H13" s="9"/>
      <c r="J13" s="28" t="s">
        <v>21</v>
      </c>
      <c r="K13" s="1">
        <f t="shared" si="3"/>
        <v>0</v>
      </c>
      <c r="L13" s="54">
        <f t="shared" si="2"/>
        <v>0</v>
      </c>
    </row>
    <row r="14" spans="1:16">
      <c r="A14" s="6" t="s">
        <v>22</v>
      </c>
      <c r="B14" s="9"/>
      <c r="C14" s="9"/>
      <c r="D14" s="9"/>
      <c r="E14" s="9"/>
      <c r="F14" s="9"/>
      <c r="G14" s="9"/>
      <c r="H14" s="9"/>
      <c r="J14" s="39" t="s">
        <v>23</v>
      </c>
      <c r="K14" s="1">
        <f>COUNTIF($B$5:$H$93,J14)</f>
        <v>0</v>
      </c>
      <c r="L14" s="54">
        <f t="shared" si="2"/>
        <v>0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  <c r="J15" s="47" t="s">
        <v>108</v>
      </c>
      <c r="K15" s="1">
        <f>COUNTIF($B$5:$H$93,J15)</f>
        <v>0</v>
      </c>
      <c r="L15" s="54">
        <f t="shared" si="2"/>
        <v>0</v>
      </c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53" t="s">
        <v>115</v>
      </c>
      <c r="K16" s="1">
        <f>COUNTIF($B$5:$H$93,J16)</f>
        <v>0</v>
      </c>
      <c r="L16" s="54">
        <f t="shared" si="2"/>
        <v>0</v>
      </c>
    </row>
    <row r="17" spans="1:11">
      <c r="A17" s="6" t="s">
        <v>27</v>
      </c>
      <c r="B17" s="9"/>
      <c r="C17" s="9"/>
      <c r="D17" s="9"/>
      <c r="E17" s="9"/>
      <c r="F17" s="9"/>
      <c r="G17" s="9"/>
      <c r="H17" s="9"/>
      <c r="J17" s="7" t="s">
        <v>26</v>
      </c>
      <c r="K17" s="1">
        <f>SUM(K5:K16)</f>
        <v>11</v>
      </c>
    </row>
    <row r="18" spans="1:11">
      <c r="A18" s="6" t="s">
        <v>28</v>
      </c>
      <c r="B18" s="9"/>
      <c r="C18" s="9"/>
      <c r="D18" s="9"/>
      <c r="E18" s="9"/>
      <c r="F18" s="9"/>
      <c r="G18" s="9"/>
      <c r="H18" s="9"/>
      <c r="J18" s="7"/>
    </row>
    <row r="19" spans="1:11">
      <c r="A19" s="6" t="s">
        <v>29</v>
      </c>
      <c r="B19" s="9"/>
      <c r="C19" s="9"/>
      <c r="D19" s="9"/>
      <c r="E19" s="9"/>
      <c r="F19" s="9"/>
      <c r="G19" s="9"/>
      <c r="H19" s="9"/>
      <c r="J19" s="7"/>
    </row>
    <row r="20" spans="1:11">
      <c r="A20" s="6" t="s">
        <v>30</v>
      </c>
      <c r="B20" s="9"/>
      <c r="C20" s="9"/>
      <c r="D20" s="9"/>
      <c r="E20" s="9"/>
      <c r="F20" s="9"/>
      <c r="G20" s="9"/>
      <c r="H20" s="9"/>
      <c r="J20" s="7"/>
    </row>
    <row r="21" spans="1:11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1">
      <c r="A22" s="6" t="s">
        <v>32</v>
      </c>
      <c r="B22" s="9"/>
      <c r="C22" s="9"/>
      <c r="D22" s="9"/>
      <c r="E22" s="9"/>
      <c r="F22" s="9"/>
      <c r="G22" s="9"/>
      <c r="H22" s="9"/>
      <c r="J22" s="7"/>
    </row>
    <row r="23" spans="1:11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1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1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1">
      <c r="A26" s="6" t="s">
        <v>36</v>
      </c>
      <c r="B26" s="9"/>
      <c r="C26" s="9"/>
      <c r="D26" s="9"/>
      <c r="E26" s="9"/>
      <c r="F26" s="9"/>
      <c r="G26" s="9"/>
      <c r="H26" s="9"/>
      <c r="J26" s="7"/>
    </row>
    <row r="27" spans="1:11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1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1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1">
      <c r="A30" s="6" t="s">
        <v>40</v>
      </c>
      <c r="B30" s="9"/>
      <c r="C30" s="9"/>
      <c r="D30" s="9"/>
      <c r="E30" s="9"/>
      <c r="F30" s="9"/>
      <c r="G30" s="9"/>
      <c r="H30" s="9"/>
    </row>
    <row r="31" spans="1:11">
      <c r="A31" s="6" t="s">
        <v>41</v>
      </c>
      <c r="B31" s="9"/>
      <c r="C31" s="9"/>
      <c r="D31" s="9"/>
      <c r="E31" s="9"/>
      <c r="F31" s="9"/>
      <c r="G31" s="9"/>
      <c r="H31" s="9"/>
    </row>
    <row r="32" spans="1:11">
      <c r="A32" s="6" t="s">
        <v>42</v>
      </c>
      <c r="B32" s="9"/>
      <c r="C32" s="9"/>
      <c r="D32" s="9"/>
      <c r="E32" s="9"/>
      <c r="F32" s="9"/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/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/>
      <c r="F35" s="9"/>
      <c r="G35" s="9"/>
      <c r="H35" s="9"/>
    </row>
    <row r="36" spans="1:8">
      <c r="A36" s="6" t="s">
        <v>46</v>
      </c>
      <c r="B36" s="9"/>
      <c r="C36" s="9"/>
      <c r="D36" s="9"/>
      <c r="E36" s="9"/>
      <c r="F36" s="9"/>
      <c r="G36" s="9"/>
      <c r="H36" s="9"/>
    </row>
    <row r="37" spans="1:8">
      <c r="A37" s="6" t="s">
        <v>47</v>
      </c>
      <c r="B37" s="9"/>
      <c r="C37" s="9"/>
      <c r="D37" s="9"/>
      <c r="E37" s="9"/>
      <c r="F37" s="9"/>
      <c r="G37" s="9"/>
      <c r="H37" s="9"/>
    </row>
    <row r="38" spans="1:8">
      <c r="A38" s="6" t="s">
        <v>48</v>
      </c>
      <c r="B38" s="9"/>
      <c r="C38" s="9"/>
      <c r="D38" s="9"/>
      <c r="E38" s="9"/>
      <c r="F38" s="9"/>
      <c r="G38" s="9"/>
      <c r="H38" s="9"/>
    </row>
    <row r="39" spans="1:8">
      <c r="A39" s="6" t="s">
        <v>49</v>
      </c>
      <c r="B39" s="9"/>
      <c r="C39" s="9"/>
      <c r="D39" s="9"/>
      <c r="E39" s="9" t="s">
        <v>17</v>
      </c>
      <c r="F39" s="9"/>
      <c r="G39" s="9"/>
      <c r="H39" s="9"/>
    </row>
    <row r="40" spans="1:8">
      <c r="A40" s="6" t="s">
        <v>50</v>
      </c>
      <c r="B40" s="9" t="s">
        <v>17</v>
      </c>
      <c r="C40" s="9" t="s">
        <v>17</v>
      </c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 t="s">
        <v>17</v>
      </c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/>
      <c r="G44" s="9"/>
      <c r="H44" s="9"/>
    </row>
    <row r="45" spans="1:8">
      <c r="A45" s="6" t="s">
        <v>55</v>
      </c>
      <c r="B45" s="9"/>
      <c r="C45" s="9"/>
      <c r="D45" s="9"/>
      <c r="E45" s="9"/>
      <c r="F45" s="9"/>
      <c r="G45" s="9"/>
      <c r="H45" s="9"/>
    </row>
    <row r="46" spans="1:8">
      <c r="A46" s="6" t="s">
        <v>56</v>
      </c>
      <c r="B46" s="9"/>
      <c r="C46" s="9" t="s">
        <v>5</v>
      </c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/>
      <c r="C52" s="9"/>
      <c r="D52" s="9"/>
      <c r="E52" s="9"/>
      <c r="F52" s="9"/>
      <c r="G52" s="9"/>
      <c r="H52" s="9"/>
    </row>
    <row r="53" spans="1:8">
      <c r="A53" s="6" t="s">
        <v>63</v>
      </c>
      <c r="B53" s="9"/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/>
      <c r="D54" s="9"/>
      <c r="E54" s="9"/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/>
      <c r="F57" s="9"/>
      <c r="G57" s="9"/>
      <c r="H57" s="9"/>
    </row>
    <row r="58" spans="1:8">
      <c r="A58" s="6" t="s">
        <v>68</v>
      </c>
      <c r="B58" s="9"/>
      <c r="C58" s="9"/>
      <c r="D58" s="9"/>
      <c r="E58" s="9"/>
      <c r="F58" s="9"/>
      <c r="G58" s="9"/>
      <c r="H58" s="9"/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 t="s">
        <v>17</v>
      </c>
      <c r="E61" s="9" t="s">
        <v>17</v>
      </c>
      <c r="F61" s="9"/>
      <c r="G61" s="9"/>
      <c r="H61" s="9"/>
    </row>
    <row r="62" spans="1:8">
      <c r="A62" s="6" t="s">
        <v>72</v>
      </c>
      <c r="B62" s="9"/>
      <c r="C62" s="9"/>
      <c r="D62" s="9"/>
      <c r="E62" s="9"/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/>
      <c r="C75" s="9"/>
      <c r="D75" s="9"/>
      <c r="E75" s="9"/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/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446" priority="41" operator="containsText" text="Pulverização">
      <formula>NOT(ISERROR(SEARCH("Pulverização",B94)))</formula>
    </cfRule>
    <cfRule type="cellIs" dxfId="445" priority="42" operator="greaterThan">
      <formula>$J$5</formula>
    </cfRule>
    <cfRule type="containsText" dxfId="444" priority="43" operator="containsText" text="Cardã">
      <formula>NOT(ISERROR(SEARCH("Cardã",B94)))</formula>
    </cfRule>
    <cfRule type="containsText" dxfId="443" priority="44" operator="containsText" text="Pneu">
      <formula>NOT(ISERROR(SEARCH("Pneu",B94)))</formula>
    </cfRule>
    <cfRule type="containsText" dxfId="442" priority="45" operator="containsText" text="Vedação">
      <formula>NOT(ISERROR(SEARCH("Vedação",B94)))</formula>
    </cfRule>
    <cfRule type="containsText" dxfId="441" priority="46" operator="containsText" text="Retentor">
      <formula>NOT(ISERROR(SEARCH("Retentor",B94)))</formula>
    </cfRule>
    <cfRule type="containsText" dxfId="440" priority="47" operator="containsText" text="Motorredutor">
      <formula>NOT(ISERROR(SEARCH("Motorredutor",B94)))</formula>
    </cfRule>
    <cfRule type="containsText" dxfId="439" priority="48" operator="containsText" text="Redutor">
      <formula>NOT(ISERROR(SEARCH("Redutor",B94)))</formula>
    </cfRule>
    <cfRule type="containsText" dxfId="438" priority="49" operator="containsText" text="Bomba">
      <formula>NOT(ISERROR(SEARCH("Bomba",B94)))</formula>
    </cfRule>
  </conditionalFormatting>
  <conditionalFormatting sqref="A1:A1048576">
    <cfRule type="containsText" dxfId="437" priority="37" operator="containsText" text="Pivô">
      <formula>NOT(ISERROR(SEARCH("Pivô",A1)))</formula>
    </cfRule>
    <cfRule type="containsText" dxfId="436" priority="38" operator="containsText" text="Pivô">
      <formula>NOT(ISERROR(SEARCH("Pivô",A1)))</formula>
    </cfRule>
  </conditionalFormatting>
  <conditionalFormatting sqref="B5:H93">
    <cfRule type="containsText" dxfId="435" priority="22" operator="containsText" text="Pulverização">
      <formula>NOT(ISERROR(SEARCH("Pulverização",B5)))</formula>
    </cfRule>
    <cfRule type="cellIs" dxfId="434" priority="23" operator="greaterThan">
      <formula>$J$5</formula>
    </cfRule>
    <cfRule type="containsText" dxfId="433" priority="24" operator="containsText" text="Cardã">
      <formula>NOT(ISERROR(SEARCH("Cardã",B5)))</formula>
    </cfRule>
    <cfRule type="containsText" dxfId="432" priority="25" operator="containsText" text="Pneu">
      <formula>NOT(ISERROR(SEARCH("Pneu",B5)))</formula>
    </cfRule>
    <cfRule type="containsText" dxfId="431" priority="26" operator="containsText" text="Vedação">
      <formula>NOT(ISERROR(SEARCH("Vedação",B5)))</formula>
    </cfRule>
    <cfRule type="containsText" dxfId="430" priority="27" operator="containsText" text="Retentor">
      <formula>NOT(ISERROR(SEARCH("Retentor",B5)))</formula>
    </cfRule>
    <cfRule type="containsText" dxfId="429" priority="28" operator="containsText" text="Motorredutor">
      <formula>NOT(ISERROR(SEARCH("Motorredutor",B5)))</formula>
    </cfRule>
    <cfRule type="containsText" dxfId="428" priority="29" operator="containsText" text="Redutor">
      <formula>NOT(ISERROR(SEARCH("Redutor",B5)))</formula>
    </cfRule>
    <cfRule type="containsText" dxfId="427" priority="30" operator="containsText" text="Bomba">
      <formula>NOT(ISERROR(SEARCH("Bomba",B5)))</formula>
    </cfRule>
  </conditionalFormatting>
  <dataValidations count="2">
    <dataValidation type="list" allowBlank="1" showInputMessage="1" showErrorMessage="1" sqref="B94:H95" xr:uid="{217A937A-CD2C-4DC9-9A0C-BBF8215E30A6}">
      <formula1>$J$5:$J$11</formula1>
    </dataValidation>
    <dataValidation type="list" allowBlank="1" showInputMessage="1" showErrorMessage="1" sqref="B5:H93" xr:uid="{AB02589C-3E5C-4544-A981-02DF42956CE3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57A383E-DD25-45F1-9D47-093AA152E27B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2" operator="containsText" id="{0272EB77-CDAF-4F87-99DA-3631F866F1B6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F644CE03-7510-4443-8878-E00C9F0C0AE3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0" operator="containsText" id="{42C350C1-A92B-4101-8815-A2E20D7863F6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50" operator="containsText" id="{14D2B79A-4ACF-469B-A1B2-4D937876F697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1" operator="containsText" id="{CD13F2CC-5219-4657-98CE-38277A07FD4F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2" operator="containsText" id="{9F626ED2-3984-4F06-ADF6-1CD46F1AD3D6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3" operator="containsText" id="{6F34C13C-23B6-428C-BA61-65A0ACC509C2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4" operator="containsText" id="{9B2059F9-9769-4FEC-8E44-6B1B3D7580D6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5" operator="containsText" id="{17073BDA-01F2-4F34-8F23-12AD868A09B9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39" operator="containsText" id="{41EE2876-7754-424E-B3C3-69BC34A5AAA2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20" operator="containsText" id="{B04E55E0-2F2F-4DEA-99E6-8F5C8ABB0D8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" operator="containsText" id="{59478BAB-1A81-4870-AD53-BC0CCE8465B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" operator="containsText" id="{6D92A366-E650-4AB0-9821-F0F53C311245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6" operator="containsText" id="{63F8B2FA-9F56-44D5-A6DC-305674726EE9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7" operator="containsText" id="{42ADFBE3-F706-4AA5-89CF-3AFB65B9D13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8" operator="containsText" id="{A2BC3A4C-8098-4AA4-964F-038970E3B15F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0" operator="containsText" id="{43067587-BEF7-48FB-8BF5-61570E679AF7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1" operator="containsText" id="{50A9FD75-103D-4E43-9FFB-4C97A6B262C4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2" operator="containsText" id="{EE95201C-71B8-4C48-9C02-60D6F8C8401D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3" operator="containsText" id="{55311610-EFE1-49E4-9300-F1F8E6581C60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3AA014F1-9C18-4E55-BAE9-9369C9F34623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5" operator="containsText" id="{F31E3DB5-E906-4E7A-B090-00AD871358D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6" operator="containsText" id="{C5406BC0-BD96-4DB9-8300-F6B44788A143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7" operator="containsText" id="{D3B95ECB-2244-464B-AB42-177E83A072B6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8" operator="containsText" id="{F2BA4A86-6D97-49D1-A659-1DFF02E5354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19" operator="containsText" id="{E5767663-7866-4A61-B001-63ABDBFA0977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1" operator="containsText" id="{CB38C7B9-61D1-4A8F-BC82-8CEDCCA78AC3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1" operator="containsText" id="{B6E9AF41-ABC1-4181-8E8B-D542981B1D4E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2" operator="containsText" id="{7605CAB3-D1CF-493B-AB11-DFF830E1E81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3" operator="containsText" id="{0133F784-55A2-4374-A6EC-F87423E9BA0C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4" operator="containsText" id="{2CC56F74-4FEE-46E3-8EAE-544CF79BEB60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5" operator="containsText" id="{31553D57-000F-48C4-AD62-B1376E8268F5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6" operator="containsText" id="{DCB742FB-4343-45A1-9F41-BCD3A332B2AF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9" operator="containsText" id="{9F9E2BE5-BB1E-4CC1-909C-A65BF9587237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FC34-385E-4B3F-9AE3-EB1577876462}">
  <sheetPr>
    <tabColor rgb="FF92D050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I9" sqref="I9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119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44704</v>
      </c>
      <c r="C3" s="11">
        <f t="shared" ref="C3:H3" si="0">B3+1</f>
        <v>44705</v>
      </c>
      <c r="D3" s="11">
        <f t="shared" si="0"/>
        <v>44706</v>
      </c>
      <c r="E3" s="11">
        <f t="shared" si="0"/>
        <v>44707</v>
      </c>
      <c r="F3" s="11">
        <f t="shared" si="0"/>
        <v>44708</v>
      </c>
      <c r="G3" s="11">
        <f t="shared" si="0"/>
        <v>44709</v>
      </c>
      <c r="H3" s="12">
        <f t="shared" si="0"/>
        <v>44710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/>
      <c r="D5" s="8"/>
      <c r="E5" s="8"/>
      <c r="F5" s="8"/>
      <c r="G5" s="8"/>
      <c r="H5" s="8"/>
      <c r="J5" s="20" t="s">
        <v>5</v>
      </c>
      <c r="K5" s="1">
        <f>COUNTIF($B$5:$H$93,J5)</f>
        <v>4</v>
      </c>
      <c r="L5" s="54">
        <f t="shared" ref="L5:L17" si="2">K5/$K$18</f>
        <v>0.4</v>
      </c>
    </row>
    <row r="6" spans="1:16">
      <c r="A6" s="6" t="s">
        <v>6</v>
      </c>
      <c r="B6" s="9"/>
      <c r="C6" s="9"/>
      <c r="D6" s="9"/>
      <c r="E6" s="9"/>
      <c r="F6" s="9"/>
      <c r="G6" s="9"/>
      <c r="H6" s="9"/>
      <c r="J6" s="21" t="s">
        <v>7</v>
      </c>
      <c r="K6" s="1">
        <f t="shared" ref="K6:K13" si="3">COUNTIF($B$5:$H$93,J6)</f>
        <v>1</v>
      </c>
      <c r="L6" s="54">
        <f t="shared" si="2"/>
        <v>0.1</v>
      </c>
    </row>
    <row r="7" spans="1:16">
      <c r="A7" s="6" t="s">
        <v>8</v>
      </c>
      <c r="B7" s="9"/>
      <c r="C7" s="9"/>
      <c r="D7" s="9"/>
      <c r="E7" s="9"/>
      <c r="F7" s="9"/>
      <c r="G7" s="9"/>
      <c r="H7" s="9"/>
      <c r="J7" s="22" t="s">
        <v>111</v>
      </c>
      <c r="K7" s="1">
        <f t="shared" si="3"/>
        <v>1</v>
      </c>
      <c r="L7" s="54">
        <f t="shared" si="2"/>
        <v>0.1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1">
        <f>COUNTIF($B$5:$H$93,J8)</f>
        <v>0</v>
      </c>
      <c r="L8" s="54">
        <f t="shared" si="2"/>
        <v>0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1">
        <f>COUNTIF($B$5:$H$93,J9)</f>
        <v>0</v>
      </c>
      <c r="L9" s="54">
        <f t="shared" si="2"/>
        <v>0</v>
      </c>
      <c r="P9" s="3"/>
    </row>
    <row r="10" spans="1:16">
      <c r="A10" s="6" t="s">
        <v>14</v>
      </c>
      <c r="B10" s="9"/>
      <c r="C10" s="9"/>
      <c r="D10" s="9"/>
      <c r="E10" s="9" t="s">
        <v>5</v>
      </c>
      <c r="F10" s="9"/>
      <c r="G10" s="9"/>
      <c r="H10" s="9"/>
      <c r="J10" s="25" t="s">
        <v>105</v>
      </c>
      <c r="K10" s="1">
        <f t="shared" si="3"/>
        <v>0</v>
      </c>
      <c r="L10" s="54">
        <f t="shared" si="2"/>
        <v>0</v>
      </c>
    </row>
    <row r="11" spans="1:16">
      <c r="A11" s="6" t="s">
        <v>16</v>
      </c>
      <c r="B11" s="9"/>
      <c r="C11" s="9"/>
      <c r="D11" s="9"/>
      <c r="E11" s="9"/>
      <c r="F11" s="9"/>
      <c r="G11" s="9"/>
      <c r="H11" s="9"/>
      <c r="J11" s="26" t="s">
        <v>17</v>
      </c>
      <c r="K11" s="1">
        <f t="shared" si="3"/>
        <v>0</v>
      </c>
      <c r="L11" s="54">
        <f t="shared" si="2"/>
        <v>0</v>
      </c>
    </row>
    <row r="12" spans="1:16">
      <c r="A12" s="6" t="s">
        <v>18</v>
      </c>
      <c r="B12" s="9"/>
      <c r="C12" s="9"/>
      <c r="D12" s="9"/>
      <c r="E12" s="9" t="s">
        <v>7</v>
      </c>
      <c r="F12" s="9"/>
      <c r="G12" s="9"/>
      <c r="H12" s="9"/>
      <c r="J12" s="27" t="s">
        <v>107</v>
      </c>
      <c r="K12" s="1">
        <f t="shared" si="3"/>
        <v>0</v>
      </c>
      <c r="L12" s="54">
        <f t="shared" si="2"/>
        <v>0</v>
      </c>
    </row>
    <row r="13" spans="1:16">
      <c r="A13" s="6" t="s">
        <v>20</v>
      </c>
      <c r="B13" s="9"/>
      <c r="C13" s="9"/>
      <c r="D13" s="9"/>
      <c r="E13" s="9"/>
      <c r="F13" s="9"/>
      <c r="G13" s="9"/>
      <c r="H13" s="9"/>
      <c r="J13" s="28" t="s">
        <v>21</v>
      </c>
      <c r="K13" s="1">
        <f t="shared" si="3"/>
        <v>3</v>
      </c>
      <c r="L13" s="54">
        <f t="shared" si="2"/>
        <v>0.3</v>
      </c>
    </row>
    <row r="14" spans="1:16">
      <c r="A14" s="6" t="s">
        <v>22</v>
      </c>
      <c r="B14" s="9"/>
      <c r="C14" s="9"/>
      <c r="D14" s="9"/>
      <c r="E14" s="9"/>
      <c r="F14" s="9"/>
      <c r="G14" s="9"/>
      <c r="H14" s="9"/>
      <c r="J14" s="39" t="s">
        <v>23</v>
      </c>
      <c r="K14" s="1">
        <f>COUNTIF($B$5:$H$93,J14)</f>
        <v>0</v>
      </c>
      <c r="L14" s="54">
        <f t="shared" si="2"/>
        <v>0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  <c r="J15" s="47" t="s">
        <v>108</v>
      </c>
      <c r="K15" s="1">
        <f>COUNTIF($B$5:$H$93,J15)</f>
        <v>0</v>
      </c>
      <c r="L15" s="54">
        <f t="shared" si="2"/>
        <v>0</v>
      </c>
    </row>
    <row r="16" spans="1:16">
      <c r="A16" s="6" t="s">
        <v>25</v>
      </c>
      <c r="B16" s="9"/>
      <c r="C16" s="9"/>
      <c r="D16" s="9" t="s">
        <v>111</v>
      </c>
      <c r="E16" s="9"/>
      <c r="F16" s="9"/>
      <c r="G16" s="9"/>
      <c r="H16" s="9"/>
      <c r="J16" s="53" t="s">
        <v>115</v>
      </c>
      <c r="K16" s="1">
        <f>COUNTIF($B$5:$H$93,J16)</f>
        <v>0</v>
      </c>
      <c r="L16" s="54">
        <f t="shared" si="2"/>
        <v>0</v>
      </c>
    </row>
    <row r="17" spans="1:12">
      <c r="A17" s="6" t="s">
        <v>27</v>
      </c>
      <c r="B17" s="9"/>
      <c r="C17" s="9"/>
      <c r="D17" s="9"/>
      <c r="E17" s="9"/>
      <c r="F17" s="9"/>
      <c r="G17" s="9"/>
      <c r="H17" s="9"/>
      <c r="J17" s="56" t="s">
        <v>120</v>
      </c>
      <c r="K17" s="1">
        <f>COUNTIF($B$5:$H$93,J17)</f>
        <v>1</v>
      </c>
      <c r="L17" s="54">
        <f t="shared" si="2"/>
        <v>0.1</v>
      </c>
    </row>
    <row r="18" spans="1:12">
      <c r="A18" s="6" t="s">
        <v>28</v>
      </c>
      <c r="B18" s="9"/>
      <c r="C18" s="9"/>
      <c r="D18" s="9"/>
      <c r="E18" s="9"/>
      <c r="F18" s="9"/>
      <c r="G18" s="9"/>
      <c r="H18" s="9"/>
      <c r="J18" s="7" t="s">
        <v>26</v>
      </c>
      <c r="K18" s="1">
        <f>SUM(K5:K17)</f>
        <v>10</v>
      </c>
    </row>
    <row r="19" spans="1:12">
      <c r="A19" s="6" t="s">
        <v>29</v>
      </c>
      <c r="B19" s="9"/>
      <c r="C19" s="9"/>
      <c r="D19" s="9"/>
      <c r="E19" s="9"/>
      <c r="F19" s="9"/>
      <c r="G19" s="9"/>
      <c r="H19" s="9"/>
      <c r="J19" s="7"/>
    </row>
    <row r="20" spans="1:12">
      <c r="A20" s="6" t="s">
        <v>30</v>
      </c>
      <c r="B20" s="9"/>
      <c r="C20" s="9"/>
      <c r="D20" s="9"/>
      <c r="E20" s="9"/>
      <c r="F20" s="9"/>
      <c r="G20" s="9"/>
      <c r="H20" s="9"/>
      <c r="J20" s="7"/>
    </row>
    <row r="21" spans="1:12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2">
      <c r="A22" s="6" t="s">
        <v>32</v>
      </c>
      <c r="B22" s="9"/>
      <c r="C22" s="9"/>
      <c r="D22" s="9"/>
      <c r="E22" s="9"/>
      <c r="F22" s="9"/>
      <c r="G22" s="9"/>
      <c r="H22" s="9"/>
      <c r="J22" s="7"/>
    </row>
    <row r="23" spans="1:12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2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2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2">
      <c r="A26" s="6" t="s">
        <v>36</v>
      </c>
      <c r="B26" s="9"/>
      <c r="C26" s="9"/>
      <c r="D26" s="9"/>
      <c r="E26" s="9"/>
      <c r="F26" s="9"/>
      <c r="G26" s="9"/>
      <c r="H26" s="9"/>
      <c r="J26" s="7"/>
    </row>
    <row r="27" spans="1:12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2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2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2">
      <c r="A30" s="6" t="s">
        <v>40</v>
      </c>
      <c r="B30" s="9"/>
      <c r="C30" s="9"/>
      <c r="D30" s="9" t="s">
        <v>5</v>
      </c>
      <c r="E30" s="9"/>
      <c r="F30" s="9"/>
      <c r="G30" s="9"/>
      <c r="H30" s="9"/>
    </row>
    <row r="31" spans="1:12">
      <c r="A31" s="6" t="s">
        <v>41</v>
      </c>
      <c r="B31" s="9"/>
      <c r="C31" s="9"/>
      <c r="D31" s="9"/>
      <c r="E31" s="9"/>
      <c r="F31" s="9"/>
      <c r="G31" s="9"/>
      <c r="H31" s="9"/>
    </row>
    <row r="32" spans="1:12">
      <c r="A32" s="6" t="s">
        <v>42</v>
      </c>
      <c r="B32" s="9"/>
      <c r="C32" s="9"/>
      <c r="D32" s="9"/>
      <c r="E32" s="9"/>
      <c r="F32" s="9"/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/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/>
      <c r="F35" s="9"/>
      <c r="G35" s="9"/>
      <c r="H35" s="9"/>
    </row>
    <row r="36" spans="1:8">
      <c r="A36" s="6" t="s">
        <v>46</v>
      </c>
      <c r="B36" s="9"/>
      <c r="C36" s="9"/>
      <c r="D36" s="9"/>
      <c r="E36" s="9" t="s">
        <v>21</v>
      </c>
      <c r="F36" s="9"/>
      <c r="G36" s="9"/>
      <c r="H36" s="9"/>
    </row>
    <row r="37" spans="1:8">
      <c r="A37" s="6" t="s">
        <v>47</v>
      </c>
      <c r="B37" s="9"/>
      <c r="C37" s="9"/>
      <c r="D37" s="9"/>
      <c r="E37" s="9"/>
      <c r="F37" s="9"/>
      <c r="G37" s="9"/>
      <c r="H37" s="9"/>
    </row>
    <row r="38" spans="1:8">
      <c r="A38" s="6" t="s">
        <v>48</v>
      </c>
      <c r="B38" s="9"/>
      <c r="C38" s="9"/>
      <c r="D38" s="9" t="s">
        <v>21</v>
      </c>
      <c r="E38" s="9" t="s">
        <v>21</v>
      </c>
      <c r="F38" s="9"/>
      <c r="G38" s="9"/>
      <c r="H38" s="9"/>
    </row>
    <row r="39" spans="1:8">
      <c r="A39" s="6" t="s">
        <v>49</v>
      </c>
      <c r="B39" s="9"/>
      <c r="C39" s="9"/>
      <c r="D39" s="9"/>
      <c r="E39" s="9" t="s">
        <v>120</v>
      </c>
      <c r="F39" s="9"/>
      <c r="G39" s="9"/>
      <c r="H39" s="9"/>
    </row>
    <row r="40" spans="1:8">
      <c r="A40" s="6" t="s">
        <v>50</v>
      </c>
      <c r="B40" s="9"/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 t="s">
        <v>5</v>
      </c>
      <c r="F44" s="9"/>
      <c r="G44" s="9"/>
      <c r="H44" s="9"/>
    </row>
    <row r="45" spans="1:8">
      <c r="A45" s="6" t="s">
        <v>55</v>
      </c>
      <c r="B45" s="9"/>
      <c r="C45" s="9"/>
      <c r="D45" s="9"/>
      <c r="E45" s="9" t="s">
        <v>5</v>
      </c>
      <c r="F45" s="9"/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/>
      <c r="C52" s="9"/>
      <c r="D52" s="9"/>
      <c r="E52" s="9"/>
      <c r="F52" s="9"/>
      <c r="G52" s="9"/>
      <c r="H52" s="9"/>
    </row>
    <row r="53" spans="1:8">
      <c r="A53" s="6" t="s">
        <v>63</v>
      </c>
      <c r="B53" s="9"/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/>
      <c r="D54" s="9"/>
      <c r="E54" s="9"/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/>
      <c r="F57" s="9"/>
      <c r="G57" s="9"/>
      <c r="H57" s="9"/>
    </row>
    <row r="58" spans="1:8">
      <c r="A58" s="6" t="s">
        <v>68</v>
      </c>
      <c r="B58" s="9"/>
      <c r="C58" s="9"/>
      <c r="D58" s="9"/>
      <c r="E58" s="9"/>
      <c r="F58" s="9"/>
      <c r="G58" s="9"/>
      <c r="H58" s="9"/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/>
      <c r="H61" s="9"/>
    </row>
    <row r="62" spans="1:8">
      <c r="A62" s="6" t="s">
        <v>72</v>
      </c>
      <c r="B62" s="9"/>
      <c r="C62" s="9"/>
      <c r="D62" s="9"/>
      <c r="E62" s="9"/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/>
      <c r="C75" s="9"/>
      <c r="D75" s="9"/>
      <c r="E75" s="9"/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/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391" priority="42" operator="containsText" text="Pulverização">
      <formula>NOT(ISERROR(SEARCH("Pulverização",B94)))</formula>
    </cfRule>
    <cfRule type="cellIs" dxfId="390" priority="43" operator="greaterThan">
      <formula>$J$5</formula>
    </cfRule>
    <cfRule type="containsText" dxfId="389" priority="44" operator="containsText" text="Cardã">
      <formula>NOT(ISERROR(SEARCH("Cardã",B94)))</formula>
    </cfRule>
    <cfRule type="containsText" dxfId="388" priority="45" operator="containsText" text="Pneu">
      <formula>NOT(ISERROR(SEARCH("Pneu",B94)))</formula>
    </cfRule>
    <cfRule type="containsText" dxfId="387" priority="46" operator="containsText" text="Vedação">
      <formula>NOT(ISERROR(SEARCH("Vedação",B94)))</formula>
    </cfRule>
    <cfRule type="containsText" dxfId="386" priority="47" operator="containsText" text="Retentor">
      <formula>NOT(ISERROR(SEARCH("Retentor",B94)))</formula>
    </cfRule>
    <cfRule type="containsText" dxfId="385" priority="48" operator="containsText" text="Motorredutor">
      <formula>NOT(ISERROR(SEARCH("Motorredutor",B94)))</formula>
    </cfRule>
    <cfRule type="containsText" dxfId="384" priority="49" operator="containsText" text="Redutor">
      <formula>NOT(ISERROR(SEARCH("Redutor",B94)))</formula>
    </cfRule>
    <cfRule type="containsText" dxfId="383" priority="50" operator="containsText" text="Bomba">
      <formula>NOT(ISERROR(SEARCH("Bomba",B94)))</formula>
    </cfRule>
  </conditionalFormatting>
  <conditionalFormatting sqref="A1:A1048576">
    <cfRule type="containsText" dxfId="382" priority="38" operator="containsText" text="Pivô">
      <formula>NOT(ISERROR(SEARCH("Pivô",A1)))</formula>
    </cfRule>
    <cfRule type="containsText" dxfId="381" priority="39" operator="containsText" text="Pivô">
      <formula>NOT(ISERROR(SEARCH("Pivô",A1)))</formula>
    </cfRule>
  </conditionalFormatting>
  <conditionalFormatting sqref="B5:H93">
    <cfRule type="containsText" dxfId="380" priority="23" operator="containsText" text="Pulverização">
      <formula>NOT(ISERROR(SEARCH("Pulverização",B5)))</formula>
    </cfRule>
    <cfRule type="cellIs" dxfId="379" priority="24" operator="greaterThan">
      <formula>$J$5</formula>
    </cfRule>
    <cfRule type="containsText" dxfId="378" priority="25" operator="containsText" text="Cardã">
      <formula>NOT(ISERROR(SEARCH("Cardã",B5)))</formula>
    </cfRule>
    <cfRule type="containsText" dxfId="377" priority="26" operator="containsText" text="Pneu">
      <formula>NOT(ISERROR(SEARCH("Pneu",B5)))</formula>
    </cfRule>
    <cfRule type="containsText" dxfId="376" priority="27" operator="containsText" text="Vedação">
      <formula>NOT(ISERROR(SEARCH("Vedação",B5)))</formula>
    </cfRule>
    <cfRule type="containsText" dxfId="375" priority="28" operator="containsText" text="Retentor">
      <formula>NOT(ISERROR(SEARCH("Retentor",B5)))</formula>
    </cfRule>
    <cfRule type="containsText" dxfId="374" priority="29" operator="containsText" text="Motorredutor">
      <formula>NOT(ISERROR(SEARCH("Motorredutor",B5)))</formula>
    </cfRule>
    <cfRule type="containsText" dxfId="373" priority="30" operator="containsText" text="Redutor">
      <formula>NOT(ISERROR(SEARCH("Redutor",B5)))</formula>
    </cfRule>
    <cfRule type="containsText" dxfId="372" priority="31" operator="containsText" text="Bomba">
      <formula>NOT(ISERROR(SEARCH("Bomba",B5)))</formula>
    </cfRule>
  </conditionalFormatting>
  <conditionalFormatting sqref="B5:H93">
    <cfRule type="containsText" dxfId="371" priority="1" operator="containsText" text="Desponte">
      <formula>NOT(ISERROR(SEARCH("Desponte",B5)))</formula>
    </cfRule>
  </conditionalFormatting>
  <dataValidations count="2">
    <dataValidation type="list" allowBlank="1" showInputMessage="1" showErrorMessage="1" sqref="B5:H93" xr:uid="{92554073-45B9-45BB-9CEF-0489441754EA}">
      <formula1>$J$5:$J$17</formula1>
    </dataValidation>
    <dataValidation type="list" allowBlank="1" showInputMessage="1" showErrorMessage="1" sqref="B94:H95" xr:uid="{C7A8C934-E28B-4524-B737-441F3B769480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19B5A73-F916-4C12-9D28-317E62F3CFE0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F58374C9-53E9-4E50-A6EA-E072B558BE44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" operator="containsText" id="{EEE37753-A8B4-48E0-8643-87AED6E2C54D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1" operator="containsText" id="{DD8E9836-A605-495E-97D1-C953942B4BF1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51" operator="containsText" id="{2BDF378C-4044-4989-BE3D-B0F6F755B9FA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2" operator="containsText" id="{30665413-1E2A-4CD4-A6DA-C8C707135B18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3" operator="containsText" id="{6787DF7E-EA46-4AAF-89F5-67E1EFD0C45B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4" operator="containsText" id="{6F5A3890-5541-478F-8731-356D11168938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5" operator="containsText" id="{D62D84B1-A5A5-40E8-8FD0-78D67818A93A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6" operator="containsText" id="{35120EAA-CC63-4391-ACB5-4B74A7B69A63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40" operator="containsText" id="{2DC2F4CA-12A3-4682-8451-191D17829149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21" operator="containsText" id="{C70A114E-4DA0-45A4-8418-B5249A96C06B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5" operator="containsText" id="{2D81BCC1-545B-45DB-BC5F-06B418AA0628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1754CDBA-2706-4F08-A346-EAAF34DE97B9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7" operator="containsText" id="{DD871B27-FAC8-4781-97DC-20C87A3BA10E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8" operator="containsText" id="{A42DD5B4-4BB5-4835-A6BD-4DEAC27D91F3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9" operator="containsText" id="{E14FF8FE-A4B1-4B54-8417-B31C250A9FF8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1" operator="containsText" id="{EB2E5864-451C-4206-A44D-D8FDCD34C33E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322FEBD1-D762-44EC-897B-4360DB73C247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3" operator="containsText" id="{1DAAD6F2-1FA8-4FB6-8EE3-C04A739501FA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07029472-8F93-462A-A21A-0BF4DD386803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8B295AE6-4678-4A1D-9F4E-0185332D3D43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6" operator="containsText" id="{921D986C-3272-4045-91B0-1D11C56C2883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7" operator="containsText" id="{BF87866B-6FD9-4673-87FA-C283BB59933D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8" operator="containsText" id="{A8DF2D29-47C6-422F-B245-6D22309E514E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9" operator="containsText" id="{4E195783-1513-445E-B117-216D8F16595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0" operator="containsText" id="{B27A9415-39F4-4DE6-B355-DF31732EFEA6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2" operator="containsText" id="{7E409F67-49CF-42D1-8C9C-69CDF4882711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2" operator="containsText" id="{8335D16B-F146-4752-A5A3-C4E243E8266C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3" operator="containsText" id="{541D891E-5641-49C6-8E7E-1F577DDB04E4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4" operator="containsText" id="{A33CE8FE-47D8-4B45-8D75-F0103C9FE6BB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5" operator="containsText" id="{8D1AF560-7017-4B99-B294-D326B26DB43E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6" operator="containsText" id="{C04E7BFD-71B6-469A-9B52-F4CA647B5782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7" operator="containsText" id="{2CC30E9E-F5F5-4EA0-91F6-B0B6A2D8A4C1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D7AAFF05-A5C6-43E7-B06F-50F5E4397A52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79750-90AB-4B62-A9C8-5E424FE4395B}">
  <sheetPr>
    <tabColor rgb="FF92D050"/>
    <pageSetUpPr fitToPage="1"/>
  </sheetPr>
  <dimension ref="A1:P93"/>
  <sheetViews>
    <sheetView showGridLines="0" topLeftCell="F1" zoomScaleNormal="100" workbookViewId="0">
      <pane ySplit="4" topLeftCell="A5" activePane="bottomLeft" state="frozen"/>
      <selection pane="bottomLeft" activeCell="D9" sqref="D9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121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44711</v>
      </c>
      <c r="C3" s="11">
        <f t="shared" ref="C3:H3" si="0">B3+1</f>
        <v>44712</v>
      </c>
      <c r="D3" s="11">
        <f t="shared" si="0"/>
        <v>44713</v>
      </c>
      <c r="E3" s="11">
        <f t="shared" si="0"/>
        <v>44714</v>
      </c>
      <c r="F3" s="11">
        <f t="shared" si="0"/>
        <v>44715</v>
      </c>
      <c r="G3" s="11">
        <f t="shared" si="0"/>
        <v>44716</v>
      </c>
      <c r="H3" s="12">
        <f t="shared" si="0"/>
        <v>44717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/>
      <c r="D5" s="8"/>
      <c r="E5" s="8"/>
      <c r="F5" s="8"/>
      <c r="G5" s="8"/>
      <c r="H5" s="8"/>
      <c r="J5" s="20" t="s">
        <v>5</v>
      </c>
      <c r="K5" s="1">
        <f>COUNTIF($B$5:$H$93,J5)</f>
        <v>2</v>
      </c>
      <c r="L5" s="54">
        <f t="shared" ref="L5:L17" si="2">K5/$K$18</f>
        <v>0.33333333333333331</v>
      </c>
    </row>
    <row r="6" spans="1:16">
      <c r="A6" s="6" t="s">
        <v>6</v>
      </c>
      <c r="B6" s="9"/>
      <c r="C6" s="9"/>
      <c r="D6" s="9"/>
      <c r="E6" s="9"/>
      <c r="F6" s="9"/>
      <c r="G6" s="9"/>
      <c r="H6" s="9"/>
      <c r="J6" s="21" t="s">
        <v>7</v>
      </c>
      <c r="K6" s="1">
        <f t="shared" ref="K6:K13" si="3">COUNTIF($B$5:$H$93,J6)</f>
        <v>0</v>
      </c>
      <c r="L6" s="54">
        <f t="shared" si="2"/>
        <v>0</v>
      </c>
    </row>
    <row r="7" spans="1:16">
      <c r="A7" s="6" t="s">
        <v>8</v>
      </c>
      <c r="B7" s="9"/>
      <c r="C7" s="9"/>
      <c r="D7" s="9"/>
      <c r="E7" s="9"/>
      <c r="F7" s="9"/>
      <c r="G7" s="9"/>
      <c r="H7" s="9"/>
      <c r="J7" s="22" t="s">
        <v>111</v>
      </c>
      <c r="K7" s="1">
        <f t="shared" si="3"/>
        <v>0</v>
      </c>
      <c r="L7" s="54">
        <f t="shared" si="2"/>
        <v>0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1">
        <f>COUNTIF($B$5:$H$93,J8)</f>
        <v>0</v>
      </c>
      <c r="L8" s="54">
        <f t="shared" si="2"/>
        <v>0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1">
        <f>COUNTIF($B$5:$H$93,J9)</f>
        <v>0</v>
      </c>
      <c r="L9" s="54">
        <f t="shared" si="2"/>
        <v>0</v>
      </c>
      <c r="P9" s="3"/>
    </row>
    <row r="10" spans="1:16">
      <c r="A10" s="6" t="s">
        <v>14</v>
      </c>
      <c r="B10" s="9"/>
      <c r="C10" s="9"/>
      <c r="D10" s="9"/>
      <c r="E10" s="9"/>
      <c r="F10" s="9"/>
      <c r="G10" s="9"/>
      <c r="H10" s="9"/>
      <c r="J10" s="25" t="s">
        <v>105</v>
      </c>
      <c r="K10" s="1">
        <f t="shared" si="3"/>
        <v>0</v>
      </c>
      <c r="L10" s="54">
        <f t="shared" si="2"/>
        <v>0</v>
      </c>
    </row>
    <row r="11" spans="1:16">
      <c r="A11" s="6" t="s">
        <v>16</v>
      </c>
      <c r="B11" s="9"/>
      <c r="C11" s="9"/>
      <c r="D11" s="9"/>
      <c r="E11" s="9"/>
      <c r="F11" s="9"/>
      <c r="G11" s="9"/>
      <c r="H11" s="9" t="s">
        <v>23</v>
      </c>
      <c r="J11" s="26" t="s">
        <v>17</v>
      </c>
      <c r="K11" s="1">
        <f t="shared" si="3"/>
        <v>0</v>
      </c>
      <c r="L11" s="54">
        <f t="shared" si="2"/>
        <v>0</v>
      </c>
    </row>
    <row r="12" spans="1:16">
      <c r="A12" s="6" t="s">
        <v>18</v>
      </c>
      <c r="B12" s="9"/>
      <c r="C12" s="9"/>
      <c r="D12" s="9"/>
      <c r="E12" s="9"/>
      <c r="F12" s="9"/>
      <c r="G12" s="9"/>
      <c r="H12" s="9"/>
      <c r="J12" s="27" t="s">
        <v>107</v>
      </c>
      <c r="K12" s="1">
        <f t="shared" si="3"/>
        <v>0</v>
      </c>
      <c r="L12" s="54">
        <f t="shared" si="2"/>
        <v>0</v>
      </c>
    </row>
    <row r="13" spans="1:16">
      <c r="A13" s="6" t="s">
        <v>20</v>
      </c>
      <c r="B13" s="9"/>
      <c r="C13" s="9"/>
      <c r="D13" s="9"/>
      <c r="E13" s="9"/>
      <c r="F13" s="9"/>
      <c r="G13" s="9"/>
      <c r="H13" s="9"/>
      <c r="J13" s="28" t="s">
        <v>21</v>
      </c>
      <c r="K13" s="1">
        <f t="shared" si="3"/>
        <v>2</v>
      </c>
      <c r="L13" s="54">
        <f t="shared" si="2"/>
        <v>0.33333333333333331</v>
      </c>
    </row>
    <row r="14" spans="1:16">
      <c r="A14" s="6" t="s">
        <v>22</v>
      </c>
      <c r="B14" s="9"/>
      <c r="C14" s="9"/>
      <c r="D14" s="9"/>
      <c r="E14" s="9"/>
      <c r="F14" s="9"/>
      <c r="G14" s="9"/>
      <c r="H14" s="9"/>
      <c r="J14" s="39" t="s">
        <v>23</v>
      </c>
      <c r="K14" s="1">
        <f>COUNTIF($B$5:$H$93,J14)</f>
        <v>2</v>
      </c>
      <c r="L14" s="54">
        <f t="shared" si="2"/>
        <v>0.33333333333333331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  <c r="J15" s="47" t="s">
        <v>108</v>
      </c>
      <c r="K15" s="1">
        <f>COUNTIF($B$5:$H$93,J15)</f>
        <v>0</v>
      </c>
      <c r="L15" s="54">
        <f t="shared" si="2"/>
        <v>0</v>
      </c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53" t="s">
        <v>115</v>
      </c>
      <c r="K16" s="1">
        <f>COUNTIF($B$5:$H$93,J16)</f>
        <v>0</v>
      </c>
      <c r="L16" s="54">
        <f t="shared" si="2"/>
        <v>0</v>
      </c>
    </row>
    <row r="17" spans="1:12">
      <c r="A17" s="6" t="s">
        <v>27</v>
      </c>
      <c r="B17" s="9"/>
      <c r="C17" s="9"/>
      <c r="D17" s="9"/>
      <c r="E17" s="9"/>
      <c r="F17" s="9"/>
      <c r="G17" s="9"/>
      <c r="H17" s="9"/>
      <c r="J17" s="56" t="s">
        <v>120</v>
      </c>
      <c r="K17" s="1">
        <f>COUNTIF($B$5:$H$93,J17)</f>
        <v>0</v>
      </c>
      <c r="L17" s="54">
        <f t="shared" si="2"/>
        <v>0</v>
      </c>
    </row>
    <row r="18" spans="1:12">
      <c r="A18" s="6" t="s">
        <v>28</v>
      </c>
      <c r="B18" s="9"/>
      <c r="C18" s="9"/>
      <c r="D18" s="9"/>
      <c r="E18" s="9"/>
      <c r="F18" s="9"/>
      <c r="G18" s="9"/>
      <c r="H18" s="9"/>
      <c r="J18" s="7" t="s">
        <v>26</v>
      </c>
      <c r="K18" s="1">
        <f>SUM(K5:K17)</f>
        <v>6</v>
      </c>
    </row>
    <row r="19" spans="1:12">
      <c r="A19" s="6" t="s">
        <v>29</v>
      </c>
      <c r="B19" s="9"/>
      <c r="C19" s="9"/>
      <c r="D19" s="9" t="s">
        <v>5</v>
      </c>
      <c r="E19" s="9"/>
      <c r="F19" s="9"/>
      <c r="G19" s="9"/>
      <c r="H19" s="9"/>
      <c r="J19" s="7"/>
    </row>
    <row r="20" spans="1:12">
      <c r="A20" s="6" t="s">
        <v>30</v>
      </c>
      <c r="B20" s="9"/>
      <c r="C20" s="9"/>
      <c r="D20" s="9"/>
      <c r="E20" s="9"/>
      <c r="F20" s="9"/>
      <c r="G20" s="9"/>
      <c r="H20" s="9"/>
      <c r="J20" s="7"/>
    </row>
    <row r="21" spans="1:12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2">
      <c r="A22" s="6" t="s">
        <v>32</v>
      </c>
      <c r="B22" s="9"/>
      <c r="C22" s="9" t="s">
        <v>21</v>
      </c>
      <c r="D22" s="9"/>
      <c r="E22" s="9"/>
      <c r="F22" s="9"/>
      <c r="G22" s="9"/>
      <c r="H22" s="9"/>
      <c r="J22" s="7"/>
    </row>
    <row r="23" spans="1:12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2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2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2">
      <c r="A26" s="6" t="s">
        <v>36</v>
      </c>
      <c r="B26" s="9"/>
      <c r="C26" s="9"/>
      <c r="D26" s="9"/>
      <c r="E26" s="9"/>
      <c r="F26" s="9"/>
      <c r="G26" s="9"/>
      <c r="H26" s="9"/>
      <c r="J26" s="7"/>
    </row>
    <row r="27" spans="1:12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2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2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2">
      <c r="A30" s="6" t="s">
        <v>40</v>
      </c>
      <c r="B30" s="9"/>
      <c r="C30" s="9"/>
      <c r="D30" s="9"/>
      <c r="E30" s="9"/>
      <c r="F30" s="9"/>
      <c r="G30" s="9"/>
      <c r="H30" s="9"/>
    </row>
    <row r="31" spans="1:12">
      <c r="A31" s="6" t="s">
        <v>41</v>
      </c>
      <c r="B31" s="9"/>
      <c r="C31" s="9"/>
      <c r="D31" s="9"/>
      <c r="E31" s="9"/>
      <c r="F31" s="9"/>
      <c r="G31" s="9"/>
      <c r="H31" s="9"/>
    </row>
    <row r="32" spans="1:12">
      <c r="A32" s="6" t="s">
        <v>42</v>
      </c>
      <c r="B32" s="9"/>
      <c r="C32" s="9" t="s">
        <v>21</v>
      </c>
      <c r="D32" s="9"/>
      <c r="E32" s="9"/>
      <c r="F32" s="9"/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/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/>
      <c r="F35" s="9"/>
      <c r="G35" s="9"/>
      <c r="H35" s="9"/>
    </row>
    <row r="36" spans="1:8">
      <c r="A36" s="6" t="s">
        <v>46</v>
      </c>
      <c r="B36" s="9"/>
      <c r="C36" s="9"/>
      <c r="D36" s="9"/>
      <c r="E36" s="9"/>
      <c r="F36" s="9"/>
      <c r="G36" s="9"/>
      <c r="H36" s="9"/>
    </row>
    <row r="37" spans="1:8">
      <c r="A37" s="6" t="s">
        <v>47</v>
      </c>
      <c r="B37" s="9" t="s">
        <v>5</v>
      </c>
      <c r="C37" s="9"/>
      <c r="D37" s="9"/>
      <c r="E37" s="9"/>
      <c r="F37" s="9"/>
      <c r="G37" s="9"/>
      <c r="H37" s="9"/>
    </row>
    <row r="38" spans="1:8">
      <c r="A38" s="6" t="s">
        <v>48</v>
      </c>
      <c r="B38" s="9"/>
      <c r="C38" s="9"/>
      <c r="D38" s="9"/>
      <c r="E38" s="9"/>
      <c r="F38" s="9"/>
      <c r="G38" s="9"/>
      <c r="H38" s="9"/>
    </row>
    <row r="39" spans="1:8">
      <c r="A39" s="6" t="s">
        <v>49</v>
      </c>
      <c r="B39" s="9" t="s">
        <v>23</v>
      </c>
      <c r="C39" s="9"/>
      <c r="D39" s="9"/>
      <c r="E39" s="9"/>
      <c r="F39" s="9"/>
      <c r="G39" s="9"/>
      <c r="H39" s="9"/>
    </row>
    <row r="40" spans="1:8">
      <c r="A40" s="6" t="s">
        <v>50</v>
      </c>
      <c r="B40" s="9"/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/>
      <c r="G44" s="9"/>
      <c r="H44" s="9"/>
    </row>
    <row r="45" spans="1:8">
      <c r="A45" s="6" t="s">
        <v>55</v>
      </c>
      <c r="B45" s="9"/>
      <c r="C45" s="9"/>
      <c r="D45" s="9"/>
      <c r="E45" s="9"/>
      <c r="F45" s="9"/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/>
      <c r="C52" s="9"/>
      <c r="D52" s="9"/>
      <c r="E52" s="9"/>
      <c r="F52" s="9"/>
      <c r="G52" s="9"/>
      <c r="H52" s="9"/>
    </row>
    <row r="53" spans="1:8">
      <c r="A53" s="6" t="s">
        <v>63</v>
      </c>
      <c r="B53" s="9"/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/>
      <c r="D54" s="9"/>
      <c r="E54" s="9"/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/>
      <c r="F57" s="9"/>
      <c r="G57" s="9"/>
      <c r="H57" s="9"/>
    </row>
    <row r="58" spans="1:8">
      <c r="A58" s="6" t="s">
        <v>68</v>
      </c>
      <c r="B58" s="9"/>
      <c r="C58" s="9"/>
      <c r="D58" s="9"/>
      <c r="E58" s="9"/>
      <c r="F58" s="9"/>
      <c r="G58" s="9"/>
      <c r="H58" s="9"/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/>
      <c r="H61" s="9"/>
    </row>
    <row r="62" spans="1:8">
      <c r="A62" s="6" t="s">
        <v>72</v>
      </c>
      <c r="B62" s="9"/>
      <c r="C62" s="9"/>
      <c r="D62" s="9"/>
      <c r="E62" s="9"/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/>
      <c r="C75" s="9"/>
      <c r="D75" s="9"/>
      <c r="E75" s="9"/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/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335" priority="42" operator="containsText" text="Pulverização">
      <formula>NOT(ISERROR(SEARCH("Pulverização",B94)))</formula>
    </cfRule>
    <cfRule type="cellIs" dxfId="334" priority="43" operator="greaterThan">
      <formula>$J$5</formula>
    </cfRule>
    <cfRule type="containsText" dxfId="333" priority="44" operator="containsText" text="Cardã">
      <formula>NOT(ISERROR(SEARCH("Cardã",B94)))</formula>
    </cfRule>
    <cfRule type="containsText" dxfId="332" priority="45" operator="containsText" text="Pneu">
      <formula>NOT(ISERROR(SEARCH("Pneu",B94)))</formula>
    </cfRule>
    <cfRule type="containsText" dxfId="331" priority="46" operator="containsText" text="Vedação">
      <formula>NOT(ISERROR(SEARCH("Vedação",B94)))</formula>
    </cfRule>
    <cfRule type="containsText" dxfId="330" priority="47" operator="containsText" text="Retentor">
      <formula>NOT(ISERROR(SEARCH("Retentor",B94)))</formula>
    </cfRule>
    <cfRule type="containsText" dxfId="329" priority="48" operator="containsText" text="Motorredutor">
      <formula>NOT(ISERROR(SEARCH("Motorredutor",B94)))</formula>
    </cfRule>
    <cfRule type="containsText" dxfId="328" priority="49" operator="containsText" text="Redutor">
      <formula>NOT(ISERROR(SEARCH("Redutor",B94)))</formula>
    </cfRule>
    <cfRule type="containsText" dxfId="327" priority="50" operator="containsText" text="Bomba">
      <formula>NOT(ISERROR(SEARCH("Bomba",B94)))</formula>
    </cfRule>
  </conditionalFormatting>
  <conditionalFormatting sqref="A1:A1048576">
    <cfRule type="containsText" dxfId="326" priority="38" operator="containsText" text="Pivô">
      <formula>NOT(ISERROR(SEARCH("Pivô",A1)))</formula>
    </cfRule>
    <cfRule type="containsText" dxfId="325" priority="39" operator="containsText" text="Pivô">
      <formula>NOT(ISERROR(SEARCH("Pivô",A1)))</formula>
    </cfRule>
  </conditionalFormatting>
  <conditionalFormatting sqref="B5:H93">
    <cfRule type="containsText" dxfId="324" priority="23" operator="containsText" text="Pulverização">
      <formula>NOT(ISERROR(SEARCH("Pulverização",B5)))</formula>
    </cfRule>
    <cfRule type="cellIs" dxfId="323" priority="24" operator="greaterThan">
      <formula>$J$5</formula>
    </cfRule>
    <cfRule type="containsText" dxfId="322" priority="25" operator="containsText" text="Cardã">
      <formula>NOT(ISERROR(SEARCH("Cardã",B5)))</formula>
    </cfRule>
    <cfRule type="containsText" dxfId="321" priority="26" operator="containsText" text="Pneu">
      <formula>NOT(ISERROR(SEARCH("Pneu",B5)))</formula>
    </cfRule>
    <cfRule type="containsText" dxfId="320" priority="27" operator="containsText" text="Vedação">
      <formula>NOT(ISERROR(SEARCH("Vedação",B5)))</formula>
    </cfRule>
    <cfRule type="containsText" dxfId="319" priority="28" operator="containsText" text="Retentor">
      <formula>NOT(ISERROR(SEARCH("Retentor",B5)))</formula>
    </cfRule>
    <cfRule type="containsText" dxfId="318" priority="29" operator="containsText" text="Motorredutor">
      <formula>NOT(ISERROR(SEARCH("Motorredutor",B5)))</formula>
    </cfRule>
    <cfRule type="containsText" dxfId="317" priority="30" operator="containsText" text="Redutor">
      <formula>NOT(ISERROR(SEARCH("Redutor",B5)))</formula>
    </cfRule>
    <cfRule type="containsText" dxfId="316" priority="31" operator="containsText" text="Bomba">
      <formula>NOT(ISERROR(SEARCH("Bomba",B5)))</formula>
    </cfRule>
  </conditionalFormatting>
  <conditionalFormatting sqref="B5:H93">
    <cfRule type="containsText" dxfId="315" priority="1" operator="containsText" text="Desponte">
      <formula>NOT(ISERROR(SEARCH("Desponte",B5)))</formula>
    </cfRule>
  </conditionalFormatting>
  <dataValidations count="2">
    <dataValidation type="list" allowBlank="1" showInputMessage="1" showErrorMessage="1" sqref="B94:H95" xr:uid="{BA4C2092-55BD-4818-8A96-1E4BBBA0ABBF}">
      <formula1>$J$5:$J$11</formula1>
    </dataValidation>
    <dataValidation type="list" allowBlank="1" showInputMessage="1" showErrorMessage="1" sqref="B5:H93" xr:uid="{37C84820-A506-47C6-9519-EDE8FA6E4CA4}">
      <formula1>$J$5:$J$17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E3C35C37-1982-404D-AD33-4D095D84FEBA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31D5C0C2-C8C8-437D-9919-C8BE8E5776FF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" operator="containsText" id="{87811ADF-7E09-4574-B62D-5C96B567A34A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1" operator="containsText" id="{2B7D4DF2-2B85-478E-97DE-B78F07CAA811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51" operator="containsText" id="{DDBCF7F9-81F5-411E-8AED-D5DE6DFD59E6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2" operator="containsText" id="{8F337F57-BB37-41F0-815B-3C080D64ABD4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3" operator="containsText" id="{5401E457-A1EF-4907-83ED-019DA57F4D9D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4" operator="containsText" id="{3AEF7B51-5587-4D8A-B6B2-E167A605D698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5" operator="containsText" id="{4FC85D3C-A0F7-41B9-AB61-2133D183980D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6" operator="containsText" id="{7DE473AE-6FD1-40A2-88CF-D9D5A246AE9F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40" operator="containsText" id="{EECC8737-D84F-457E-BF54-EC426CB49FF8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21" operator="containsText" id="{93499196-986E-4188-AF7E-A5EDEB6015B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5" operator="containsText" id="{7470B769-305C-4DDF-A85C-5CC7BF44F2C5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987EE0AE-E11F-4719-9524-3F5C47AF9209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7" operator="containsText" id="{E86A3413-6C18-4550-8F48-40EE4C0C419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8" operator="containsText" id="{3AEB4C45-31B9-4E04-8F59-5FB26A3E8576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9" operator="containsText" id="{7947C44F-72B5-4E56-8188-4014AB1F3F08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1" operator="containsText" id="{2B08EF2F-5FA4-4F94-81D8-7E3B6CF0374A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719361C0-AE5C-4C84-8F44-2D36B5E8AF83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3" operator="containsText" id="{DE26BF9A-5BA3-4AFC-8FC7-48B2478E4660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B3737D31-1A5C-4952-8DB2-30CC0FC66F03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B97E3A64-9C20-448D-B833-D444EBB26E1F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6" operator="containsText" id="{4ED539D8-5D15-4BFB-93FF-F2288B3916E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7" operator="containsText" id="{E4419BBB-DEE2-46E5-9E2A-B5248D33539C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8" operator="containsText" id="{D5C49023-BA42-4E08-85B3-8D92907FC080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9" operator="containsText" id="{0F326199-1B38-4112-AA1D-49FC823531CC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0" operator="containsText" id="{F4BC3770-8650-4301-A31E-0F8485AA7B1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2" operator="containsText" id="{B59DFE5B-E28A-4835-AB7A-6567896F02DD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2" operator="containsText" id="{6592A08D-C901-4618-B929-5EB1591893D2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3" operator="containsText" id="{0BAD8D16-E100-41B6-A7BC-ECC7D166647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4" operator="containsText" id="{E134DB54-0DAB-44C6-8717-B35110394B5C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5" operator="containsText" id="{F12AFFB1-C4AE-4395-9A5E-3A91BAC99F28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6" operator="containsText" id="{733E7B83-4E3C-424C-B206-2424F5DA44DF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7" operator="containsText" id="{EF591035-8739-4B0E-AE22-802E840275D7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1850C5DD-98D9-4014-93B4-DA505A0D4151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FEAB-C5DF-4130-85C8-78451D0B8875}">
  <sheetPr>
    <tabColor rgb="FF92D050"/>
    <pageSetUpPr fitToPage="1"/>
  </sheetPr>
  <dimension ref="A1:P93"/>
  <sheetViews>
    <sheetView showGridLines="0" topLeftCell="F1" zoomScaleNormal="100" workbookViewId="0">
      <pane ySplit="4" topLeftCell="A9" activePane="bottomLeft" state="frozen"/>
      <selection pane="bottomLeft" activeCell="I7" sqref="I7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122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44718</v>
      </c>
      <c r="C3" s="11">
        <f t="shared" ref="C3:H3" si="0">B3+1</f>
        <v>44719</v>
      </c>
      <c r="D3" s="11">
        <f t="shared" si="0"/>
        <v>44720</v>
      </c>
      <c r="E3" s="11">
        <f t="shared" si="0"/>
        <v>44721</v>
      </c>
      <c r="F3" s="11">
        <f t="shared" si="0"/>
        <v>44722</v>
      </c>
      <c r="G3" s="11">
        <f t="shared" si="0"/>
        <v>44723</v>
      </c>
      <c r="H3" s="12">
        <f t="shared" si="0"/>
        <v>44724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/>
      <c r="D5" s="8"/>
      <c r="E5" s="8"/>
      <c r="F5" s="8"/>
      <c r="G5" s="8"/>
      <c r="H5" s="8"/>
      <c r="J5" s="20" t="s">
        <v>5</v>
      </c>
      <c r="K5" s="1">
        <f>COUNTIF($B$5:$H$93,J5)</f>
        <v>2</v>
      </c>
      <c r="L5" s="54">
        <f t="shared" ref="L5:L17" si="2">K5/$K$18</f>
        <v>0.4</v>
      </c>
    </row>
    <row r="6" spans="1:16">
      <c r="A6" s="6" t="s">
        <v>6</v>
      </c>
      <c r="B6" s="9"/>
      <c r="C6" s="9"/>
      <c r="D6" s="9"/>
      <c r="E6" s="9"/>
      <c r="F6" s="9"/>
      <c r="G6" s="9"/>
      <c r="H6" s="9"/>
      <c r="J6" s="21" t="s">
        <v>7</v>
      </c>
      <c r="K6" s="1">
        <f t="shared" ref="K6:K13" si="3">COUNTIF($B$5:$H$93,J6)</f>
        <v>0</v>
      </c>
      <c r="L6" s="54">
        <f t="shared" si="2"/>
        <v>0</v>
      </c>
    </row>
    <row r="7" spans="1:16">
      <c r="A7" s="6" t="s">
        <v>8</v>
      </c>
      <c r="B7" s="9"/>
      <c r="C7" s="9"/>
      <c r="D7" s="9"/>
      <c r="E7" s="9"/>
      <c r="F7" s="9"/>
      <c r="G7" s="9"/>
      <c r="H7" s="9"/>
      <c r="J7" s="22" t="s">
        <v>111</v>
      </c>
      <c r="K7" s="1">
        <f t="shared" si="3"/>
        <v>1</v>
      </c>
      <c r="L7" s="54">
        <f t="shared" si="2"/>
        <v>0.2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1">
        <f>COUNTIF($B$5:$H$93,J8)</f>
        <v>0</v>
      </c>
      <c r="L8" s="54">
        <f t="shared" si="2"/>
        <v>0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1">
        <f>COUNTIF($B$5:$H$93,J9)</f>
        <v>0</v>
      </c>
      <c r="L9" s="54">
        <f t="shared" si="2"/>
        <v>0</v>
      </c>
      <c r="P9" s="3"/>
    </row>
    <row r="10" spans="1:16">
      <c r="A10" s="6" t="s">
        <v>14</v>
      </c>
      <c r="B10" s="9"/>
      <c r="C10" s="9"/>
      <c r="D10" s="9" t="s">
        <v>17</v>
      </c>
      <c r="E10" s="9"/>
      <c r="F10" s="9"/>
      <c r="G10" s="9"/>
      <c r="H10" s="9" t="s">
        <v>5</v>
      </c>
      <c r="J10" s="25" t="s">
        <v>105</v>
      </c>
      <c r="K10" s="1">
        <f t="shared" si="3"/>
        <v>0</v>
      </c>
      <c r="L10" s="54">
        <f t="shared" si="2"/>
        <v>0</v>
      </c>
    </row>
    <row r="11" spans="1:16">
      <c r="A11" s="6" t="s">
        <v>16</v>
      </c>
      <c r="B11" s="9"/>
      <c r="C11" s="9"/>
      <c r="D11" s="9"/>
      <c r="E11" s="9"/>
      <c r="F11" s="9"/>
      <c r="G11" s="9"/>
      <c r="H11" s="9"/>
      <c r="J11" s="26" t="s">
        <v>17</v>
      </c>
      <c r="K11" s="1">
        <f t="shared" si="3"/>
        <v>1</v>
      </c>
      <c r="L11" s="54">
        <f t="shared" si="2"/>
        <v>0.2</v>
      </c>
    </row>
    <row r="12" spans="1:16">
      <c r="A12" s="6" t="s">
        <v>18</v>
      </c>
      <c r="B12" s="9"/>
      <c r="C12" s="9"/>
      <c r="D12" s="9"/>
      <c r="E12" s="9"/>
      <c r="F12" s="9"/>
      <c r="G12" s="9"/>
      <c r="H12" s="9"/>
      <c r="J12" s="27" t="s">
        <v>107</v>
      </c>
      <c r="K12" s="1">
        <f t="shared" si="3"/>
        <v>0</v>
      </c>
      <c r="L12" s="54">
        <f t="shared" si="2"/>
        <v>0</v>
      </c>
    </row>
    <row r="13" spans="1:16">
      <c r="A13" s="6" t="s">
        <v>20</v>
      </c>
      <c r="B13" s="9"/>
      <c r="C13" s="9"/>
      <c r="D13" s="9"/>
      <c r="E13" s="9"/>
      <c r="F13" s="9"/>
      <c r="G13" s="9"/>
      <c r="H13" s="9"/>
      <c r="J13" s="28" t="s">
        <v>21</v>
      </c>
      <c r="K13" s="1">
        <f t="shared" si="3"/>
        <v>0</v>
      </c>
      <c r="L13" s="54">
        <f t="shared" si="2"/>
        <v>0</v>
      </c>
    </row>
    <row r="14" spans="1:16">
      <c r="A14" s="6" t="s">
        <v>22</v>
      </c>
      <c r="B14" s="9"/>
      <c r="C14" s="9"/>
      <c r="D14" s="9"/>
      <c r="E14" s="9"/>
      <c r="F14" s="9" t="s">
        <v>5</v>
      </c>
      <c r="G14" s="9"/>
      <c r="H14" s="9"/>
      <c r="J14" s="39" t="s">
        <v>23</v>
      </c>
      <c r="K14" s="1">
        <f>COUNTIF($B$5:$H$93,J14)</f>
        <v>0</v>
      </c>
      <c r="L14" s="54">
        <f t="shared" si="2"/>
        <v>0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  <c r="J15" s="47" t="s">
        <v>108</v>
      </c>
      <c r="K15" s="1">
        <f>COUNTIF($B$5:$H$93,J15)</f>
        <v>1</v>
      </c>
      <c r="L15" s="54">
        <f t="shared" si="2"/>
        <v>0.2</v>
      </c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53" t="s">
        <v>115</v>
      </c>
      <c r="K16" s="1">
        <f>COUNTIF($B$5:$H$93,J16)</f>
        <v>0</v>
      </c>
      <c r="L16" s="54">
        <f t="shared" si="2"/>
        <v>0</v>
      </c>
    </row>
    <row r="17" spans="1:12">
      <c r="A17" s="6" t="s">
        <v>27</v>
      </c>
      <c r="B17" s="9"/>
      <c r="C17" s="9"/>
      <c r="D17" s="9"/>
      <c r="E17" s="9"/>
      <c r="F17" s="9"/>
      <c r="G17" s="9"/>
      <c r="H17" s="9"/>
      <c r="J17" s="56" t="s">
        <v>120</v>
      </c>
      <c r="K17" s="1">
        <f>COUNTIF($B$5:$H$93,J17)</f>
        <v>0</v>
      </c>
      <c r="L17" s="54">
        <f t="shared" si="2"/>
        <v>0</v>
      </c>
    </row>
    <row r="18" spans="1:12">
      <c r="A18" s="6" t="s">
        <v>28</v>
      </c>
      <c r="B18" s="9"/>
      <c r="C18" s="9"/>
      <c r="D18" s="9"/>
      <c r="E18" s="9"/>
      <c r="F18" s="9"/>
      <c r="G18" s="9"/>
      <c r="H18" s="9"/>
      <c r="J18" s="7" t="s">
        <v>26</v>
      </c>
      <c r="K18" s="1">
        <f>SUM(K5:K17)</f>
        <v>5</v>
      </c>
    </row>
    <row r="19" spans="1:12">
      <c r="A19" s="6" t="s">
        <v>29</v>
      </c>
      <c r="B19" s="9"/>
      <c r="C19" s="9"/>
      <c r="D19" s="9"/>
      <c r="E19" s="9"/>
      <c r="F19" s="9"/>
      <c r="G19" s="9"/>
      <c r="H19" s="9"/>
      <c r="J19" s="7"/>
    </row>
    <row r="20" spans="1:12">
      <c r="A20" s="6" t="s">
        <v>30</v>
      </c>
      <c r="B20" s="9"/>
      <c r="C20" s="9"/>
      <c r="D20" s="9"/>
      <c r="E20" s="9"/>
      <c r="F20" s="9"/>
      <c r="G20" s="9"/>
      <c r="H20" s="9"/>
      <c r="J20" s="7"/>
    </row>
    <row r="21" spans="1:12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2">
      <c r="A22" s="6" t="s">
        <v>32</v>
      </c>
      <c r="B22" s="9"/>
      <c r="C22" s="9"/>
      <c r="D22" s="9"/>
      <c r="E22" s="9"/>
      <c r="F22" s="9"/>
      <c r="G22" s="9"/>
      <c r="H22" s="9"/>
      <c r="J22" s="7"/>
    </row>
    <row r="23" spans="1:12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2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2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2">
      <c r="A26" s="6" t="s">
        <v>36</v>
      </c>
      <c r="B26" s="9"/>
      <c r="C26" s="9"/>
      <c r="D26" s="9"/>
      <c r="E26" s="9"/>
      <c r="F26" s="9"/>
      <c r="G26" s="9"/>
      <c r="H26" s="9"/>
      <c r="J26" s="7"/>
    </row>
    <row r="27" spans="1:12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2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2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2">
      <c r="A30" s="6" t="s">
        <v>40</v>
      </c>
      <c r="B30" s="9"/>
      <c r="C30" s="9"/>
      <c r="D30" s="9"/>
      <c r="E30" s="9"/>
      <c r="F30" s="9"/>
      <c r="G30" s="9"/>
      <c r="H30" s="9"/>
    </row>
    <row r="31" spans="1:12">
      <c r="A31" s="6" t="s">
        <v>41</v>
      </c>
      <c r="B31" s="9"/>
      <c r="C31" s="9"/>
      <c r="D31" s="9"/>
      <c r="E31" s="9"/>
      <c r="F31" s="9"/>
      <c r="G31" s="9"/>
      <c r="H31" s="9"/>
    </row>
    <row r="32" spans="1:12">
      <c r="A32" s="6" t="s">
        <v>42</v>
      </c>
      <c r="B32" s="9"/>
      <c r="C32" s="9"/>
      <c r="D32" s="9"/>
      <c r="E32" s="9"/>
      <c r="F32" s="9"/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 t="s">
        <v>108</v>
      </c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/>
      <c r="F35" s="9"/>
      <c r="G35" s="9"/>
      <c r="H35" s="9"/>
    </row>
    <row r="36" spans="1:8">
      <c r="A36" s="6" t="s">
        <v>46</v>
      </c>
      <c r="B36" s="9"/>
      <c r="C36" s="9"/>
      <c r="D36" s="9"/>
      <c r="E36" s="9"/>
      <c r="F36" s="9"/>
      <c r="G36" s="9"/>
      <c r="H36" s="9"/>
    </row>
    <row r="37" spans="1:8">
      <c r="A37" s="6" t="s">
        <v>47</v>
      </c>
      <c r="B37" s="9"/>
      <c r="C37" s="9"/>
      <c r="D37" s="9"/>
      <c r="E37" s="9"/>
      <c r="F37" s="9"/>
      <c r="G37" s="9"/>
      <c r="H37" s="9"/>
    </row>
    <row r="38" spans="1:8">
      <c r="A38" s="6" t="s">
        <v>48</v>
      </c>
      <c r="B38" s="9"/>
      <c r="C38" s="9"/>
      <c r="D38" s="9"/>
      <c r="E38" s="9"/>
      <c r="F38" s="9"/>
      <c r="G38" s="9"/>
      <c r="H38" s="9"/>
    </row>
    <row r="39" spans="1:8">
      <c r="A39" s="6" t="s">
        <v>49</v>
      </c>
      <c r="B39" s="9"/>
      <c r="C39" s="9"/>
      <c r="D39" s="9"/>
      <c r="E39" s="9"/>
      <c r="F39" s="9"/>
      <c r="G39" s="9"/>
      <c r="H39" s="9"/>
    </row>
    <row r="40" spans="1:8">
      <c r="A40" s="6" t="s">
        <v>50</v>
      </c>
      <c r="B40" s="9"/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/>
      <c r="G44" s="9"/>
      <c r="H44" s="9"/>
    </row>
    <row r="45" spans="1:8">
      <c r="A45" s="6" t="s">
        <v>55</v>
      </c>
      <c r="B45" s="9"/>
      <c r="C45" s="9"/>
      <c r="D45" s="9"/>
      <c r="E45" s="9"/>
      <c r="F45" s="9"/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/>
      <c r="C52" s="9"/>
      <c r="D52" s="9"/>
      <c r="E52" s="9"/>
      <c r="F52" s="9"/>
      <c r="G52" s="9"/>
      <c r="H52" s="9"/>
    </row>
    <row r="53" spans="1:8">
      <c r="A53" s="6" t="s">
        <v>63</v>
      </c>
      <c r="B53" s="9"/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/>
      <c r="D54" s="9"/>
      <c r="E54" s="9"/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/>
      <c r="F57" s="9"/>
      <c r="G57" s="9"/>
      <c r="H57" s="9"/>
    </row>
    <row r="58" spans="1:8">
      <c r="A58" s="6" t="s">
        <v>68</v>
      </c>
      <c r="B58" s="9"/>
      <c r="C58" s="9"/>
      <c r="D58" s="9"/>
      <c r="E58" s="9"/>
      <c r="F58" s="9"/>
      <c r="G58" s="9"/>
      <c r="H58" s="9"/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/>
      <c r="H61" s="9"/>
    </row>
    <row r="62" spans="1:8">
      <c r="A62" s="6" t="s">
        <v>72</v>
      </c>
      <c r="B62" s="9"/>
      <c r="C62" s="9"/>
      <c r="D62" s="9"/>
      <c r="E62" s="9"/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/>
      <c r="C75" s="9"/>
      <c r="D75" s="9"/>
      <c r="E75" s="9"/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 t="s">
        <v>111</v>
      </c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279" priority="42" operator="containsText" text="Pulverização">
      <formula>NOT(ISERROR(SEARCH("Pulverização",B94)))</formula>
    </cfRule>
    <cfRule type="cellIs" dxfId="278" priority="43" operator="greaterThan">
      <formula>$J$5</formula>
    </cfRule>
    <cfRule type="containsText" dxfId="277" priority="44" operator="containsText" text="Cardã">
      <formula>NOT(ISERROR(SEARCH("Cardã",B94)))</formula>
    </cfRule>
    <cfRule type="containsText" dxfId="276" priority="45" operator="containsText" text="Pneu">
      <formula>NOT(ISERROR(SEARCH("Pneu",B94)))</formula>
    </cfRule>
    <cfRule type="containsText" dxfId="275" priority="46" operator="containsText" text="Vedação">
      <formula>NOT(ISERROR(SEARCH("Vedação",B94)))</formula>
    </cfRule>
    <cfRule type="containsText" dxfId="274" priority="47" operator="containsText" text="Retentor">
      <formula>NOT(ISERROR(SEARCH("Retentor",B94)))</formula>
    </cfRule>
    <cfRule type="containsText" dxfId="273" priority="48" operator="containsText" text="Motorredutor">
      <formula>NOT(ISERROR(SEARCH("Motorredutor",B94)))</formula>
    </cfRule>
    <cfRule type="containsText" dxfId="272" priority="49" operator="containsText" text="Redutor">
      <formula>NOT(ISERROR(SEARCH("Redutor",B94)))</formula>
    </cfRule>
    <cfRule type="containsText" dxfId="271" priority="50" operator="containsText" text="Bomba">
      <formula>NOT(ISERROR(SEARCH("Bomba",B94)))</formula>
    </cfRule>
  </conditionalFormatting>
  <conditionalFormatting sqref="A1:A1048576">
    <cfRule type="containsText" dxfId="270" priority="38" operator="containsText" text="Pivô">
      <formula>NOT(ISERROR(SEARCH("Pivô",A1)))</formula>
    </cfRule>
    <cfRule type="containsText" dxfId="269" priority="39" operator="containsText" text="Pivô">
      <formula>NOT(ISERROR(SEARCH("Pivô",A1)))</formula>
    </cfRule>
  </conditionalFormatting>
  <conditionalFormatting sqref="B5:H93">
    <cfRule type="containsText" dxfId="268" priority="23" operator="containsText" text="Pulverização">
      <formula>NOT(ISERROR(SEARCH("Pulverização",B5)))</formula>
    </cfRule>
    <cfRule type="cellIs" dxfId="267" priority="24" operator="greaterThan">
      <formula>$J$5</formula>
    </cfRule>
    <cfRule type="containsText" dxfId="266" priority="25" operator="containsText" text="Cardã">
      <formula>NOT(ISERROR(SEARCH("Cardã",B5)))</formula>
    </cfRule>
    <cfRule type="containsText" dxfId="265" priority="26" operator="containsText" text="Pneu">
      <formula>NOT(ISERROR(SEARCH("Pneu",B5)))</formula>
    </cfRule>
    <cfRule type="containsText" dxfId="264" priority="27" operator="containsText" text="Vedação">
      <formula>NOT(ISERROR(SEARCH("Vedação",B5)))</formula>
    </cfRule>
    <cfRule type="containsText" dxfId="263" priority="28" operator="containsText" text="Retentor">
      <formula>NOT(ISERROR(SEARCH("Retentor",B5)))</formula>
    </cfRule>
    <cfRule type="containsText" dxfId="262" priority="29" operator="containsText" text="Motorredutor">
      <formula>NOT(ISERROR(SEARCH("Motorredutor",B5)))</formula>
    </cfRule>
    <cfRule type="containsText" dxfId="261" priority="30" operator="containsText" text="Redutor">
      <formula>NOT(ISERROR(SEARCH("Redutor",B5)))</formula>
    </cfRule>
    <cfRule type="containsText" dxfId="260" priority="31" operator="containsText" text="Bomba">
      <formula>NOT(ISERROR(SEARCH("Bomba",B5)))</formula>
    </cfRule>
  </conditionalFormatting>
  <conditionalFormatting sqref="B5:H93">
    <cfRule type="containsText" dxfId="259" priority="1" operator="containsText" text="Desponte">
      <formula>NOT(ISERROR(SEARCH("Desponte",B5)))</formula>
    </cfRule>
  </conditionalFormatting>
  <dataValidations count="2">
    <dataValidation type="list" allowBlank="1" showInputMessage="1" showErrorMessage="1" sqref="B5:H93" xr:uid="{95CFC16F-96E1-4D54-B2CA-4D79CC76D8B1}">
      <formula1>$J$5:$J$17</formula1>
    </dataValidation>
    <dataValidation type="list" allowBlank="1" showInputMessage="1" showErrorMessage="1" sqref="B94:H95" xr:uid="{E85BE2A1-5ECF-41FC-85DD-3735BE8F2E15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C8F4B5C5-FF8E-4E71-810A-6A7046770F7E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DB4036A6-63CC-4F14-8A0F-AEF64F8C2724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" operator="containsText" id="{6AD86705-8F26-4BE7-9DF3-5731FB3D035D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1" operator="containsText" id="{5591BCFD-CCBA-4C6A-BBC1-A8FC85159083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51" operator="containsText" id="{5F360D85-97C9-4287-AE03-4364EFF0BB43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2" operator="containsText" id="{59CA7024-D252-4710-8718-2A670D38D589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3" operator="containsText" id="{EE51CC33-AE76-4763-A21A-6817D29EA081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4" operator="containsText" id="{50FA7038-B5E5-4A5B-8971-0E68A6F56DF1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5" operator="containsText" id="{8FF4D1A9-CF4E-41AE-846D-29142624881D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6" operator="containsText" id="{2DFB62F1-4A47-45F3-B313-3EFBA86BF78C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40" operator="containsText" id="{55A20558-746C-4FED-91C6-19881FA2304E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21" operator="containsText" id="{01CA40D3-5A70-4738-91A2-C0A5084A569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5" operator="containsText" id="{C19BAD39-E72C-4B1D-A789-F35111E8A2F6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5E20142B-F004-41C9-9B52-3E16E35F0D20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7" operator="containsText" id="{74AFC8FE-2987-4EEE-8543-16BA6F2EBD4A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8" operator="containsText" id="{FFB9F560-9D6C-4DB6-9AFF-C7437573AE1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9" operator="containsText" id="{F29CA9F2-ECDE-46C7-A24C-F9AC457EC457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1" operator="containsText" id="{26BA9603-175D-423C-9BCE-2ED190BF9051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C980D5A9-E0BC-4DB6-8DC8-D92347E6A4BB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3" operator="containsText" id="{CA2BF962-8AD5-414F-8C8F-A7774C62795E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F2F7AE5E-FF06-4873-8573-B0D555DC2D69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37582791-6BE3-47F1-ACA9-8EC2422D1BA3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6" operator="containsText" id="{162427CA-00DB-495D-ACFE-EED82570DE6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7" operator="containsText" id="{1A733D80-413B-4E15-BFF9-3044AE871C05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8" operator="containsText" id="{539E0F3D-2AF7-4639-8824-AC1709C95E51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9" operator="containsText" id="{384FA4BC-0B32-438D-BE59-0BEDA77C4F6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0" operator="containsText" id="{3EA31D9F-962A-487C-8051-A5A06EF593E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2" operator="containsText" id="{31AFB206-DC47-40B2-83BD-717921F61E15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2" operator="containsText" id="{B68F8ADB-032D-4A77-88A1-7CD775D73B2F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3" operator="containsText" id="{FC9C87A8-CFA6-4E77-A5AE-56F138E37EA3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4" operator="containsText" id="{36245D09-9B45-4E64-BBC9-0A3B3A3BFF9B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5" operator="containsText" id="{A58C5831-BE2E-4E0D-88C6-08897693B890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6" operator="containsText" id="{1E0D84C7-0C44-4462-98A2-56574A14E769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7" operator="containsText" id="{C9979321-BD6C-476E-9F04-7C7FB918448E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424A1672-18B5-4C1A-8841-95F7171049F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C3BF-98EE-42D1-83B5-3E656804DFAB}">
  <sheetPr>
    <tabColor rgb="FF92D050"/>
    <pageSetUpPr fitToPage="1"/>
  </sheetPr>
  <dimension ref="A1:P93"/>
  <sheetViews>
    <sheetView showGridLines="0" topLeftCell="F1" zoomScaleNormal="100" workbookViewId="0">
      <pane ySplit="4" topLeftCell="A62" activePane="bottomLeft" state="frozen"/>
      <selection pane="bottomLeft" activeCell="E88" sqref="E88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123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44732</v>
      </c>
      <c r="C3" s="11">
        <f t="shared" ref="C3:H3" si="0">B3+1</f>
        <v>44733</v>
      </c>
      <c r="D3" s="11">
        <f t="shared" si="0"/>
        <v>44734</v>
      </c>
      <c r="E3" s="11">
        <f t="shared" si="0"/>
        <v>44735</v>
      </c>
      <c r="F3" s="11">
        <f t="shared" si="0"/>
        <v>44736</v>
      </c>
      <c r="G3" s="11">
        <f t="shared" si="0"/>
        <v>44737</v>
      </c>
      <c r="H3" s="12">
        <f t="shared" si="0"/>
        <v>44738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/>
      <c r="D5" s="8"/>
      <c r="E5" s="8"/>
      <c r="F5" s="8"/>
      <c r="G5" s="8"/>
      <c r="H5" s="8"/>
      <c r="J5" s="20" t="s">
        <v>5</v>
      </c>
      <c r="K5" s="1">
        <f>COUNTIF($B$5:$H$93,J5)</f>
        <v>0</v>
      </c>
      <c r="L5" s="54">
        <f t="shared" ref="L5:L17" si="2">K5/$K$18</f>
        <v>0</v>
      </c>
    </row>
    <row r="6" spans="1:16">
      <c r="A6" s="6" t="s">
        <v>6</v>
      </c>
      <c r="B6" s="9"/>
      <c r="C6" s="9"/>
      <c r="D6" s="9"/>
      <c r="E6" s="9"/>
      <c r="F6" s="9"/>
      <c r="G6" s="9"/>
      <c r="H6" s="9"/>
      <c r="J6" s="21" t="s">
        <v>7</v>
      </c>
      <c r="K6" s="1">
        <f t="shared" ref="K6:K13" si="3">COUNTIF($B$5:$H$93,J6)</f>
        <v>0</v>
      </c>
      <c r="L6" s="54">
        <f t="shared" si="2"/>
        <v>0</v>
      </c>
    </row>
    <row r="7" spans="1:16">
      <c r="A7" s="6" t="s">
        <v>8</v>
      </c>
      <c r="B7" s="9"/>
      <c r="C7" s="9"/>
      <c r="D7" s="9"/>
      <c r="E7" s="9"/>
      <c r="F7" s="9"/>
      <c r="G7" s="9"/>
      <c r="H7" s="9"/>
      <c r="J7" s="22" t="s">
        <v>111</v>
      </c>
      <c r="K7" s="1">
        <f t="shared" si="3"/>
        <v>2</v>
      </c>
      <c r="L7" s="54">
        <f t="shared" si="2"/>
        <v>0.66666666666666663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1">
        <f>COUNTIF($B$5:$H$93,J8)</f>
        <v>1</v>
      </c>
      <c r="L8" s="54">
        <f t="shared" si="2"/>
        <v>0.33333333333333331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1">
        <f>COUNTIF($B$5:$H$93,J9)</f>
        <v>0</v>
      </c>
      <c r="L9" s="54">
        <f t="shared" si="2"/>
        <v>0</v>
      </c>
      <c r="P9" s="3"/>
    </row>
    <row r="10" spans="1:16">
      <c r="A10" s="6" t="s">
        <v>14</v>
      </c>
      <c r="B10" s="9"/>
      <c r="C10" s="9"/>
      <c r="D10" s="9"/>
      <c r="E10" s="9"/>
      <c r="F10" s="9"/>
      <c r="G10" s="9"/>
      <c r="H10" s="9"/>
      <c r="J10" s="25" t="s">
        <v>105</v>
      </c>
      <c r="K10" s="1">
        <f t="shared" si="3"/>
        <v>0</v>
      </c>
      <c r="L10" s="54">
        <f t="shared" si="2"/>
        <v>0</v>
      </c>
    </row>
    <row r="11" spans="1:16">
      <c r="A11" s="6" t="s">
        <v>16</v>
      </c>
      <c r="B11" s="9"/>
      <c r="C11" s="9"/>
      <c r="D11" s="9"/>
      <c r="E11" s="9"/>
      <c r="F11" s="9"/>
      <c r="G11" s="9"/>
      <c r="H11" s="9"/>
      <c r="J11" s="26" t="s">
        <v>17</v>
      </c>
      <c r="K11" s="1">
        <f t="shared" si="3"/>
        <v>0</v>
      </c>
      <c r="L11" s="54">
        <f t="shared" si="2"/>
        <v>0</v>
      </c>
    </row>
    <row r="12" spans="1:16">
      <c r="A12" s="6" t="s">
        <v>18</v>
      </c>
      <c r="B12" s="9"/>
      <c r="C12" s="9"/>
      <c r="D12" s="9"/>
      <c r="E12" s="9"/>
      <c r="F12" s="9"/>
      <c r="G12" s="9"/>
      <c r="H12" s="9"/>
      <c r="J12" s="27" t="s">
        <v>107</v>
      </c>
      <c r="K12" s="1">
        <f t="shared" si="3"/>
        <v>0</v>
      </c>
      <c r="L12" s="54">
        <f t="shared" si="2"/>
        <v>0</v>
      </c>
    </row>
    <row r="13" spans="1:16">
      <c r="A13" s="6" t="s">
        <v>20</v>
      </c>
      <c r="B13" s="9"/>
      <c r="C13" s="9"/>
      <c r="D13" s="9"/>
      <c r="E13" s="9"/>
      <c r="F13" s="9"/>
      <c r="G13" s="9"/>
      <c r="H13" s="9"/>
      <c r="J13" s="28" t="s">
        <v>21</v>
      </c>
      <c r="K13" s="1">
        <f t="shared" si="3"/>
        <v>0</v>
      </c>
      <c r="L13" s="54">
        <f t="shared" si="2"/>
        <v>0</v>
      </c>
    </row>
    <row r="14" spans="1:16">
      <c r="A14" s="6" t="s">
        <v>22</v>
      </c>
      <c r="B14" s="9"/>
      <c r="C14" s="9"/>
      <c r="D14" s="9"/>
      <c r="E14" s="9"/>
      <c r="F14" s="9"/>
      <c r="G14" s="9"/>
      <c r="H14" s="9"/>
      <c r="J14" s="39" t="s">
        <v>23</v>
      </c>
      <c r="K14" s="1">
        <f>COUNTIF($B$5:$H$93,J14)</f>
        <v>0</v>
      </c>
      <c r="L14" s="54">
        <f t="shared" si="2"/>
        <v>0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  <c r="J15" s="47" t="s">
        <v>108</v>
      </c>
      <c r="K15" s="1">
        <f>COUNTIF($B$5:$H$93,J15)</f>
        <v>0</v>
      </c>
      <c r="L15" s="54">
        <f t="shared" si="2"/>
        <v>0</v>
      </c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53" t="s">
        <v>115</v>
      </c>
      <c r="K16" s="1">
        <f>COUNTIF($B$5:$H$93,J16)</f>
        <v>0</v>
      </c>
      <c r="L16" s="54">
        <f t="shared" si="2"/>
        <v>0</v>
      </c>
    </row>
    <row r="17" spans="1:12">
      <c r="A17" s="6" t="s">
        <v>27</v>
      </c>
      <c r="B17" s="9"/>
      <c r="C17" s="9"/>
      <c r="D17" s="9"/>
      <c r="E17" s="9"/>
      <c r="F17" s="9"/>
      <c r="G17" s="9"/>
      <c r="H17" s="9"/>
      <c r="J17" s="56" t="s">
        <v>120</v>
      </c>
      <c r="K17" s="1">
        <f>COUNTIF($B$5:$H$93,J17)</f>
        <v>0</v>
      </c>
      <c r="L17" s="54">
        <f t="shared" si="2"/>
        <v>0</v>
      </c>
    </row>
    <row r="18" spans="1:12">
      <c r="A18" s="6" t="s">
        <v>28</v>
      </c>
      <c r="B18" s="9"/>
      <c r="C18" s="9"/>
      <c r="D18" s="9"/>
      <c r="E18" s="9"/>
      <c r="F18" s="9"/>
      <c r="G18" s="9"/>
      <c r="H18" s="9"/>
      <c r="J18" s="7" t="s">
        <v>26</v>
      </c>
      <c r="K18" s="1">
        <f>SUM(K5:K17)</f>
        <v>3</v>
      </c>
    </row>
    <row r="19" spans="1:12">
      <c r="A19" s="6" t="s">
        <v>29</v>
      </c>
      <c r="B19" s="9"/>
      <c r="C19" s="9"/>
      <c r="D19" s="9"/>
      <c r="E19" s="9"/>
      <c r="F19" s="9"/>
      <c r="G19" s="9"/>
      <c r="H19" s="9"/>
      <c r="J19" s="7"/>
    </row>
    <row r="20" spans="1:12">
      <c r="A20" s="6" t="s">
        <v>30</v>
      </c>
      <c r="B20" s="9"/>
      <c r="C20" s="9"/>
      <c r="D20" s="9"/>
      <c r="E20" s="9"/>
      <c r="F20" s="9"/>
      <c r="G20" s="9"/>
      <c r="H20" s="9"/>
      <c r="J20" s="7"/>
    </row>
    <row r="21" spans="1:12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2">
      <c r="A22" s="6" t="s">
        <v>32</v>
      </c>
      <c r="B22" s="9"/>
      <c r="C22" s="9"/>
      <c r="D22" s="9"/>
      <c r="E22" s="9"/>
      <c r="F22" s="9"/>
      <c r="G22" s="9"/>
      <c r="H22" s="9"/>
      <c r="J22" s="7"/>
    </row>
    <row r="23" spans="1:12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2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2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2">
      <c r="A26" s="6" t="s">
        <v>36</v>
      </c>
      <c r="B26" s="9"/>
      <c r="C26" s="9"/>
      <c r="D26" s="9"/>
      <c r="E26" s="9"/>
      <c r="F26" s="9"/>
      <c r="G26" s="9"/>
      <c r="H26" s="9"/>
      <c r="J26" s="7"/>
    </row>
    <row r="27" spans="1:12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2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2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2">
      <c r="A30" s="6" t="s">
        <v>40</v>
      </c>
      <c r="B30" s="9"/>
      <c r="C30" s="9"/>
      <c r="D30" s="9"/>
      <c r="E30" s="9"/>
      <c r="F30" s="9"/>
      <c r="G30" s="9"/>
      <c r="H30" s="9"/>
    </row>
    <row r="31" spans="1:12">
      <c r="A31" s="6" t="s">
        <v>41</v>
      </c>
      <c r="B31" s="9"/>
      <c r="C31" s="9"/>
      <c r="D31" s="9"/>
      <c r="E31" s="9"/>
      <c r="F31" s="9"/>
      <c r="G31" s="9"/>
      <c r="H31" s="9"/>
    </row>
    <row r="32" spans="1:12">
      <c r="A32" s="6" t="s">
        <v>42</v>
      </c>
      <c r="B32" s="9"/>
      <c r="C32" s="9"/>
      <c r="D32" s="9"/>
      <c r="E32" s="9"/>
      <c r="F32" s="9"/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/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/>
      <c r="F35" s="9"/>
      <c r="G35" s="9"/>
      <c r="H35" s="9"/>
    </row>
    <row r="36" spans="1:8">
      <c r="A36" s="6" t="s">
        <v>46</v>
      </c>
      <c r="B36" s="9"/>
      <c r="C36" s="9"/>
      <c r="D36" s="9"/>
      <c r="E36" s="9"/>
      <c r="F36" s="9"/>
      <c r="G36" s="9"/>
      <c r="H36" s="9"/>
    </row>
    <row r="37" spans="1:8">
      <c r="A37" s="6" t="s">
        <v>47</v>
      </c>
      <c r="B37" s="9"/>
      <c r="C37" s="9"/>
      <c r="D37" s="9"/>
      <c r="E37" s="9"/>
      <c r="F37" s="9"/>
      <c r="G37" s="9"/>
      <c r="H37" s="9"/>
    </row>
    <row r="38" spans="1:8">
      <c r="A38" s="6" t="s">
        <v>48</v>
      </c>
      <c r="B38" s="9"/>
      <c r="C38" s="9"/>
      <c r="D38" s="9"/>
      <c r="E38" s="9"/>
      <c r="F38" s="9"/>
      <c r="G38" s="9"/>
      <c r="H38" s="9"/>
    </row>
    <row r="39" spans="1:8">
      <c r="A39" s="6" t="s">
        <v>49</v>
      </c>
      <c r="B39" s="9"/>
      <c r="C39" s="9"/>
      <c r="D39" s="9"/>
      <c r="E39" s="9"/>
      <c r="F39" s="9"/>
      <c r="G39" s="9"/>
      <c r="H39" s="9"/>
    </row>
    <row r="40" spans="1:8">
      <c r="A40" s="6" t="s">
        <v>50</v>
      </c>
      <c r="B40" s="9"/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 t="s">
        <v>11</v>
      </c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/>
      <c r="G44" s="9"/>
      <c r="H44" s="9"/>
    </row>
    <row r="45" spans="1:8">
      <c r="A45" s="6" t="s">
        <v>55</v>
      </c>
      <c r="B45" s="9"/>
      <c r="C45" s="9"/>
      <c r="D45" s="9"/>
      <c r="E45" s="9"/>
      <c r="F45" s="9"/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/>
      <c r="C52" s="9" t="s">
        <v>111</v>
      </c>
      <c r="D52" s="9"/>
      <c r="E52" s="9"/>
      <c r="F52" s="9"/>
      <c r="G52" s="9"/>
      <c r="H52" s="9"/>
    </row>
    <row r="53" spans="1:8">
      <c r="A53" s="6" t="s">
        <v>63</v>
      </c>
      <c r="B53" s="9"/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/>
      <c r="D54" s="9"/>
      <c r="E54" s="9"/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/>
      <c r="F57" s="9"/>
      <c r="G57" s="9"/>
      <c r="H57" s="9"/>
    </row>
    <row r="58" spans="1:8">
      <c r="A58" s="6" t="s">
        <v>68</v>
      </c>
      <c r="B58" s="9"/>
      <c r="C58" s="9"/>
      <c r="D58" s="9"/>
      <c r="E58" s="9"/>
      <c r="F58" s="9"/>
      <c r="G58" s="9"/>
      <c r="H58" s="9"/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/>
      <c r="H61" s="9"/>
    </row>
    <row r="62" spans="1:8">
      <c r="A62" s="6" t="s">
        <v>72</v>
      </c>
      <c r="B62" s="9"/>
      <c r="C62" s="9"/>
      <c r="D62" s="9"/>
      <c r="E62" s="9"/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/>
      <c r="C75" s="9"/>
      <c r="D75" s="9"/>
      <c r="E75" s="9"/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 t="s">
        <v>111</v>
      </c>
      <c r="E86" s="9"/>
      <c r="F86" s="9"/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223" priority="42" operator="containsText" text="Pulverização">
      <formula>NOT(ISERROR(SEARCH("Pulverização",B94)))</formula>
    </cfRule>
    <cfRule type="cellIs" dxfId="222" priority="43" operator="greaterThan">
      <formula>$J$5</formula>
    </cfRule>
    <cfRule type="containsText" dxfId="221" priority="44" operator="containsText" text="Cardã">
      <formula>NOT(ISERROR(SEARCH("Cardã",B94)))</formula>
    </cfRule>
    <cfRule type="containsText" dxfId="220" priority="45" operator="containsText" text="Pneu">
      <formula>NOT(ISERROR(SEARCH("Pneu",B94)))</formula>
    </cfRule>
    <cfRule type="containsText" dxfId="219" priority="46" operator="containsText" text="Vedação">
      <formula>NOT(ISERROR(SEARCH("Vedação",B94)))</formula>
    </cfRule>
    <cfRule type="containsText" dxfId="218" priority="47" operator="containsText" text="Retentor">
      <formula>NOT(ISERROR(SEARCH("Retentor",B94)))</formula>
    </cfRule>
    <cfRule type="containsText" dxfId="217" priority="48" operator="containsText" text="Motorredutor">
      <formula>NOT(ISERROR(SEARCH("Motorredutor",B94)))</formula>
    </cfRule>
    <cfRule type="containsText" dxfId="216" priority="49" operator="containsText" text="Redutor">
      <formula>NOT(ISERROR(SEARCH("Redutor",B94)))</formula>
    </cfRule>
    <cfRule type="containsText" dxfId="215" priority="50" operator="containsText" text="Bomba">
      <formula>NOT(ISERROR(SEARCH("Bomba",B94)))</formula>
    </cfRule>
  </conditionalFormatting>
  <conditionalFormatting sqref="A1:A1048576">
    <cfRule type="containsText" dxfId="214" priority="38" operator="containsText" text="Pivô">
      <formula>NOT(ISERROR(SEARCH("Pivô",A1)))</formula>
    </cfRule>
    <cfRule type="containsText" dxfId="213" priority="39" operator="containsText" text="Pivô">
      <formula>NOT(ISERROR(SEARCH("Pivô",A1)))</formula>
    </cfRule>
  </conditionalFormatting>
  <conditionalFormatting sqref="B5:H93">
    <cfRule type="containsText" dxfId="212" priority="23" operator="containsText" text="Pulverização">
      <formula>NOT(ISERROR(SEARCH("Pulverização",B5)))</formula>
    </cfRule>
    <cfRule type="cellIs" dxfId="211" priority="24" operator="greaterThan">
      <formula>$J$5</formula>
    </cfRule>
    <cfRule type="containsText" dxfId="210" priority="25" operator="containsText" text="Cardã">
      <formula>NOT(ISERROR(SEARCH("Cardã",B5)))</formula>
    </cfRule>
    <cfRule type="containsText" dxfId="209" priority="26" operator="containsText" text="Pneu">
      <formula>NOT(ISERROR(SEARCH("Pneu",B5)))</formula>
    </cfRule>
    <cfRule type="containsText" dxfId="208" priority="27" operator="containsText" text="Vedação">
      <formula>NOT(ISERROR(SEARCH("Vedação",B5)))</formula>
    </cfRule>
    <cfRule type="containsText" dxfId="207" priority="28" operator="containsText" text="Retentor">
      <formula>NOT(ISERROR(SEARCH("Retentor",B5)))</formula>
    </cfRule>
    <cfRule type="containsText" dxfId="206" priority="29" operator="containsText" text="Motorredutor">
      <formula>NOT(ISERROR(SEARCH("Motorredutor",B5)))</formula>
    </cfRule>
    <cfRule type="containsText" dxfId="205" priority="30" operator="containsText" text="Redutor">
      <formula>NOT(ISERROR(SEARCH("Redutor",B5)))</formula>
    </cfRule>
    <cfRule type="containsText" dxfId="204" priority="31" operator="containsText" text="Bomba">
      <formula>NOT(ISERROR(SEARCH("Bomba",B5)))</formula>
    </cfRule>
  </conditionalFormatting>
  <conditionalFormatting sqref="B5:H93">
    <cfRule type="containsText" dxfId="203" priority="1" operator="containsText" text="Desponte">
      <formula>NOT(ISERROR(SEARCH("Desponte",B5)))</formula>
    </cfRule>
  </conditionalFormatting>
  <dataValidations count="2">
    <dataValidation type="list" allowBlank="1" showInputMessage="1" showErrorMessage="1" sqref="B5:H93" xr:uid="{3BB168D5-8A9B-453D-9263-6F1EC3C0F84D}">
      <formula1>$J$5:$J$17</formula1>
    </dataValidation>
    <dataValidation type="list" allowBlank="1" showInputMessage="1" showErrorMessage="1" sqref="B94:H95" xr:uid="{22A7B5F0-5FCE-4EA5-A05B-4F5AB62DFCBD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22DB8E8-9323-4E4A-932D-2471E9BCFFCB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4396611A-3D39-4A7C-A76E-84C2E68CE3C0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" operator="containsText" id="{3DF22E8D-B5C1-4BFB-9247-B518D245D62F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1" operator="containsText" id="{A10886D8-1749-414E-9933-6DCF0820FD26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51" operator="containsText" id="{9D81A250-3012-434B-8B28-752EB634C6AF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2" operator="containsText" id="{D5775279-5D62-461F-AAB1-278787A4FCF8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3" operator="containsText" id="{6C1590B2-C026-4754-823B-5D0907BF9BAF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4" operator="containsText" id="{B163A85D-400C-473B-A283-42CBB2D2FF2E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5" operator="containsText" id="{D477CAF3-1FB2-4F01-86D7-43E9FCC0DCF9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6" operator="containsText" id="{79B9DB5B-E541-4429-A97A-F8AFB3A21A3E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40" operator="containsText" id="{228D8EAB-6254-4322-901C-1479C598032F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21" operator="containsText" id="{0A2A7704-9CA4-4B36-B13B-E41770B14E86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5" operator="containsText" id="{3723895A-6FF1-4275-AD45-921DC22D6C96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F2C7B8A0-6546-479F-AF21-76F4852869DC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7" operator="containsText" id="{74F4E7B3-413C-4662-BF51-644D1CCCFB48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8" operator="containsText" id="{A190A2AD-26F9-4D28-B090-79036CE9ABA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9" operator="containsText" id="{719888A5-94ED-46E6-9181-341C081D0B57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1" operator="containsText" id="{C6D7B285-80C7-456A-B080-A35FD002D7E4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4B66DD9B-28D2-4605-9DE2-1CAE54D86CC7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3" operator="containsText" id="{B0A77AE2-94EB-459A-9C52-8AA1BE7ED156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13186C66-C3FE-48BB-A32F-D44510EC68A3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0BE9FB38-C111-48EE-B40F-AF9749F0ADAB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6" operator="containsText" id="{36AFA561-6566-4B86-AB3C-F6EEF9D3FEE6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7" operator="containsText" id="{5C063805-271F-44BC-8C27-88F72D3369D2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8" operator="containsText" id="{5B0010B1-FD18-4B14-9F56-6A3177D291E8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9" operator="containsText" id="{21D9E0D1-8F5F-4F94-AFD7-1BD5C855908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0" operator="containsText" id="{AD5FAC11-C828-452C-8327-26E53F57F5D9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2" operator="containsText" id="{25B3178E-6E61-4FBA-907A-D5003BDE77C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2" operator="containsText" id="{414B6870-2ED9-4484-87EE-E199602CA1FD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3" operator="containsText" id="{1793D8E6-BAB5-4B01-B163-984AA7E4EA6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4" operator="containsText" id="{5C3ADFF4-869C-418B-9D83-2D88A215065C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5" operator="containsText" id="{B2A9A61D-A496-4CF3-A518-B794AD028D0B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6" operator="containsText" id="{2654337B-9538-4949-BA8D-62D004A80B62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7" operator="containsText" id="{573EDDA9-3D4A-44D8-99A2-F03FB7450E6C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45EC1190-0B84-44DE-9C4F-862089502313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340E-13DB-4F93-A984-CD6B55813176}">
  <sheetPr>
    <tabColor rgb="FF92D050"/>
    <pageSetUpPr fitToPage="1"/>
  </sheetPr>
  <dimension ref="A1:P93"/>
  <sheetViews>
    <sheetView showGridLines="0" topLeftCell="F1" zoomScaleNormal="100" workbookViewId="0">
      <pane ySplit="4" topLeftCell="A5" activePane="bottomLeft" state="frozen"/>
      <selection pane="bottomLeft" activeCell="E8" sqref="E8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124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44725</v>
      </c>
      <c r="C3" s="11">
        <f t="shared" ref="C3:H3" si="0">B3+1</f>
        <v>44726</v>
      </c>
      <c r="D3" s="11">
        <f t="shared" si="0"/>
        <v>44727</v>
      </c>
      <c r="E3" s="11">
        <f t="shared" si="0"/>
        <v>44728</v>
      </c>
      <c r="F3" s="11">
        <f t="shared" si="0"/>
        <v>44729</v>
      </c>
      <c r="G3" s="11">
        <f t="shared" si="0"/>
        <v>44730</v>
      </c>
      <c r="H3" s="12">
        <f t="shared" si="0"/>
        <v>44731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/>
      <c r="D5" s="8"/>
      <c r="E5" s="8"/>
      <c r="F5" s="8"/>
      <c r="G5" s="8"/>
      <c r="H5" s="8"/>
      <c r="J5" s="20" t="s">
        <v>5</v>
      </c>
      <c r="K5" s="1">
        <f>COUNTIF($B$5:$H$93,J5)</f>
        <v>4</v>
      </c>
      <c r="L5" s="54">
        <f t="shared" ref="L5:L17" si="2">K5/$K$18</f>
        <v>0.5</v>
      </c>
    </row>
    <row r="6" spans="1:16">
      <c r="A6" s="6" t="s">
        <v>6</v>
      </c>
      <c r="B6" s="9"/>
      <c r="C6" s="9"/>
      <c r="D6" s="9"/>
      <c r="E6" s="9"/>
      <c r="F6" s="9"/>
      <c r="G6" s="9"/>
      <c r="H6" s="9"/>
      <c r="J6" s="21" t="s">
        <v>7</v>
      </c>
      <c r="K6" s="1">
        <f t="shared" ref="K6:K13" si="3">COUNTIF($B$5:$H$93,J6)</f>
        <v>0</v>
      </c>
      <c r="L6" s="54">
        <f t="shared" si="2"/>
        <v>0</v>
      </c>
    </row>
    <row r="7" spans="1:16">
      <c r="A7" s="6" t="s">
        <v>8</v>
      </c>
      <c r="B7" s="9"/>
      <c r="C7" s="9"/>
      <c r="D7" s="9"/>
      <c r="E7" s="9"/>
      <c r="F7" s="9"/>
      <c r="G7" s="9"/>
      <c r="H7" s="9"/>
      <c r="J7" s="22" t="s">
        <v>111</v>
      </c>
      <c r="K7" s="1">
        <f t="shared" si="3"/>
        <v>3</v>
      </c>
      <c r="L7" s="54">
        <f t="shared" si="2"/>
        <v>0.375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1">
        <f>COUNTIF($B$5:$H$93,J8)</f>
        <v>0</v>
      </c>
      <c r="L8" s="54">
        <f t="shared" si="2"/>
        <v>0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1">
        <f>COUNTIF($B$5:$H$93,J9)</f>
        <v>0</v>
      </c>
      <c r="L9" s="54">
        <f t="shared" si="2"/>
        <v>0</v>
      </c>
      <c r="P9" s="3"/>
    </row>
    <row r="10" spans="1:16">
      <c r="A10" s="6" t="s">
        <v>14</v>
      </c>
      <c r="B10" s="9"/>
      <c r="C10" s="9"/>
      <c r="D10" s="9"/>
      <c r="E10" s="9"/>
      <c r="F10" s="9"/>
      <c r="G10" s="9"/>
      <c r="H10" s="9"/>
      <c r="J10" s="25" t="s">
        <v>105</v>
      </c>
      <c r="K10" s="1">
        <f t="shared" si="3"/>
        <v>0</v>
      </c>
      <c r="L10" s="54">
        <f t="shared" si="2"/>
        <v>0</v>
      </c>
    </row>
    <row r="11" spans="1:16">
      <c r="A11" s="6" t="s">
        <v>16</v>
      </c>
      <c r="B11" s="9"/>
      <c r="C11" s="9"/>
      <c r="D11" s="9"/>
      <c r="E11" s="9"/>
      <c r="F11" s="9"/>
      <c r="G11" s="9"/>
      <c r="H11" s="9"/>
      <c r="J11" s="26" t="s">
        <v>17</v>
      </c>
      <c r="K11" s="1">
        <f t="shared" si="3"/>
        <v>0</v>
      </c>
      <c r="L11" s="54">
        <f t="shared" si="2"/>
        <v>0</v>
      </c>
    </row>
    <row r="12" spans="1:16">
      <c r="A12" s="6" t="s">
        <v>18</v>
      </c>
      <c r="B12" s="9"/>
      <c r="C12" s="9"/>
      <c r="D12" s="9"/>
      <c r="E12" s="9"/>
      <c r="F12" s="9"/>
      <c r="G12" s="9"/>
      <c r="H12" s="9"/>
      <c r="J12" s="27" t="s">
        <v>107</v>
      </c>
      <c r="K12" s="1">
        <f t="shared" si="3"/>
        <v>0</v>
      </c>
      <c r="L12" s="54">
        <f t="shared" si="2"/>
        <v>0</v>
      </c>
    </row>
    <row r="13" spans="1:16">
      <c r="A13" s="6" t="s">
        <v>20</v>
      </c>
      <c r="B13" s="9"/>
      <c r="C13" s="9"/>
      <c r="D13" s="9"/>
      <c r="E13" s="9"/>
      <c r="F13" s="9"/>
      <c r="G13" s="9"/>
      <c r="H13" s="9"/>
      <c r="J13" s="28" t="s">
        <v>21</v>
      </c>
      <c r="K13" s="1">
        <f t="shared" si="3"/>
        <v>1</v>
      </c>
      <c r="L13" s="54">
        <f t="shared" si="2"/>
        <v>0.125</v>
      </c>
    </row>
    <row r="14" spans="1:16">
      <c r="A14" s="6" t="s">
        <v>22</v>
      </c>
      <c r="B14" s="9"/>
      <c r="C14" s="9"/>
      <c r="D14" s="9"/>
      <c r="E14" s="9"/>
      <c r="F14" s="9"/>
      <c r="G14" s="9"/>
      <c r="H14" s="9"/>
      <c r="J14" s="39" t="s">
        <v>23</v>
      </c>
      <c r="K14" s="1">
        <f>COUNTIF($B$5:$H$93,J14)</f>
        <v>0</v>
      </c>
      <c r="L14" s="54">
        <f t="shared" si="2"/>
        <v>0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 t="s">
        <v>5</v>
      </c>
      <c r="J15" s="47" t="s">
        <v>108</v>
      </c>
      <c r="K15" s="1">
        <f>COUNTIF($B$5:$H$93,J15)</f>
        <v>0</v>
      </c>
      <c r="L15" s="54">
        <f t="shared" si="2"/>
        <v>0</v>
      </c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53" t="s">
        <v>115</v>
      </c>
      <c r="K16" s="1">
        <f>COUNTIF($B$5:$H$93,J16)</f>
        <v>0</v>
      </c>
      <c r="L16" s="54">
        <f t="shared" si="2"/>
        <v>0</v>
      </c>
    </row>
    <row r="17" spans="1:12">
      <c r="A17" s="6" t="s">
        <v>27</v>
      </c>
      <c r="B17" s="9"/>
      <c r="C17" s="9"/>
      <c r="D17" s="9"/>
      <c r="E17" s="9"/>
      <c r="F17" s="9"/>
      <c r="G17" s="9"/>
      <c r="H17" s="9"/>
      <c r="J17" s="56" t="s">
        <v>120</v>
      </c>
      <c r="K17" s="1">
        <f>COUNTIF($B$5:$H$93,J17)</f>
        <v>0</v>
      </c>
      <c r="L17" s="54">
        <f t="shared" si="2"/>
        <v>0</v>
      </c>
    </row>
    <row r="18" spans="1:12">
      <c r="A18" s="6" t="s">
        <v>28</v>
      </c>
      <c r="B18" s="9"/>
      <c r="C18" s="9"/>
      <c r="D18" s="9"/>
      <c r="E18" s="9"/>
      <c r="F18" s="9"/>
      <c r="G18" s="9"/>
      <c r="H18" s="9"/>
      <c r="J18" s="7" t="s">
        <v>26</v>
      </c>
      <c r="K18" s="1">
        <f>SUM(K5:K17)</f>
        <v>8</v>
      </c>
    </row>
    <row r="19" spans="1:12">
      <c r="A19" s="6" t="s">
        <v>29</v>
      </c>
      <c r="B19" s="9"/>
      <c r="C19" s="9"/>
      <c r="D19" s="9"/>
      <c r="E19" s="9"/>
      <c r="F19" s="9"/>
      <c r="G19" s="9"/>
      <c r="H19" s="9"/>
      <c r="J19" s="7"/>
    </row>
    <row r="20" spans="1:12">
      <c r="A20" s="6" t="s">
        <v>30</v>
      </c>
      <c r="B20" s="9"/>
      <c r="C20" s="9"/>
      <c r="D20" s="9"/>
      <c r="E20" s="9"/>
      <c r="F20" s="9"/>
      <c r="G20" s="9"/>
      <c r="H20" s="9"/>
      <c r="J20" s="7"/>
    </row>
    <row r="21" spans="1:12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2">
      <c r="A22" s="6" t="s">
        <v>32</v>
      </c>
      <c r="B22" s="9"/>
      <c r="C22" s="9"/>
      <c r="D22" s="9"/>
      <c r="E22" s="9"/>
      <c r="F22" s="9"/>
      <c r="G22" s="9"/>
      <c r="H22" s="9"/>
      <c r="J22" s="7"/>
    </row>
    <row r="23" spans="1:12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2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2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2">
      <c r="A26" s="6" t="s">
        <v>36</v>
      </c>
      <c r="B26" s="9"/>
      <c r="C26" s="9"/>
      <c r="D26" s="9"/>
      <c r="E26" s="9"/>
      <c r="F26" s="9"/>
      <c r="G26" s="9"/>
      <c r="H26" s="9"/>
      <c r="J26" s="7"/>
    </row>
    <row r="27" spans="1:12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2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2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2">
      <c r="A30" s="6" t="s">
        <v>40</v>
      </c>
      <c r="B30" s="9"/>
      <c r="C30" s="9"/>
      <c r="D30" s="9"/>
      <c r="E30" s="9"/>
      <c r="F30" s="9"/>
      <c r="G30" s="9"/>
      <c r="H30" s="9"/>
    </row>
    <row r="31" spans="1:12">
      <c r="A31" s="6" t="s">
        <v>41</v>
      </c>
      <c r="B31" s="9"/>
      <c r="C31" s="9"/>
      <c r="D31" s="9"/>
      <c r="E31" s="9"/>
      <c r="F31" s="9"/>
      <c r="G31" s="9"/>
      <c r="H31" s="9"/>
    </row>
    <row r="32" spans="1:12">
      <c r="A32" s="6" t="s">
        <v>42</v>
      </c>
      <c r="B32" s="9"/>
      <c r="C32" s="9"/>
      <c r="D32" s="9"/>
      <c r="E32" s="9"/>
      <c r="F32" s="9"/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/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/>
      <c r="F35" s="9"/>
      <c r="G35" s="9"/>
      <c r="H35" s="9"/>
    </row>
    <row r="36" spans="1:8">
      <c r="A36" s="6" t="s">
        <v>46</v>
      </c>
      <c r="B36" s="9"/>
      <c r="C36" s="9"/>
      <c r="D36" s="9"/>
      <c r="E36" s="9" t="s">
        <v>21</v>
      </c>
      <c r="F36" s="9"/>
      <c r="G36" s="9"/>
      <c r="H36" s="9"/>
    </row>
    <row r="37" spans="1:8">
      <c r="A37" s="6" t="s">
        <v>47</v>
      </c>
      <c r="B37" s="9"/>
      <c r="C37" s="9"/>
      <c r="D37" s="9"/>
      <c r="E37" s="9"/>
      <c r="F37" s="9"/>
      <c r="G37" s="9"/>
      <c r="H37" s="9"/>
    </row>
    <row r="38" spans="1:8">
      <c r="A38" s="6" t="s">
        <v>48</v>
      </c>
      <c r="B38" s="9"/>
      <c r="C38" s="9"/>
      <c r="D38" s="9"/>
      <c r="E38" s="9"/>
      <c r="F38" s="9" t="s">
        <v>5</v>
      </c>
      <c r="G38" s="9"/>
      <c r="H38" s="9"/>
    </row>
    <row r="39" spans="1:8">
      <c r="A39" s="6" t="s">
        <v>49</v>
      </c>
      <c r="B39" s="9"/>
      <c r="C39" s="9"/>
      <c r="D39" s="9"/>
      <c r="E39" s="9"/>
      <c r="F39" s="9"/>
      <c r="G39" s="9"/>
      <c r="H39" s="9"/>
    </row>
    <row r="40" spans="1:8">
      <c r="A40" s="6" t="s">
        <v>50</v>
      </c>
      <c r="B40" s="9"/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/>
      <c r="G44" s="9"/>
      <c r="H44" s="9"/>
    </row>
    <row r="45" spans="1:8">
      <c r="A45" s="6" t="s">
        <v>55</v>
      </c>
      <c r="B45" s="9"/>
      <c r="C45" s="9"/>
      <c r="D45" s="9"/>
      <c r="E45" s="9"/>
      <c r="F45" s="9"/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 t="s">
        <v>111</v>
      </c>
      <c r="C52" s="9"/>
      <c r="D52" s="9"/>
      <c r="E52" s="9"/>
      <c r="F52" s="9" t="s">
        <v>111</v>
      </c>
      <c r="G52" s="9"/>
      <c r="H52" s="9" t="s">
        <v>111</v>
      </c>
    </row>
    <row r="53" spans="1:8">
      <c r="A53" s="6" t="s">
        <v>63</v>
      </c>
      <c r="B53" s="9"/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/>
      <c r="D54" s="9"/>
      <c r="E54" s="9"/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 t="s">
        <v>5</v>
      </c>
      <c r="F57" s="9"/>
      <c r="G57" s="9"/>
      <c r="H57" s="9"/>
    </row>
    <row r="58" spans="1:8">
      <c r="A58" s="6" t="s">
        <v>68</v>
      </c>
      <c r="B58" s="9"/>
      <c r="C58" s="9"/>
      <c r="D58" s="9"/>
      <c r="E58" s="9" t="s">
        <v>5</v>
      </c>
      <c r="F58" s="9"/>
      <c r="G58" s="9"/>
      <c r="H58" s="9"/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/>
      <c r="H61" s="9"/>
    </row>
    <row r="62" spans="1:8">
      <c r="A62" s="6" t="s">
        <v>72</v>
      </c>
      <c r="B62" s="9"/>
      <c r="C62" s="9"/>
      <c r="D62" s="9"/>
      <c r="E62" s="9"/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/>
      <c r="C75" s="9"/>
      <c r="D75" s="9"/>
      <c r="E75" s="9"/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/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167" priority="42" operator="containsText" text="Pulverização">
      <formula>NOT(ISERROR(SEARCH("Pulverização",B94)))</formula>
    </cfRule>
    <cfRule type="cellIs" dxfId="166" priority="43" operator="greaterThan">
      <formula>$J$5</formula>
    </cfRule>
    <cfRule type="containsText" dxfId="165" priority="44" operator="containsText" text="Cardã">
      <formula>NOT(ISERROR(SEARCH("Cardã",B94)))</formula>
    </cfRule>
    <cfRule type="containsText" dxfId="164" priority="45" operator="containsText" text="Pneu">
      <formula>NOT(ISERROR(SEARCH("Pneu",B94)))</formula>
    </cfRule>
    <cfRule type="containsText" dxfId="163" priority="46" operator="containsText" text="Vedação">
      <formula>NOT(ISERROR(SEARCH("Vedação",B94)))</formula>
    </cfRule>
    <cfRule type="containsText" dxfId="162" priority="47" operator="containsText" text="Retentor">
      <formula>NOT(ISERROR(SEARCH("Retentor",B94)))</formula>
    </cfRule>
    <cfRule type="containsText" dxfId="161" priority="48" operator="containsText" text="Motorredutor">
      <formula>NOT(ISERROR(SEARCH("Motorredutor",B94)))</formula>
    </cfRule>
    <cfRule type="containsText" dxfId="160" priority="49" operator="containsText" text="Redutor">
      <formula>NOT(ISERROR(SEARCH("Redutor",B94)))</formula>
    </cfRule>
    <cfRule type="containsText" dxfId="159" priority="50" operator="containsText" text="Bomba">
      <formula>NOT(ISERROR(SEARCH("Bomba",B94)))</formula>
    </cfRule>
  </conditionalFormatting>
  <conditionalFormatting sqref="A1:A1048576">
    <cfRule type="containsText" dxfId="158" priority="38" operator="containsText" text="Pivô">
      <formula>NOT(ISERROR(SEARCH("Pivô",A1)))</formula>
    </cfRule>
    <cfRule type="containsText" dxfId="157" priority="39" operator="containsText" text="Pivô">
      <formula>NOT(ISERROR(SEARCH("Pivô",A1)))</formula>
    </cfRule>
  </conditionalFormatting>
  <conditionalFormatting sqref="B5:H93">
    <cfRule type="containsText" dxfId="156" priority="23" operator="containsText" text="Pulverização">
      <formula>NOT(ISERROR(SEARCH("Pulverização",B5)))</formula>
    </cfRule>
    <cfRule type="cellIs" dxfId="155" priority="24" operator="greaterThan">
      <formula>$J$5</formula>
    </cfRule>
    <cfRule type="containsText" dxfId="154" priority="25" operator="containsText" text="Cardã">
      <formula>NOT(ISERROR(SEARCH("Cardã",B5)))</formula>
    </cfRule>
    <cfRule type="containsText" dxfId="153" priority="26" operator="containsText" text="Pneu">
      <formula>NOT(ISERROR(SEARCH("Pneu",B5)))</formula>
    </cfRule>
    <cfRule type="containsText" dxfId="152" priority="27" operator="containsText" text="Vedação">
      <formula>NOT(ISERROR(SEARCH("Vedação",B5)))</formula>
    </cfRule>
    <cfRule type="containsText" dxfId="151" priority="28" operator="containsText" text="Retentor">
      <formula>NOT(ISERROR(SEARCH("Retentor",B5)))</formula>
    </cfRule>
    <cfRule type="containsText" dxfId="150" priority="29" operator="containsText" text="Motorredutor">
      <formula>NOT(ISERROR(SEARCH("Motorredutor",B5)))</formula>
    </cfRule>
    <cfRule type="containsText" dxfId="149" priority="30" operator="containsText" text="Redutor">
      <formula>NOT(ISERROR(SEARCH("Redutor",B5)))</formula>
    </cfRule>
    <cfRule type="containsText" dxfId="148" priority="31" operator="containsText" text="Bomba">
      <formula>NOT(ISERROR(SEARCH("Bomba",B5)))</formula>
    </cfRule>
  </conditionalFormatting>
  <conditionalFormatting sqref="B5:H93">
    <cfRule type="containsText" dxfId="147" priority="1" operator="containsText" text="Desponte">
      <formula>NOT(ISERROR(SEARCH("Desponte",B5)))</formula>
    </cfRule>
  </conditionalFormatting>
  <dataValidations count="2">
    <dataValidation type="list" allowBlank="1" showInputMessage="1" showErrorMessage="1" sqref="B94:H95" xr:uid="{0F15F24B-CA1A-4C01-9577-3921900FD3BC}">
      <formula1>$J$5:$J$11</formula1>
    </dataValidation>
    <dataValidation type="list" allowBlank="1" showInputMessage="1" showErrorMessage="1" sqref="B5:H93" xr:uid="{338949D2-461D-42BA-91F2-5B65E6E91019}">
      <formula1>$J$5:$J$17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407FA14-54CC-4FBE-B958-FA41B8017E5C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7EEED4AD-37C7-44B8-93B8-93F60D273E16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" operator="containsText" id="{60C88346-4E21-4314-80F5-D1942136FAAA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1" operator="containsText" id="{748E4B5E-B684-42FC-A7A8-5BDD11549A31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51" operator="containsText" id="{D187D11F-A7F9-4046-A4F4-DDE9BB6EA99E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2" operator="containsText" id="{0C3701FD-A48A-459B-BAD3-A4CA3F1B7EBE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3" operator="containsText" id="{FC760E95-3A70-4667-9592-CD576DC00585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4" operator="containsText" id="{B2BF3640-18AA-4E35-AE57-49563A5E227D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5" operator="containsText" id="{FA71B29E-9899-461E-B7F6-966AE39F5A3D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6" operator="containsText" id="{91FAA188-E1B0-4E4D-BC2C-9F7779BED9BA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40" operator="containsText" id="{04FBC54F-6B56-45C6-9EFE-CD40E930AED4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21" operator="containsText" id="{2B74AD68-5644-47FB-A339-BFBE89B3CEB5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5" operator="containsText" id="{AC23A344-FA23-4F36-8837-E8F2F9E0501A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E610499F-30E1-482A-A931-63C8624C6F6F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7" operator="containsText" id="{E026C62B-D636-40D2-91D0-C3C4BD0332D7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8" operator="containsText" id="{478333EC-2ADE-4246-99D9-08F5AFD54B9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9" operator="containsText" id="{51E56DDD-2C74-4E26-94DC-3C04339C4764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1" operator="containsText" id="{0D9A0B9A-79EE-4112-BC05-1CCC67043EC4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44AFA4A5-714A-4A79-B0FF-D0FDFAF43A22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3" operator="containsText" id="{7AC66C35-E869-418A-AAE2-000368857BB2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3426EC64-CD6F-42ED-80F5-30CAA5BCEB89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4A564452-7B14-4F7A-B7F4-EE569474D795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6" operator="containsText" id="{0B342555-32E1-49A8-A3E4-9FC5E207DDF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7" operator="containsText" id="{CA5BFFE2-2199-4978-AFAF-608D2EDF0028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8" operator="containsText" id="{44075570-E746-4A72-90C5-1F0CF91BE56F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9" operator="containsText" id="{05049295-0CE9-4743-9EE1-46249EC0557A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0" operator="containsText" id="{120B657E-2753-4524-A64C-39AAFAF18DC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2" operator="containsText" id="{5EB4E484-4D72-4FA8-8149-53489EB6986D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2" operator="containsText" id="{68DD0347-76D8-4DDB-B0AB-2C45B80153BB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3" operator="containsText" id="{9FBE7E84-31DD-4E13-AB72-8DDD42171AA6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4" operator="containsText" id="{0A3C4421-A267-4B36-B6B4-65ACF567E623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5" operator="containsText" id="{2C15F85D-B891-4176-B8C8-D2A20E39B43A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6" operator="containsText" id="{6A993F65-48CD-42D1-A3F4-25BE6FF02AE7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7" operator="containsText" id="{54AAE5F2-EB57-4E5A-B09E-1CA0A16FD3B0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5D317F44-A240-4452-A119-F671B35E8232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E8DC-8612-4377-86ED-B631EDEC7546}">
  <sheetPr>
    <tabColor rgb="FF92D050"/>
    <pageSetUpPr fitToPage="1"/>
  </sheetPr>
  <dimension ref="A1:P93"/>
  <sheetViews>
    <sheetView showGridLines="0" topLeftCell="F1" zoomScaleNormal="100" workbookViewId="0">
      <pane ySplit="4" topLeftCell="A5" activePane="bottomLeft" state="frozen"/>
      <selection pane="bottomLeft" activeCell="K5" sqref="K5:K17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125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44739</v>
      </c>
      <c r="C3" s="11">
        <f t="shared" ref="C3:H3" si="0">B3+1</f>
        <v>44740</v>
      </c>
      <c r="D3" s="11">
        <f t="shared" si="0"/>
        <v>44741</v>
      </c>
      <c r="E3" s="11">
        <f t="shared" si="0"/>
        <v>44742</v>
      </c>
      <c r="F3" s="11">
        <f t="shared" si="0"/>
        <v>44743</v>
      </c>
      <c r="G3" s="11">
        <f t="shared" si="0"/>
        <v>44744</v>
      </c>
      <c r="H3" s="12">
        <f t="shared" si="0"/>
        <v>44745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/>
      <c r="D5" s="8"/>
      <c r="E5" s="8"/>
      <c r="F5" s="8"/>
      <c r="G5" s="8"/>
      <c r="H5" s="8"/>
      <c r="J5" s="20" t="s">
        <v>5</v>
      </c>
      <c r="K5" s="1">
        <f>COUNTIF($B$5:$H$93,J5)</f>
        <v>4</v>
      </c>
      <c r="L5" s="54">
        <f t="shared" ref="L5:L17" si="2">K5/$K$18</f>
        <v>0.5</v>
      </c>
    </row>
    <row r="6" spans="1:16">
      <c r="A6" s="6" t="s">
        <v>6</v>
      </c>
      <c r="B6" s="9"/>
      <c r="C6" s="9"/>
      <c r="D6" s="9"/>
      <c r="E6" s="9"/>
      <c r="F6" s="9"/>
      <c r="G6" s="9"/>
      <c r="H6" s="9"/>
      <c r="J6" s="21" t="s">
        <v>7</v>
      </c>
      <c r="K6" s="1">
        <f t="shared" ref="K6:K13" si="3">COUNTIF($B$5:$H$93,J6)</f>
        <v>0</v>
      </c>
      <c r="L6" s="54">
        <f t="shared" si="2"/>
        <v>0</v>
      </c>
    </row>
    <row r="7" spans="1:16">
      <c r="A7" s="6" t="s">
        <v>8</v>
      </c>
      <c r="B7" s="9"/>
      <c r="C7" s="9"/>
      <c r="D7" s="9"/>
      <c r="E7" s="9"/>
      <c r="F7" s="9"/>
      <c r="G7" s="9"/>
      <c r="H7" s="9"/>
      <c r="J7" s="22" t="s">
        <v>111</v>
      </c>
      <c r="K7" s="1">
        <f t="shared" si="3"/>
        <v>1</v>
      </c>
      <c r="L7" s="54">
        <f t="shared" si="2"/>
        <v>0.125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1">
        <f>COUNTIF($B$5:$H$93,J8)</f>
        <v>0</v>
      </c>
      <c r="L8" s="54">
        <f t="shared" si="2"/>
        <v>0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1">
        <f>COUNTIF($B$5:$H$93,J9)</f>
        <v>0</v>
      </c>
      <c r="L9" s="54">
        <f t="shared" si="2"/>
        <v>0</v>
      </c>
      <c r="P9" s="3"/>
    </row>
    <row r="10" spans="1:16">
      <c r="A10" s="6" t="s">
        <v>14</v>
      </c>
      <c r="B10" s="9"/>
      <c r="C10" s="9"/>
      <c r="D10" s="9"/>
      <c r="E10" s="9"/>
      <c r="F10" s="9"/>
      <c r="G10" s="9"/>
      <c r="H10" s="9"/>
      <c r="J10" s="25" t="s">
        <v>105</v>
      </c>
      <c r="K10" s="1">
        <f t="shared" si="3"/>
        <v>0</v>
      </c>
      <c r="L10" s="54">
        <f t="shared" si="2"/>
        <v>0</v>
      </c>
    </row>
    <row r="11" spans="1:16">
      <c r="A11" s="6" t="s">
        <v>16</v>
      </c>
      <c r="B11" s="9"/>
      <c r="C11" s="9"/>
      <c r="D11" s="9" t="s">
        <v>120</v>
      </c>
      <c r="E11" s="9"/>
      <c r="F11" s="9"/>
      <c r="G11" s="9"/>
      <c r="H11" s="9"/>
      <c r="J11" s="26" t="s">
        <v>17</v>
      </c>
      <c r="K11" s="1">
        <f t="shared" si="3"/>
        <v>0</v>
      </c>
      <c r="L11" s="54">
        <f t="shared" si="2"/>
        <v>0</v>
      </c>
    </row>
    <row r="12" spans="1:16">
      <c r="A12" s="6" t="s">
        <v>18</v>
      </c>
      <c r="B12" s="9"/>
      <c r="C12" s="9"/>
      <c r="D12" s="9"/>
      <c r="E12" s="9" t="s">
        <v>120</v>
      </c>
      <c r="F12" s="9" t="s">
        <v>120</v>
      </c>
      <c r="G12" s="9"/>
      <c r="H12" s="9"/>
      <c r="J12" s="27" t="s">
        <v>107</v>
      </c>
      <c r="K12" s="1">
        <f t="shared" si="3"/>
        <v>0</v>
      </c>
      <c r="L12" s="54">
        <f t="shared" si="2"/>
        <v>0</v>
      </c>
    </row>
    <row r="13" spans="1:16">
      <c r="A13" s="6" t="s">
        <v>20</v>
      </c>
      <c r="B13" s="9"/>
      <c r="C13" s="9"/>
      <c r="D13" s="9"/>
      <c r="E13" s="9"/>
      <c r="F13" s="9"/>
      <c r="G13" s="9"/>
      <c r="H13" s="9"/>
      <c r="J13" s="28" t="s">
        <v>21</v>
      </c>
      <c r="K13" s="1">
        <f t="shared" si="3"/>
        <v>0</v>
      </c>
      <c r="L13" s="54">
        <f t="shared" si="2"/>
        <v>0</v>
      </c>
    </row>
    <row r="14" spans="1:16">
      <c r="A14" s="6" t="s">
        <v>22</v>
      </c>
      <c r="B14" s="9"/>
      <c r="C14" s="9"/>
      <c r="D14" s="9"/>
      <c r="E14" s="9"/>
      <c r="F14" s="9" t="s">
        <v>5</v>
      </c>
      <c r="G14" s="9"/>
      <c r="H14" s="9"/>
      <c r="J14" s="39" t="s">
        <v>23</v>
      </c>
      <c r="K14" s="1">
        <f>COUNTIF($B$5:$H$93,J14)</f>
        <v>0</v>
      </c>
      <c r="L14" s="54">
        <f t="shared" si="2"/>
        <v>0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  <c r="J15" s="47" t="s">
        <v>108</v>
      </c>
      <c r="K15" s="1">
        <f>COUNTIF($B$5:$H$93,J15)</f>
        <v>0</v>
      </c>
      <c r="L15" s="54">
        <f t="shared" si="2"/>
        <v>0</v>
      </c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53" t="s">
        <v>115</v>
      </c>
      <c r="K16" s="1">
        <f>COUNTIF($B$5:$H$93,J16)</f>
        <v>0</v>
      </c>
      <c r="L16" s="54">
        <f t="shared" si="2"/>
        <v>0</v>
      </c>
    </row>
    <row r="17" spans="1:12">
      <c r="A17" s="6" t="s">
        <v>27</v>
      </c>
      <c r="B17" s="9"/>
      <c r="C17" s="9"/>
      <c r="D17" s="9"/>
      <c r="E17" s="9"/>
      <c r="F17" s="9"/>
      <c r="G17" s="9"/>
      <c r="H17" s="9"/>
      <c r="J17" s="56" t="s">
        <v>120</v>
      </c>
      <c r="K17" s="1">
        <f>COUNTIF($B$5:$H$93,J17)</f>
        <v>3</v>
      </c>
      <c r="L17" s="54">
        <f t="shared" si="2"/>
        <v>0.375</v>
      </c>
    </row>
    <row r="18" spans="1:12">
      <c r="A18" s="6" t="s">
        <v>28</v>
      </c>
      <c r="B18" s="9"/>
      <c r="C18" s="9"/>
      <c r="D18" s="9"/>
      <c r="E18" s="9"/>
      <c r="F18" s="9"/>
      <c r="G18" s="9"/>
      <c r="H18" s="9"/>
      <c r="J18" s="7" t="s">
        <v>26</v>
      </c>
      <c r="K18" s="1">
        <f>SUM(K5:K17)</f>
        <v>8</v>
      </c>
    </row>
    <row r="19" spans="1:12">
      <c r="A19" s="6" t="s">
        <v>29</v>
      </c>
      <c r="B19" s="9"/>
      <c r="C19" s="9"/>
      <c r="D19" s="9"/>
      <c r="E19" s="9"/>
      <c r="F19" s="9"/>
      <c r="G19" s="9"/>
      <c r="H19" s="9"/>
      <c r="J19" s="7"/>
    </row>
    <row r="20" spans="1:12">
      <c r="A20" s="6" t="s">
        <v>30</v>
      </c>
      <c r="B20" s="9"/>
      <c r="C20" s="9"/>
      <c r="D20" s="9"/>
      <c r="E20" s="9"/>
      <c r="F20" s="9"/>
      <c r="G20" s="9"/>
      <c r="H20" s="9"/>
      <c r="J20" s="7"/>
    </row>
    <row r="21" spans="1:12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2">
      <c r="A22" s="6" t="s">
        <v>32</v>
      </c>
      <c r="B22" s="9"/>
      <c r="C22" s="9"/>
      <c r="D22" s="9"/>
      <c r="E22" s="9"/>
      <c r="F22" s="9"/>
      <c r="G22" s="9"/>
      <c r="H22" s="9"/>
      <c r="J22" s="7"/>
    </row>
    <row r="23" spans="1:12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2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2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2">
      <c r="A26" s="6" t="s">
        <v>36</v>
      </c>
      <c r="B26" s="9"/>
      <c r="C26" s="9"/>
      <c r="D26" s="9"/>
      <c r="E26" s="9"/>
      <c r="F26" s="9"/>
      <c r="G26" s="9"/>
      <c r="H26" s="9"/>
      <c r="J26" s="7"/>
    </row>
    <row r="27" spans="1:12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2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2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2">
      <c r="A30" s="6" t="s">
        <v>40</v>
      </c>
      <c r="B30" s="9"/>
      <c r="C30" s="9"/>
      <c r="D30" s="9"/>
      <c r="E30" s="9"/>
      <c r="F30" s="9"/>
      <c r="G30" s="9"/>
      <c r="H30" s="9"/>
    </row>
    <row r="31" spans="1:12">
      <c r="A31" s="6" t="s">
        <v>41</v>
      </c>
      <c r="B31" s="9"/>
      <c r="C31" s="9"/>
      <c r="D31" s="9"/>
      <c r="E31" s="9"/>
      <c r="F31" s="9"/>
      <c r="G31" s="9"/>
      <c r="H31" s="9"/>
    </row>
    <row r="32" spans="1:12">
      <c r="A32" s="6" t="s">
        <v>42</v>
      </c>
      <c r="B32" s="9"/>
      <c r="C32" s="9"/>
      <c r="D32" s="9"/>
      <c r="E32" s="9"/>
      <c r="F32" s="9"/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/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/>
      <c r="F35" s="9"/>
      <c r="G35" s="9"/>
      <c r="H35" s="9"/>
    </row>
    <row r="36" spans="1:8">
      <c r="A36" s="6" t="s">
        <v>46</v>
      </c>
      <c r="B36" s="9"/>
      <c r="C36" s="9"/>
      <c r="D36" s="9"/>
      <c r="E36" s="9"/>
      <c r="F36" s="9"/>
      <c r="G36" s="9"/>
      <c r="H36" s="9"/>
    </row>
    <row r="37" spans="1:8">
      <c r="A37" s="6" t="s">
        <v>47</v>
      </c>
      <c r="B37" s="9"/>
      <c r="C37" s="9"/>
      <c r="D37" s="9"/>
      <c r="E37" s="9"/>
      <c r="F37" s="9"/>
      <c r="G37" s="9"/>
      <c r="H37" s="9"/>
    </row>
    <row r="38" spans="1:8">
      <c r="A38" s="6" t="s">
        <v>48</v>
      </c>
      <c r="B38" s="9"/>
      <c r="C38" s="9"/>
      <c r="D38" s="9"/>
      <c r="E38" s="9"/>
      <c r="F38" s="9"/>
      <c r="G38" s="9"/>
      <c r="H38" s="9"/>
    </row>
    <row r="39" spans="1:8">
      <c r="A39" s="6" t="s">
        <v>49</v>
      </c>
      <c r="B39" s="9"/>
      <c r="C39" s="9"/>
      <c r="D39" s="9"/>
      <c r="E39" s="9"/>
      <c r="F39" s="9"/>
      <c r="G39" s="9"/>
      <c r="H39" s="9"/>
    </row>
    <row r="40" spans="1:8">
      <c r="A40" s="6" t="s">
        <v>50</v>
      </c>
      <c r="B40" s="9"/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 t="s">
        <v>5</v>
      </c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 t="s">
        <v>5</v>
      </c>
      <c r="G44" s="9"/>
      <c r="H44" s="9"/>
    </row>
    <row r="45" spans="1:8">
      <c r="A45" s="6" t="s">
        <v>55</v>
      </c>
      <c r="B45" s="9"/>
      <c r="C45" s="9"/>
      <c r="D45" s="9"/>
      <c r="E45" s="9"/>
      <c r="F45" s="9" t="s">
        <v>5</v>
      </c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/>
      <c r="C52" s="9"/>
      <c r="D52" s="9"/>
      <c r="E52" s="9"/>
      <c r="F52" s="9"/>
      <c r="G52" s="9"/>
      <c r="H52" s="9"/>
    </row>
    <row r="53" spans="1:8">
      <c r="A53" s="6" t="s">
        <v>63</v>
      </c>
      <c r="B53" s="9" t="s">
        <v>111</v>
      </c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/>
      <c r="D54" s="9"/>
      <c r="E54" s="9"/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/>
      <c r="F57" s="9"/>
      <c r="G57" s="9"/>
      <c r="H57" s="9"/>
    </row>
    <row r="58" spans="1:8">
      <c r="A58" s="6" t="s">
        <v>68</v>
      </c>
      <c r="B58" s="9"/>
      <c r="C58" s="9"/>
      <c r="D58" s="9"/>
      <c r="E58" s="9"/>
      <c r="F58" s="9"/>
      <c r="G58" s="9"/>
      <c r="H58" s="9"/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/>
      <c r="H61" s="9"/>
    </row>
    <row r="62" spans="1:8">
      <c r="A62" s="6" t="s">
        <v>72</v>
      </c>
      <c r="B62" s="9"/>
      <c r="C62" s="9"/>
      <c r="D62" s="9"/>
      <c r="E62" s="9"/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/>
      <c r="C75" s="9"/>
      <c r="D75" s="9"/>
      <c r="E75" s="9"/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/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111" priority="42" operator="containsText" text="Pulverização">
      <formula>NOT(ISERROR(SEARCH("Pulverização",B94)))</formula>
    </cfRule>
    <cfRule type="cellIs" dxfId="110" priority="43" operator="greaterThan">
      <formula>$J$5</formula>
    </cfRule>
    <cfRule type="containsText" dxfId="109" priority="44" operator="containsText" text="Cardã">
      <formula>NOT(ISERROR(SEARCH("Cardã",B94)))</formula>
    </cfRule>
    <cfRule type="containsText" dxfId="108" priority="45" operator="containsText" text="Pneu">
      <formula>NOT(ISERROR(SEARCH("Pneu",B94)))</formula>
    </cfRule>
    <cfRule type="containsText" dxfId="107" priority="46" operator="containsText" text="Vedação">
      <formula>NOT(ISERROR(SEARCH("Vedação",B94)))</formula>
    </cfRule>
    <cfRule type="containsText" dxfId="106" priority="47" operator="containsText" text="Retentor">
      <formula>NOT(ISERROR(SEARCH("Retentor",B94)))</formula>
    </cfRule>
    <cfRule type="containsText" dxfId="105" priority="48" operator="containsText" text="Motorredutor">
      <formula>NOT(ISERROR(SEARCH("Motorredutor",B94)))</formula>
    </cfRule>
    <cfRule type="containsText" dxfId="104" priority="49" operator="containsText" text="Redutor">
      <formula>NOT(ISERROR(SEARCH("Redutor",B94)))</formula>
    </cfRule>
    <cfRule type="containsText" dxfId="103" priority="50" operator="containsText" text="Bomba">
      <formula>NOT(ISERROR(SEARCH("Bomba",B94)))</formula>
    </cfRule>
  </conditionalFormatting>
  <conditionalFormatting sqref="A1:A1048576">
    <cfRule type="containsText" dxfId="102" priority="38" operator="containsText" text="Pivô">
      <formula>NOT(ISERROR(SEARCH("Pivô",A1)))</formula>
    </cfRule>
    <cfRule type="containsText" dxfId="101" priority="39" operator="containsText" text="Pivô">
      <formula>NOT(ISERROR(SEARCH("Pivô",A1)))</formula>
    </cfRule>
  </conditionalFormatting>
  <conditionalFormatting sqref="B5:H93">
    <cfRule type="containsText" dxfId="100" priority="23" operator="containsText" text="Pulverização">
      <formula>NOT(ISERROR(SEARCH("Pulverização",B5)))</formula>
    </cfRule>
    <cfRule type="cellIs" dxfId="99" priority="24" operator="greaterThan">
      <formula>$J$5</formula>
    </cfRule>
    <cfRule type="containsText" dxfId="98" priority="25" operator="containsText" text="Cardã">
      <formula>NOT(ISERROR(SEARCH("Cardã",B5)))</formula>
    </cfRule>
    <cfRule type="containsText" dxfId="97" priority="26" operator="containsText" text="Pneu">
      <formula>NOT(ISERROR(SEARCH("Pneu",B5)))</formula>
    </cfRule>
    <cfRule type="containsText" dxfId="96" priority="27" operator="containsText" text="Vedação">
      <formula>NOT(ISERROR(SEARCH("Vedação",B5)))</formula>
    </cfRule>
    <cfRule type="containsText" dxfId="95" priority="28" operator="containsText" text="Retentor">
      <formula>NOT(ISERROR(SEARCH("Retentor",B5)))</formula>
    </cfRule>
    <cfRule type="containsText" dxfId="94" priority="29" operator="containsText" text="Motorredutor">
      <formula>NOT(ISERROR(SEARCH("Motorredutor",B5)))</formula>
    </cfRule>
    <cfRule type="containsText" dxfId="93" priority="30" operator="containsText" text="Redutor">
      <formula>NOT(ISERROR(SEARCH("Redutor",B5)))</formula>
    </cfRule>
    <cfRule type="containsText" dxfId="92" priority="31" operator="containsText" text="Bomba">
      <formula>NOT(ISERROR(SEARCH("Bomba",B5)))</formula>
    </cfRule>
  </conditionalFormatting>
  <conditionalFormatting sqref="B5:H93">
    <cfRule type="containsText" dxfId="91" priority="1" operator="containsText" text="Desponte">
      <formula>NOT(ISERROR(SEARCH("Desponte",B5)))</formula>
    </cfRule>
  </conditionalFormatting>
  <dataValidations count="2">
    <dataValidation type="list" allowBlank="1" showInputMessage="1" showErrorMessage="1" sqref="B94:H95" xr:uid="{10556B69-9108-49FA-A1AF-1EF7197BD1BA}">
      <formula1>$J$5:$J$11</formula1>
    </dataValidation>
    <dataValidation type="list" allowBlank="1" showInputMessage="1" showErrorMessage="1" sqref="B5:H93" xr:uid="{EDFD7BCD-9539-4EBC-BF66-5606085122E4}">
      <formula1>$J$5:$J$17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75601A53-2173-42E3-BB75-C9D13B7C6D65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508B85CF-8467-4A11-B2DE-F41F0C7AF97E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" operator="containsText" id="{F250DEC5-67DA-46BA-92F9-8733D8E2B513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1" operator="containsText" id="{4FCC8559-4E46-46EA-9773-57282EEA9C55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51" operator="containsText" id="{DB6CF022-9720-4B65-9243-5554FE99DEE7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2" operator="containsText" id="{8BAA1E5C-FCC3-4326-A484-1F06F54C0820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3" operator="containsText" id="{BF14EA6E-30E7-4E1D-A91C-AF4152AB6769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4" operator="containsText" id="{959DA6AD-3241-4020-8623-4E575003E074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5" operator="containsText" id="{761540A2-E23D-4D61-834C-971D30210062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6" operator="containsText" id="{A9ADF513-BA7A-425E-BE12-41D400B3B6FB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40" operator="containsText" id="{D0CE29C8-E947-4865-9B0F-00517E4CC64A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21" operator="containsText" id="{EA29E4F1-8487-444F-8D5B-9CC711155AD9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5" operator="containsText" id="{8C3D76ED-16F6-4936-9663-3389B44AD249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22E23911-CA0D-4D35-A231-F302E3C6A6DC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7" operator="containsText" id="{C563576B-6A36-4BA0-A1C8-2F6F87C7B9B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8" operator="containsText" id="{2FD4DD30-3320-401E-8BAF-E10643986E2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9" operator="containsText" id="{C2267F5C-7AC8-457E-9F90-AE4415FC634B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1" operator="containsText" id="{D2A499F4-5FAE-4F09-B6BE-554F2A826BFB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AA1DBEF9-3AB5-410A-9E60-4F0F8D3199EC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3" operator="containsText" id="{CF530038-5C47-4660-997D-E1178819AD51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1147A981-B198-493C-8424-4043FAB62AB3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C90ED6A5-0F73-419B-8D95-F0E92D590A75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6" operator="containsText" id="{844511EF-5163-47FC-B247-BDFD171D9502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7" operator="containsText" id="{1165F5F0-0FBB-4DE1-B1D4-3105A155809E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8" operator="containsText" id="{44C906A2-886E-45BC-9A9A-FC159EA2D76E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9" operator="containsText" id="{29BF4516-FAFF-476A-93A4-2D4A9FA9B4BA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0" operator="containsText" id="{93D1D835-2583-49DA-AF05-3194115D1BD7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2" operator="containsText" id="{42D27E3A-E506-4804-8EA2-46F5A53B3EDF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2" operator="containsText" id="{7B5F0C32-4B16-4393-89FE-879C61F73350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3" operator="containsText" id="{12CC9AFA-FA3D-4A5B-BB0B-31A59058BD85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4" operator="containsText" id="{C5D517A5-F3F1-44EB-B7DD-5193D59292F3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5" operator="containsText" id="{ED551395-550A-48BB-8564-79A912459C1C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6" operator="containsText" id="{961CBC0F-5E78-496D-8638-729D0FE3B62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7" operator="containsText" id="{6117C26F-ACB8-4766-9AC2-F5D98075A41E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CE7CBD77-986C-45AF-AB9B-C07441F89928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26BA-B9FC-4459-88B9-07BC881976DC}">
  <sheetPr>
    <tabColor rgb="FF92D050"/>
    <pageSetUpPr fitToPage="1"/>
  </sheetPr>
  <dimension ref="A1:P93"/>
  <sheetViews>
    <sheetView showGridLines="0" topLeftCell="F1" zoomScaleNormal="100" workbookViewId="0">
      <pane ySplit="4" topLeftCell="A5" activePane="bottomLeft" state="frozen"/>
      <selection pane="bottomLeft" activeCell="K5" sqref="K5:K17"/>
    </sheetView>
  </sheetViews>
  <sheetFormatPr defaultRowHeight="15"/>
  <cols>
    <col min="2" max="8" width="17.42578125" customWidth="1"/>
    <col min="10" max="10" width="15.85546875" bestFit="1" customWidth="1"/>
    <col min="11" max="11" width="9" customWidth="1"/>
  </cols>
  <sheetData>
    <row r="1" spans="1:16">
      <c r="A1" s="58" t="s">
        <v>126</v>
      </c>
      <c r="B1" s="58"/>
      <c r="C1" s="58"/>
      <c r="D1" s="58"/>
      <c r="E1" s="58"/>
      <c r="F1" s="58"/>
      <c r="G1" s="58"/>
      <c r="H1" s="58"/>
    </row>
    <row r="2" spans="1:16">
      <c r="A2" s="58"/>
      <c r="B2" s="58"/>
      <c r="C2" s="58"/>
      <c r="D2" s="58"/>
      <c r="E2" s="58"/>
      <c r="F2" s="58"/>
      <c r="G2" s="58"/>
      <c r="H2" s="58"/>
    </row>
    <row r="3" spans="1:16" ht="15.75">
      <c r="A3" s="10" t="s">
        <v>1</v>
      </c>
      <c r="B3" s="11">
        <v>44746</v>
      </c>
      <c r="C3" s="11">
        <f t="shared" ref="C3:H3" si="0">B3+1</f>
        <v>44747</v>
      </c>
      <c r="D3" s="11">
        <f t="shared" si="0"/>
        <v>44748</v>
      </c>
      <c r="E3" s="11">
        <f t="shared" si="0"/>
        <v>44749</v>
      </c>
      <c r="F3" s="11">
        <f t="shared" si="0"/>
        <v>44750</v>
      </c>
      <c r="G3" s="11">
        <f t="shared" si="0"/>
        <v>44751</v>
      </c>
      <c r="H3" s="12">
        <f t="shared" si="0"/>
        <v>44752</v>
      </c>
      <c r="K3" s="2"/>
    </row>
    <row r="4" spans="1:16" ht="15.75">
      <c r="A4" s="13" t="s">
        <v>2</v>
      </c>
      <c r="B4" s="14" t="str">
        <f>TEXT(B3,"ddd")</f>
        <v>seg</v>
      </c>
      <c r="C4" s="14" t="str">
        <f t="shared" ref="C4:H4" si="1">TEXT(C3,"ddd")</f>
        <v>ter</v>
      </c>
      <c r="D4" s="14" t="str">
        <f t="shared" si="1"/>
        <v>qua</v>
      </c>
      <c r="E4" s="14" t="str">
        <f t="shared" si="1"/>
        <v>qui</v>
      </c>
      <c r="F4" s="14" t="str">
        <f t="shared" si="1"/>
        <v>sex</v>
      </c>
      <c r="G4" s="14" t="str">
        <f t="shared" si="1"/>
        <v>sáb</v>
      </c>
      <c r="H4" s="15" t="str">
        <f t="shared" si="1"/>
        <v>dom</v>
      </c>
      <c r="J4" s="2" t="s">
        <v>3</v>
      </c>
      <c r="K4" s="2"/>
    </row>
    <row r="5" spans="1:16">
      <c r="A5" s="4" t="s">
        <v>4</v>
      </c>
      <c r="B5" s="8"/>
      <c r="C5" s="8"/>
      <c r="D5" s="8"/>
      <c r="E5" s="8"/>
      <c r="F5" s="8"/>
      <c r="G5" s="8"/>
      <c r="H5" s="8"/>
      <c r="J5" s="20" t="s">
        <v>5</v>
      </c>
      <c r="K5" s="1">
        <f>COUNTIF($B$5:$H$93,J5)</f>
        <v>1</v>
      </c>
      <c r="L5" s="54">
        <f t="shared" ref="L5:L17" si="2">K5/$K$18</f>
        <v>0.2</v>
      </c>
    </row>
    <row r="6" spans="1:16">
      <c r="A6" s="6" t="s">
        <v>6</v>
      </c>
      <c r="B6" s="9"/>
      <c r="C6" s="9"/>
      <c r="D6" s="9"/>
      <c r="E6" s="9"/>
      <c r="F6" s="9"/>
      <c r="G6" s="9"/>
      <c r="H6" s="9"/>
      <c r="J6" s="21" t="s">
        <v>7</v>
      </c>
      <c r="K6" s="1">
        <f t="shared" ref="K6:K13" si="3">COUNTIF($B$5:$H$93,J6)</f>
        <v>0</v>
      </c>
      <c r="L6" s="54">
        <f t="shared" si="2"/>
        <v>0</v>
      </c>
    </row>
    <row r="7" spans="1:16">
      <c r="A7" s="6" t="s">
        <v>8</v>
      </c>
      <c r="B7" s="9"/>
      <c r="C7" s="9" t="s">
        <v>11</v>
      </c>
      <c r="D7" s="9"/>
      <c r="E7" s="9"/>
      <c r="F7" s="9"/>
      <c r="G7" s="9"/>
      <c r="H7" s="9"/>
      <c r="J7" s="22" t="s">
        <v>111</v>
      </c>
      <c r="K7" s="1">
        <f t="shared" si="3"/>
        <v>0</v>
      </c>
      <c r="L7" s="54">
        <f t="shared" si="2"/>
        <v>0</v>
      </c>
    </row>
    <row r="8" spans="1:16">
      <c r="A8" s="6" t="s">
        <v>10</v>
      </c>
      <c r="B8" s="9"/>
      <c r="C8" s="9"/>
      <c r="D8" s="9"/>
      <c r="E8" s="9"/>
      <c r="F8" s="9"/>
      <c r="G8" s="9"/>
      <c r="H8" s="9"/>
      <c r="J8" s="23" t="s">
        <v>11</v>
      </c>
      <c r="K8" s="1">
        <f>COUNTIF($B$5:$H$93,J8)</f>
        <v>1</v>
      </c>
      <c r="L8" s="54">
        <f t="shared" si="2"/>
        <v>0.2</v>
      </c>
    </row>
    <row r="9" spans="1:16">
      <c r="A9" s="6" t="s">
        <v>12</v>
      </c>
      <c r="B9" s="9"/>
      <c r="C9" s="9"/>
      <c r="D9" s="9"/>
      <c r="E9" s="9"/>
      <c r="F9" s="9"/>
      <c r="G9" s="9"/>
      <c r="H9" s="9"/>
      <c r="J9" s="24" t="s">
        <v>13</v>
      </c>
      <c r="K9" s="1">
        <f>COUNTIF($B$5:$H$93,J9)</f>
        <v>0</v>
      </c>
      <c r="L9" s="54">
        <f t="shared" si="2"/>
        <v>0</v>
      </c>
      <c r="P9" s="3"/>
    </row>
    <row r="10" spans="1:16">
      <c r="A10" s="6" t="s">
        <v>14</v>
      </c>
      <c r="B10" s="9"/>
      <c r="C10" s="9"/>
      <c r="D10" s="9"/>
      <c r="E10" s="9"/>
      <c r="F10" s="9"/>
      <c r="G10" s="9"/>
      <c r="H10" s="9"/>
      <c r="J10" s="25" t="s">
        <v>105</v>
      </c>
      <c r="K10" s="1">
        <f t="shared" si="3"/>
        <v>0</v>
      </c>
      <c r="L10" s="54">
        <f t="shared" si="2"/>
        <v>0</v>
      </c>
    </row>
    <row r="11" spans="1:16">
      <c r="A11" s="6" t="s">
        <v>16</v>
      </c>
      <c r="B11" s="9" t="s">
        <v>23</v>
      </c>
      <c r="C11" s="9"/>
      <c r="D11" s="9"/>
      <c r="E11" s="9"/>
      <c r="F11" s="9"/>
      <c r="G11" s="9"/>
      <c r="H11" s="9"/>
      <c r="J11" s="26" t="s">
        <v>17</v>
      </c>
      <c r="K11" s="1">
        <f t="shared" si="3"/>
        <v>1</v>
      </c>
      <c r="L11" s="54">
        <f t="shared" si="2"/>
        <v>0.2</v>
      </c>
    </row>
    <row r="12" spans="1:16">
      <c r="A12" s="6" t="s">
        <v>18</v>
      </c>
      <c r="B12" s="9"/>
      <c r="C12" s="9"/>
      <c r="D12" s="9"/>
      <c r="E12" s="9"/>
      <c r="F12" s="9"/>
      <c r="G12" s="9"/>
      <c r="H12" s="9"/>
      <c r="J12" s="27" t="s">
        <v>107</v>
      </c>
      <c r="K12" s="1">
        <f t="shared" si="3"/>
        <v>0</v>
      </c>
      <c r="L12" s="54">
        <f t="shared" si="2"/>
        <v>0</v>
      </c>
    </row>
    <row r="13" spans="1:16">
      <c r="A13" s="6" t="s">
        <v>20</v>
      </c>
      <c r="B13" s="9" t="s">
        <v>120</v>
      </c>
      <c r="C13" s="9"/>
      <c r="D13" s="9"/>
      <c r="E13" s="9"/>
      <c r="F13" s="9"/>
      <c r="G13" s="9"/>
      <c r="H13" s="9"/>
      <c r="J13" s="28" t="s">
        <v>21</v>
      </c>
      <c r="K13" s="1">
        <f t="shared" si="3"/>
        <v>0</v>
      </c>
      <c r="L13" s="54">
        <f t="shared" si="2"/>
        <v>0</v>
      </c>
    </row>
    <row r="14" spans="1:16">
      <c r="A14" s="6" t="s">
        <v>22</v>
      </c>
      <c r="B14" s="9"/>
      <c r="C14" s="9" t="s">
        <v>17</v>
      </c>
      <c r="D14" s="9"/>
      <c r="E14" s="9"/>
      <c r="F14" s="9"/>
      <c r="G14" s="9"/>
      <c r="H14" s="9"/>
      <c r="J14" s="39" t="s">
        <v>23</v>
      </c>
      <c r="K14" s="1">
        <f>COUNTIF($B$5:$H$93,J14)</f>
        <v>1</v>
      </c>
      <c r="L14" s="54">
        <f t="shared" si="2"/>
        <v>0.2</v>
      </c>
    </row>
    <row r="15" spans="1:16">
      <c r="A15" s="6" t="s">
        <v>24</v>
      </c>
      <c r="B15" s="9"/>
      <c r="C15" s="9"/>
      <c r="D15" s="9"/>
      <c r="E15" s="9"/>
      <c r="F15" s="9"/>
      <c r="G15" s="9"/>
      <c r="H15" s="9"/>
      <c r="J15" s="47" t="s">
        <v>108</v>
      </c>
      <c r="K15" s="1">
        <f>COUNTIF($B$5:$H$93,J15)</f>
        <v>0</v>
      </c>
      <c r="L15" s="54">
        <f t="shared" si="2"/>
        <v>0</v>
      </c>
    </row>
    <row r="16" spans="1:16">
      <c r="A16" s="6" t="s">
        <v>25</v>
      </c>
      <c r="B16" s="9"/>
      <c r="C16" s="9"/>
      <c r="D16" s="9"/>
      <c r="E16" s="9"/>
      <c r="F16" s="9"/>
      <c r="G16" s="9"/>
      <c r="H16" s="9"/>
      <c r="J16" s="53" t="s">
        <v>115</v>
      </c>
      <c r="K16" s="1">
        <f>COUNTIF($B$5:$H$93,J16)</f>
        <v>0</v>
      </c>
      <c r="L16" s="54">
        <f t="shared" si="2"/>
        <v>0</v>
      </c>
    </row>
    <row r="17" spans="1:12">
      <c r="A17" s="6" t="s">
        <v>27</v>
      </c>
      <c r="B17" s="9"/>
      <c r="C17" s="9"/>
      <c r="D17" s="9"/>
      <c r="E17" s="9"/>
      <c r="F17" s="9"/>
      <c r="G17" s="9"/>
      <c r="H17" s="9"/>
      <c r="J17" s="56" t="s">
        <v>120</v>
      </c>
      <c r="K17" s="1">
        <f>COUNTIF($B$5:$H$93,J17)</f>
        <v>1</v>
      </c>
      <c r="L17" s="54">
        <f t="shared" si="2"/>
        <v>0.2</v>
      </c>
    </row>
    <row r="18" spans="1:12">
      <c r="A18" s="6" t="s">
        <v>28</v>
      </c>
      <c r="B18" s="9"/>
      <c r="C18" s="9"/>
      <c r="D18" s="9"/>
      <c r="E18" s="9"/>
      <c r="F18" s="9"/>
      <c r="G18" s="9"/>
      <c r="H18" s="9"/>
      <c r="J18" s="7" t="s">
        <v>26</v>
      </c>
      <c r="K18" s="1">
        <f>SUM(K5:K17)</f>
        <v>5</v>
      </c>
    </row>
    <row r="19" spans="1:12">
      <c r="A19" s="6" t="s">
        <v>29</v>
      </c>
      <c r="B19" s="9"/>
      <c r="C19" s="9" t="s">
        <v>5</v>
      </c>
      <c r="D19" s="9"/>
      <c r="E19" s="9"/>
      <c r="F19" s="9"/>
      <c r="G19" s="9"/>
      <c r="H19" s="9"/>
      <c r="J19" s="7"/>
    </row>
    <row r="20" spans="1:12">
      <c r="A20" s="6" t="s">
        <v>30</v>
      </c>
      <c r="B20" s="9"/>
      <c r="C20" s="9"/>
      <c r="D20" s="9"/>
      <c r="E20" s="9"/>
      <c r="F20" s="9"/>
      <c r="G20" s="9"/>
      <c r="H20" s="9"/>
      <c r="J20" s="7"/>
    </row>
    <row r="21" spans="1:12">
      <c r="A21" s="6" t="s">
        <v>31</v>
      </c>
      <c r="B21" s="9"/>
      <c r="C21" s="9"/>
      <c r="D21" s="9"/>
      <c r="E21" s="9"/>
      <c r="F21" s="9"/>
      <c r="G21" s="9"/>
      <c r="H21" s="9"/>
      <c r="J21" s="7"/>
    </row>
    <row r="22" spans="1:12">
      <c r="A22" s="6" t="s">
        <v>32</v>
      </c>
      <c r="B22" s="9"/>
      <c r="C22" s="9"/>
      <c r="D22" s="9"/>
      <c r="E22" s="9"/>
      <c r="F22" s="9"/>
      <c r="G22" s="9"/>
      <c r="H22" s="9"/>
      <c r="J22" s="7"/>
    </row>
    <row r="23" spans="1:12">
      <c r="A23" s="6" t="s">
        <v>33</v>
      </c>
      <c r="B23" s="9"/>
      <c r="C23" s="9"/>
      <c r="D23" s="9"/>
      <c r="E23" s="9"/>
      <c r="F23" s="9"/>
      <c r="G23" s="9"/>
      <c r="H23" s="9"/>
      <c r="J23" s="7"/>
    </row>
    <row r="24" spans="1:12">
      <c r="A24" s="6" t="s">
        <v>34</v>
      </c>
      <c r="B24" s="9"/>
      <c r="C24" s="9"/>
      <c r="D24" s="9"/>
      <c r="E24" s="9"/>
      <c r="F24" s="9"/>
      <c r="G24" s="9"/>
      <c r="H24" s="9"/>
      <c r="J24" s="7"/>
    </row>
    <row r="25" spans="1:12">
      <c r="A25" s="6" t="s">
        <v>35</v>
      </c>
      <c r="B25" s="9"/>
      <c r="C25" s="9"/>
      <c r="D25" s="9"/>
      <c r="E25" s="9"/>
      <c r="F25" s="9"/>
      <c r="G25" s="9"/>
      <c r="H25" s="9"/>
      <c r="J25" s="7"/>
    </row>
    <row r="26" spans="1:12">
      <c r="A26" s="6" t="s">
        <v>36</v>
      </c>
      <c r="B26" s="9"/>
      <c r="C26" s="9"/>
      <c r="D26" s="9"/>
      <c r="E26" s="9"/>
      <c r="F26" s="9"/>
      <c r="G26" s="9"/>
      <c r="H26" s="9"/>
      <c r="J26" s="7"/>
    </row>
    <row r="27" spans="1:12">
      <c r="A27" s="6" t="s">
        <v>37</v>
      </c>
      <c r="B27" s="9"/>
      <c r="C27" s="9"/>
      <c r="D27" s="9"/>
      <c r="E27" s="9"/>
      <c r="F27" s="9"/>
      <c r="G27" s="9"/>
      <c r="H27" s="9"/>
      <c r="J27" s="7"/>
    </row>
    <row r="28" spans="1:12">
      <c r="A28" s="6" t="s">
        <v>38</v>
      </c>
      <c r="B28" s="9"/>
      <c r="C28" s="9"/>
      <c r="D28" s="9"/>
      <c r="E28" s="9"/>
      <c r="F28" s="9"/>
      <c r="G28" s="9"/>
      <c r="H28" s="9"/>
      <c r="J28" s="7"/>
    </row>
    <row r="29" spans="1:12">
      <c r="A29" s="6" t="s">
        <v>39</v>
      </c>
      <c r="B29" s="9"/>
      <c r="C29" s="9"/>
      <c r="D29" s="9"/>
      <c r="E29" s="9"/>
      <c r="F29" s="9"/>
      <c r="G29" s="9"/>
      <c r="H29" s="9"/>
      <c r="J29" s="7"/>
    </row>
    <row r="30" spans="1:12">
      <c r="A30" s="6" t="s">
        <v>40</v>
      </c>
      <c r="B30" s="9"/>
      <c r="C30" s="9"/>
      <c r="D30" s="9"/>
      <c r="E30" s="9"/>
      <c r="F30" s="9"/>
      <c r="G30" s="9"/>
      <c r="H30" s="9"/>
    </row>
    <row r="31" spans="1:12">
      <c r="A31" s="6" t="s">
        <v>41</v>
      </c>
      <c r="B31" s="9"/>
      <c r="C31" s="9"/>
      <c r="D31" s="9"/>
      <c r="E31" s="9"/>
      <c r="F31" s="9"/>
      <c r="G31" s="9"/>
      <c r="H31" s="9"/>
    </row>
    <row r="32" spans="1:12">
      <c r="A32" s="6" t="s">
        <v>42</v>
      </c>
      <c r="B32" s="9"/>
      <c r="C32" s="9"/>
      <c r="D32" s="9"/>
      <c r="E32" s="9"/>
      <c r="F32" s="9"/>
      <c r="G32" s="9"/>
      <c r="H32" s="9"/>
    </row>
    <row r="33" spans="1:8">
      <c r="A33" s="6" t="s">
        <v>43</v>
      </c>
      <c r="B33" s="9"/>
      <c r="C33" s="9"/>
      <c r="D33" s="9"/>
      <c r="E33" s="9"/>
      <c r="F33" s="9"/>
      <c r="G33" s="9"/>
      <c r="H33" s="9"/>
    </row>
    <row r="34" spans="1:8">
      <c r="A34" s="6" t="s">
        <v>44</v>
      </c>
      <c r="B34" s="9"/>
      <c r="C34" s="9"/>
      <c r="D34" s="9"/>
      <c r="E34" s="9"/>
      <c r="F34" s="9"/>
      <c r="G34" s="9"/>
      <c r="H34" s="9"/>
    </row>
    <row r="35" spans="1:8">
      <c r="A35" s="6" t="s">
        <v>45</v>
      </c>
      <c r="B35" s="9"/>
      <c r="C35" s="9"/>
      <c r="D35" s="9"/>
      <c r="E35" s="9"/>
      <c r="F35" s="9"/>
      <c r="G35" s="9"/>
      <c r="H35" s="9"/>
    </row>
    <row r="36" spans="1:8">
      <c r="A36" s="6" t="s">
        <v>46</v>
      </c>
      <c r="B36" s="9"/>
      <c r="C36" s="9"/>
      <c r="D36" s="9"/>
      <c r="E36" s="9"/>
      <c r="F36" s="9"/>
      <c r="G36" s="9"/>
      <c r="H36" s="9"/>
    </row>
    <row r="37" spans="1:8">
      <c r="A37" s="6" t="s">
        <v>47</v>
      </c>
      <c r="B37" s="9"/>
      <c r="C37" s="9"/>
      <c r="D37" s="9"/>
      <c r="E37" s="9"/>
      <c r="F37" s="9"/>
      <c r="G37" s="9"/>
      <c r="H37" s="9"/>
    </row>
    <row r="38" spans="1:8">
      <c r="A38" s="6" t="s">
        <v>48</v>
      </c>
      <c r="B38" s="9"/>
      <c r="C38" s="9"/>
      <c r="D38" s="9"/>
      <c r="E38" s="9"/>
      <c r="F38" s="9"/>
      <c r="G38" s="9"/>
      <c r="H38" s="9"/>
    </row>
    <row r="39" spans="1:8">
      <c r="A39" s="6" t="s">
        <v>49</v>
      </c>
      <c r="B39" s="9"/>
      <c r="C39" s="9"/>
      <c r="D39" s="9"/>
      <c r="E39" s="9"/>
      <c r="F39" s="9"/>
      <c r="G39" s="9"/>
      <c r="H39" s="9"/>
    </row>
    <row r="40" spans="1:8">
      <c r="A40" s="6" t="s">
        <v>50</v>
      </c>
      <c r="B40" s="9"/>
      <c r="C40" s="9"/>
      <c r="D40" s="9"/>
      <c r="E40" s="9"/>
      <c r="F40" s="9"/>
      <c r="G40" s="9"/>
      <c r="H40" s="9"/>
    </row>
    <row r="41" spans="1:8">
      <c r="A41" s="6" t="s">
        <v>51</v>
      </c>
      <c r="B41" s="9"/>
      <c r="C41" s="9"/>
      <c r="D41" s="9"/>
      <c r="E41" s="9"/>
      <c r="F41" s="9"/>
      <c r="G41" s="9"/>
      <c r="H41" s="9"/>
    </row>
    <row r="42" spans="1:8">
      <c r="A42" s="6" t="s">
        <v>52</v>
      </c>
      <c r="B42" s="9"/>
      <c r="C42" s="9"/>
      <c r="D42" s="9"/>
      <c r="E42" s="9"/>
      <c r="F42" s="9"/>
      <c r="G42" s="9"/>
      <c r="H42" s="9"/>
    </row>
    <row r="43" spans="1:8">
      <c r="A43" s="6" t="s">
        <v>53</v>
      </c>
      <c r="B43" s="9"/>
      <c r="C43" s="9"/>
      <c r="D43" s="9"/>
      <c r="E43" s="9"/>
      <c r="F43" s="9"/>
      <c r="G43" s="9"/>
      <c r="H43" s="9"/>
    </row>
    <row r="44" spans="1:8">
      <c r="A44" s="6" t="s">
        <v>54</v>
      </c>
      <c r="B44" s="9"/>
      <c r="C44" s="9"/>
      <c r="D44" s="9"/>
      <c r="E44" s="9"/>
      <c r="F44" s="9"/>
      <c r="G44" s="9"/>
      <c r="H44" s="9"/>
    </row>
    <row r="45" spans="1:8">
      <c r="A45" s="6" t="s">
        <v>55</v>
      </c>
      <c r="B45" s="9"/>
      <c r="C45" s="9"/>
      <c r="D45" s="9"/>
      <c r="E45" s="9"/>
      <c r="F45" s="9"/>
      <c r="G45" s="9"/>
      <c r="H45" s="9"/>
    </row>
    <row r="46" spans="1:8">
      <c r="A46" s="6" t="s">
        <v>56</v>
      </c>
      <c r="B46" s="9"/>
      <c r="C46" s="9"/>
      <c r="D46" s="9"/>
      <c r="E46" s="9"/>
      <c r="F46" s="9"/>
      <c r="G46" s="9"/>
      <c r="H46" s="9"/>
    </row>
    <row r="47" spans="1:8">
      <c r="A47" s="6" t="s">
        <v>57</v>
      </c>
      <c r="B47" s="9"/>
      <c r="C47" s="9"/>
      <c r="D47" s="9"/>
      <c r="E47" s="9"/>
      <c r="F47" s="9"/>
      <c r="G47" s="9"/>
      <c r="H47" s="9"/>
    </row>
    <row r="48" spans="1:8">
      <c r="A48" s="6" t="s">
        <v>58</v>
      </c>
      <c r="B48" s="9"/>
      <c r="C48" s="9"/>
      <c r="D48" s="9"/>
      <c r="E48" s="9"/>
      <c r="F48" s="9"/>
      <c r="G48" s="9"/>
      <c r="H48" s="9"/>
    </row>
    <row r="49" spans="1:8">
      <c r="A49" s="6" t="s">
        <v>59</v>
      </c>
      <c r="B49" s="9"/>
      <c r="C49" s="9"/>
      <c r="D49" s="9"/>
      <c r="E49" s="9"/>
      <c r="F49" s="9"/>
      <c r="G49" s="9"/>
      <c r="H49" s="9"/>
    </row>
    <row r="50" spans="1:8">
      <c r="A50" s="6" t="s">
        <v>60</v>
      </c>
      <c r="B50" s="9"/>
      <c r="C50" s="9"/>
      <c r="D50" s="9"/>
      <c r="E50" s="9"/>
      <c r="F50" s="9"/>
      <c r="G50" s="9"/>
      <c r="H50" s="9"/>
    </row>
    <row r="51" spans="1:8">
      <c r="A51" s="6" t="s">
        <v>61</v>
      </c>
      <c r="B51" s="9"/>
      <c r="C51" s="9"/>
      <c r="D51" s="9"/>
      <c r="E51" s="9"/>
      <c r="F51" s="9"/>
      <c r="G51" s="9"/>
      <c r="H51" s="9"/>
    </row>
    <row r="52" spans="1:8">
      <c r="A52" s="6" t="s">
        <v>62</v>
      </c>
      <c r="B52" s="9"/>
      <c r="C52" s="9"/>
      <c r="D52" s="9"/>
      <c r="E52" s="9"/>
      <c r="F52" s="9"/>
      <c r="G52" s="9"/>
      <c r="H52" s="9"/>
    </row>
    <row r="53" spans="1:8">
      <c r="A53" s="6" t="s">
        <v>63</v>
      </c>
      <c r="B53" s="9"/>
      <c r="C53" s="9"/>
      <c r="D53" s="9"/>
      <c r="E53" s="9"/>
      <c r="F53" s="9"/>
      <c r="G53" s="9"/>
      <c r="H53" s="9"/>
    </row>
    <row r="54" spans="1:8">
      <c r="A54" s="6" t="s">
        <v>64</v>
      </c>
      <c r="B54" s="9"/>
      <c r="C54" s="9"/>
      <c r="D54" s="9"/>
      <c r="E54" s="9"/>
      <c r="F54" s="9"/>
      <c r="G54" s="9"/>
      <c r="H54" s="9"/>
    </row>
    <row r="55" spans="1:8">
      <c r="A55" s="6" t="s">
        <v>65</v>
      </c>
      <c r="B55" s="9"/>
      <c r="C55" s="9"/>
      <c r="D55" s="9"/>
      <c r="E55" s="9"/>
      <c r="F55" s="9"/>
      <c r="G55" s="9"/>
      <c r="H55" s="9"/>
    </row>
    <row r="56" spans="1:8">
      <c r="A56" s="6" t="s">
        <v>66</v>
      </c>
      <c r="B56" s="9"/>
      <c r="C56" s="9"/>
      <c r="D56" s="9"/>
      <c r="E56" s="9"/>
      <c r="F56" s="9"/>
      <c r="G56" s="9"/>
      <c r="H56" s="9"/>
    </row>
    <row r="57" spans="1:8">
      <c r="A57" s="6" t="s">
        <v>67</v>
      </c>
      <c r="B57" s="9"/>
      <c r="C57" s="9"/>
      <c r="D57" s="9"/>
      <c r="E57" s="9"/>
      <c r="F57" s="9"/>
      <c r="G57" s="9"/>
      <c r="H57" s="9"/>
    </row>
    <row r="58" spans="1:8">
      <c r="A58" s="6" t="s">
        <v>68</v>
      </c>
      <c r="B58" s="9"/>
      <c r="C58" s="9"/>
      <c r="D58" s="9"/>
      <c r="E58" s="9"/>
      <c r="F58" s="9"/>
      <c r="G58" s="9"/>
      <c r="H58" s="9"/>
    </row>
    <row r="59" spans="1:8">
      <c r="A59" s="6" t="s">
        <v>69</v>
      </c>
      <c r="B59" s="9"/>
      <c r="C59" s="9"/>
      <c r="D59" s="9"/>
      <c r="E59" s="9"/>
      <c r="F59" s="9"/>
      <c r="G59" s="9"/>
      <c r="H59" s="9"/>
    </row>
    <row r="60" spans="1:8">
      <c r="A60" s="6" t="s">
        <v>70</v>
      </c>
      <c r="B60" s="9"/>
      <c r="C60" s="9"/>
      <c r="D60" s="9"/>
      <c r="E60" s="9"/>
      <c r="F60" s="9"/>
      <c r="G60" s="9"/>
      <c r="H60" s="9"/>
    </row>
    <row r="61" spans="1:8">
      <c r="A61" s="6" t="s">
        <v>71</v>
      </c>
      <c r="B61" s="9"/>
      <c r="C61" s="9"/>
      <c r="D61" s="9"/>
      <c r="E61" s="9"/>
      <c r="F61" s="9"/>
      <c r="G61" s="9"/>
      <c r="H61" s="9"/>
    </row>
    <row r="62" spans="1:8">
      <c r="A62" s="6" t="s">
        <v>72</v>
      </c>
      <c r="B62" s="9"/>
      <c r="C62" s="9"/>
      <c r="D62" s="9"/>
      <c r="E62" s="9"/>
      <c r="F62" s="9"/>
      <c r="G62" s="9"/>
      <c r="H62" s="9"/>
    </row>
    <row r="63" spans="1:8">
      <c r="A63" s="6" t="s">
        <v>73</v>
      </c>
      <c r="B63" s="9"/>
      <c r="C63" s="9"/>
      <c r="D63" s="9"/>
      <c r="E63" s="9"/>
      <c r="F63" s="9"/>
      <c r="G63" s="9"/>
      <c r="H63" s="9"/>
    </row>
    <row r="64" spans="1:8">
      <c r="A64" s="6" t="s">
        <v>74</v>
      </c>
      <c r="B64" s="9"/>
      <c r="C64" s="9"/>
      <c r="D64" s="9"/>
      <c r="E64" s="9"/>
      <c r="F64" s="9"/>
      <c r="G64" s="9"/>
      <c r="H64" s="9"/>
    </row>
    <row r="65" spans="1:8">
      <c r="A65" s="6" t="s">
        <v>75</v>
      </c>
      <c r="B65" s="9"/>
      <c r="C65" s="9"/>
      <c r="D65" s="9"/>
      <c r="E65" s="9"/>
      <c r="F65" s="9"/>
      <c r="G65" s="9"/>
      <c r="H65" s="9"/>
    </row>
    <row r="66" spans="1:8">
      <c r="A66" s="6" t="s">
        <v>76</v>
      </c>
      <c r="B66" s="9"/>
      <c r="C66" s="9"/>
      <c r="D66" s="9"/>
      <c r="E66" s="9"/>
      <c r="F66" s="9"/>
      <c r="G66" s="9"/>
      <c r="H66" s="9"/>
    </row>
    <row r="67" spans="1:8">
      <c r="A67" s="6" t="s">
        <v>77</v>
      </c>
      <c r="B67" s="9"/>
      <c r="C67" s="9"/>
      <c r="D67" s="9"/>
      <c r="E67" s="9"/>
      <c r="F67" s="9"/>
      <c r="G67" s="9"/>
      <c r="H67" s="9"/>
    </row>
    <row r="68" spans="1:8">
      <c r="A68" s="6" t="s">
        <v>78</v>
      </c>
      <c r="B68" s="9"/>
      <c r="C68" s="9"/>
      <c r="D68" s="9"/>
      <c r="E68" s="9"/>
      <c r="F68" s="9"/>
      <c r="G68" s="9"/>
      <c r="H68" s="9"/>
    </row>
    <row r="69" spans="1:8">
      <c r="A69" s="6" t="s">
        <v>79</v>
      </c>
      <c r="B69" s="9"/>
      <c r="C69" s="9"/>
      <c r="D69" s="9"/>
      <c r="E69" s="9"/>
      <c r="F69" s="9"/>
      <c r="G69" s="9"/>
      <c r="H69" s="9"/>
    </row>
    <row r="70" spans="1:8">
      <c r="A70" s="6" t="s">
        <v>80</v>
      </c>
      <c r="B70" s="9"/>
      <c r="C70" s="9"/>
      <c r="D70" s="9"/>
      <c r="E70" s="9"/>
      <c r="F70" s="9"/>
      <c r="G70" s="9"/>
      <c r="H70" s="9"/>
    </row>
    <row r="71" spans="1:8">
      <c r="A71" s="6" t="s">
        <v>81</v>
      </c>
      <c r="B71" s="9"/>
      <c r="C71" s="9"/>
      <c r="D71" s="9"/>
      <c r="E71" s="9"/>
      <c r="F71" s="9"/>
      <c r="G71" s="9"/>
      <c r="H71" s="9"/>
    </row>
    <row r="72" spans="1:8">
      <c r="A72" s="6" t="s">
        <v>82</v>
      </c>
      <c r="B72" s="9"/>
      <c r="C72" s="9"/>
      <c r="D72" s="9"/>
      <c r="E72" s="9"/>
      <c r="F72" s="9"/>
      <c r="G72" s="9"/>
      <c r="H72" s="9"/>
    </row>
    <row r="73" spans="1:8">
      <c r="A73" s="6" t="s">
        <v>83</v>
      </c>
      <c r="B73" s="9"/>
      <c r="C73" s="9"/>
      <c r="D73" s="9"/>
      <c r="E73" s="9"/>
      <c r="F73" s="9"/>
      <c r="G73" s="9"/>
      <c r="H73" s="9"/>
    </row>
    <row r="74" spans="1:8">
      <c r="A74" s="6" t="s">
        <v>84</v>
      </c>
      <c r="B74" s="9"/>
      <c r="C74" s="9"/>
      <c r="D74" s="9"/>
      <c r="E74" s="9"/>
      <c r="F74" s="9"/>
      <c r="G74" s="9"/>
      <c r="H74" s="9"/>
    </row>
    <row r="75" spans="1:8">
      <c r="A75" s="6" t="s">
        <v>85</v>
      </c>
      <c r="B75" s="9"/>
      <c r="C75" s="9"/>
      <c r="D75" s="9"/>
      <c r="E75" s="9"/>
      <c r="F75" s="9"/>
      <c r="G75" s="9"/>
      <c r="H75" s="9"/>
    </row>
    <row r="76" spans="1:8">
      <c r="A76" s="6" t="s">
        <v>86</v>
      </c>
      <c r="B76" s="9"/>
      <c r="C76" s="9"/>
      <c r="D76" s="9"/>
      <c r="E76" s="9"/>
      <c r="F76" s="9"/>
      <c r="G76" s="9"/>
      <c r="H76" s="9"/>
    </row>
    <row r="77" spans="1:8">
      <c r="A77" s="6" t="s">
        <v>87</v>
      </c>
      <c r="B77" s="9"/>
      <c r="C77" s="9"/>
      <c r="D77" s="9"/>
      <c r="E77" s="9"/>
      <c r="F77" s="9"/>
      <c r="G77" s="9"/>
      <c r="H77" s="9"/>
    </row>
    <row r="78" spans="1:8">
      <c r="A78" s="6" t="s">
        <v>88</v>
      </c>
      <c r="B78" s="9"/>
      <c r="C78" s="9"/>
      <c r="D78" s="9"/>
      <c r="E78" s="9"/>
      <c r="F78" s="9"/>
      <c r="G78" s="9"/>
      <c r="H78" s="9"/>
    </row>
    <row r="79" spans="1:8">
      <c r="A79" s="6" t="s">
        <v>89</v>
      </c>
      <c r="B79" s="9"/>
      <c r="C79" s="9"/>
      <c r="D79" s="9"/>
      <c r="E79" s="9"/>
      <c r="F79" s="9"/>
      <c r="G79" s="9"/>
      <c r="H79" s="9"/>
    </row>
    <row r="80" spans="1:8">
      <c r="A80" s="6" t="s">
        <v>90</v>
      </c>
      <c r="B80" s="9"/>
      <c r="C80" s="9"/>
      <c r="D80" s="9"/>
      <c r="E80" s="9"/>
      <c r="F80" s="9"/>
      <c r="G80" s="9"/>
      <c r="H80" s="9"/>
    </row>
    <row r="81" spans="1:8">
      <c r="A81" s="6" t="s">
        <v>91</v>
      </c>
      <c r="B81" s="9"/>
      <c r="C81" s="9"/>
      <c r="D81" s="9"/>
      <c r="E81" s="9"/>
      <c r="F81" s="9"/>
      <c r="G81" s="9"/>
      <c r="H81" s="9"/>
    </row>
    <row r="82" spans="1:8">
      <c r="A82" s="6" t="s">
        <v>92</v>
      </c>
      <c r="B82" s="9"/>
      <c r="C82" s="9"/>
      <c r="D82" s="9"/>
      <c r="E82" s="9"/>
      <c r="F82" s="9"/>
      <c r="G82" s="9"/>
      <c r="H82" s="9"/>
    </row>
    <row r="83" spans="1:8">
      <c r="A83" s="6" t="s">
        <v>93</v>
      </c>
      <c r="B83" s="9"/>
      <c r="C83" s="9"/>
      <c r="D83" s="9"/>
      <c r="E83" s="9"/>
      <c r="F83" s="9"/>
      <c r="G83" s="9"/>
      <c r="H83" s="9"/>
    </row>
    <row r="84" spans="1:8">
      <c r="A84" s="6" t="s">
        <v>94</v>
      </c>
      <c r="B84" s="9"/>
      <c r="C84" s="9"/>
      <c r="D84" s="9"/>
      <c r="E84" s="9"/>
      <c r="F84" s="9"/>
      <c r="G84" s="9"/>
      <c r="H84" s="9"/>
    </row>
    <row r="85" spans="1:8">
      <c r="A85" s="6" t="s">
        <v>95</v>
      </c>
      <c r="B85" s="9"/>
      <c r="C85" s="9"/>
      <c r="D85" s="9"/>
      <c r="E85" s="9"/>
      <c r="F85" s="9"/>
      <c r="G85" s="9"/>
      <c r="H85" s="9"/>
    </row>
    <row r="86" spans="1:8">
      <c r="A86" s="6" t="s">
        <v>96</v>
      </c>
      <c r="B86" s="9"/>
      <c r="C86" s="9"/>
      <c r="D86" s="9"/>
      <c r="E86" s="9"/>
      <c r="F86" s="9"/>
      <c r="G86" s="9"/>
      <c r="H86" s="9"/>
    </row>
    <row r="87" spans="1:8">
      <c r="A87" s="6" t="s">
        <v>97</v>
      </c>
      <c r="B87" s="9"/>
      <c r="C87" s="9"/>
      <c r="D87" s="9"/>
      <c r="E87" s="9"/>
      <c r="F87" s="9"/>
      <c r="G87" s="9"/>
      <c r="H87" s="9"/>
    </row>
    <row r="88" spans="1:8">
      <c r="A88" s="6" t="s">
        <v>98</v>
      </c>
      <c r="B88" s="9"/>
      <c r="C88" s="9"/>
      <c r="D88" s="9"/>
      <c r="E88" s="9"/>
      <c r="F88" s="9"/>
      <c r="G88" s="9"/>
      <c r="H88" s="9"/>
    </row>
    <row r="89" spans="1:8">
      <c r="A89" s="6" t="s">
        <v>99</v>
      </c>
      <c r="B89" s="9"/>
      <c r="C89" s="9"/>
      <c r="D89" s="9"/>
      <c r="E89" s="9"/>
      <c r="F89" s="9"/>
      <c r="G89" s="9"/>
      <c r="H89" s="9"/>
    </row>
    <row r="90" spans="1:8">
      <c r="A90" s="6" t="s">
        <v>100</v>
      </c>
      <c r="B90" s="9"/>
      <c r="C90" s="9"/>
      <c r="D90" s="9"/>
      <c r="E90" s="9"/>
      <c r="F90" s="9"/>
      <c r="G90" s="9"/>
      <c r="H90" s="9"/>
    </row>
    <row r="91" spans="1:8">
      <c r="A91" s="6" t="s">
        <v>101</v>
      </c>
      <c r="B91" s="9"/>
      <c r="C91" s="9"/>
      <c r="D91" s="9"/>
      <c r="E91" s="9"/>
      <c r="F91" s="9"/>
      <c r="G91" s="9"/>
      <c r="H91" s="9"/>
    </row>
    <row r="92" spans="1:8">
      <c r="A92" s="6" t="s">
        <v>102</v>
      </c>
      <c r="B92" s="9"/>
      <c r="C92" s="9"/>
      <c r="D92" s="9"/>
      <c r="E92" s="9"/>
      <c r="F92" s="9"/>
      <c r="G92" s="9"/>
      <c r="H92" s="9"/>
    </row>
    <row r="93" spans="1:8">
      <c r="A93" s="6" t="s">
        <v>103</v>
      </c>
      <c r="B93" s="9"/>
      <c r="C93" s="9"/>
      <c r="D93" s="9"/>
      <c r="E93" s="9"/>
      <c r="F93" s="9"/>
      <c r="G93" s="9"/>
      <c r="H93" s="9"/>
    </row>
  </sheetData>
  <mergeCells count="1">
    <mergeCell ref="A1:H2"/>
  </mergeCells>
  <conditionalFormatting sqref="B94:H95">
    <cfRule type="containsText" dxfId="55" priority="42" operator="containsText" text="Pulverização">
      <formula>NOT(ISERROR(SEARCH("Pulverização",B94)))</formula>
    </cfRule>
    <cfRule type="cellIs" dxfId="54" priority="43" operator="greaterThan">
      <formula>$J$5</formula>
    </cfRule>
    <cfRule type="containsText" dxfId="53" priority="44" operator="containsText" text="Cardã">
      <formula>NOT(ISERROR(SEARCH("Cardã",B94)))</formula>
    </cfRule>
    <cfRule type="containsText" dxfId="52" priority="45" operator="containsText" text="Pneu">
      <formula>NOT(ISERROR(SEARCH("Pneu",B94)))</formula>
    </cfRule>
    <cfRule type="containsText" dxfId="51" priority="46" operator="containsText" text="Vedação">
      <formula>NOT(ISERROR(SEARCH("Vedação",B94)))</formula>
    </cfRule>
    <cfRule type="containsText" dxfId="50" priority="47" operator="containsText" text="Retentor">
      <formula>NOT(ISERROR(SEARCH("Retentor",B94)))</formula>
    </cfRule>
    <cfRule type="containsText" dxfId="49" priority="48" operator="containsText" text="Motorredutor">
      <formula>NOT(ISERROR(SEARCH("Motorredutor",B94)))</formula>
    </cfRule>
    <cfRule type="containsText" dxfId="48" priority="49" operator="containsText" text="Redutor">
      <formula>NOT(ISERROR(SEARCH("Redutor",B94)))</formula>
    </cfRule>
    <cfRule type="containsText" dxfId="47" priority="50" operator="containsText" text="Bomba">
      <formula>NOT(ISERROR(SEARCH("Bomba",B94)))</formula>
    </cfRule>
  </conditionalFormatting>
  <conditionalFormatting sqref="A1:A1048576">
    <cfRule type="containsText" dxfId="46" priority="38" operator="containsText" text="Pivô">
      <formula>NOT(ISERROR(SEARCH("Pivô",A1)))</formula>
    </cfRule>
    <cfRule type="containsText" dxfId="45" priority="39" operator="containsText" text="Pivô">
      <formula>NOT(ISERROR(SEARCH("Pivô",A1)))</formula>
    </cfRule>
  </conditionalFormatting>
  <conditionalFormatting sqref="B5:H93">
    <cfRule type="containsText" dxfId="44" priority="23" operator="containsText" text="Pulverização">
      <formula>NOT(ISERROR(SEARCH("Pulverização",B5)))</formula>
    </cfRule>
    <cfRule type="cellIs" dxfId="43" priority="24" operator="greaterThan">
      <formula>$J$5</formula>
    </cfRule>
    <cfRule type="containsText" dxfId="42" priority="25" operator="containsText" text="Cardã">
      <formula>NOT(ISERROR(SEARCH("Cardã",B5)))</formula>
    </cfRule>
    <cfRule type="containsText" dxfId="41" priority="26" operator="containsText" text="Pneu">
      <formula>NOT(ISERROR(SEARCH("Pneu",B5)))</formula>
    </cfRule>
    <cfRule type="containsText" dxfId="40" priority="27" operator="containsText" text="Vedação">
      <formula>NOT(ISERROR(SEARCH("Vedação",B5)))</formula>
    </cfRule>
    <cfRule type="containsText" dxfId="39" priority="28" operator="containsText" text="Retentor">
      <formula>NOT(ISERROR(SEARCH("Retentor",B5)))</formula>
    </cfRule>
    <cfRule type="containsText" dxfId="38" priority="29" operator="containsText" text="Motorredutor">
      <formula>NOT(ISERROR(SEARCH("Motorredutor",B5)))</formula>
    </cfRule>
    <cfRule type="containsText" dxfId="37" priority="30" operator="containsText" text="Redutor">
      <formula>NOT(ISERROR(SEARCH("Redutor",B5)))</formula>
    </cfRule>
    <cfRule type="containsText" dxfId="36" priority="31" operator="containsText" text="Bomba">
      <formula>NOT(ISERROR(SEARCH("Bomba",B5)))</formula>
    </cfRule>
  </conditionalFormatting>
  <conditionalFormatting sqref="B5:H93">
    <cfRule type="containsText" dxfId="35" priority="1" operator="containsText" text="Desponte">
      <formula>NOT(ISERROR(SEARCH("Desponte",B5)))</formula>
    </cfRule>
  </conditionalFormatting>
  <dataValidations count="2">
    <dataValidation type="list" allowBlank="1" showInputMessage="1" showErrorMessage="1" sqref="B5:H93" xr:uid="{3F7E757B-DB40-4CC0-8CEB-298BA713C327}">
      <formula1>$J$5:$J$17</formula1>
    </dataValidation>
    <dataValidation type="list" allowBlank="1" showInputMessage="1" showErrorMessage="1" sqref="B94:H95" xr:uid="{5F972111-14A6-4655-9FB6-32CD5B3E5661}">
      <formula1>$J$5:$J$11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C71CCD4C-A22B-42CE-9513-C3A78354BEC3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9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" operator="containsText" id="{279C3ED0-38CC-47DA-A26C-C7277D5925DF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" operator="containsText" id="{B247E449-CDD7-4904-8B63-F26B07465D7B}">
            <xm:f>NOT(ISERROR(SEARCH($J$14,B5)))</xm:f>
            <xm:f>$J$14</xm:f>
            <x14:dxf>
              <font>
                <b/>
                <i val="0"/>
              </font>
              <fill>
                <patternFill>
                  <bgColor rgb="FF6FF799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41" operator="containsText" id="{5B38C730-544C-4EC4-A304-18063F3180C2}">
            <xm:f>NOT(ISERROR(SEARCH($J$12,B94)))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51" operator="containsText" id="{75863123-4352-410D-964C-031C44417602}">
            <xm:f>NOT(ISERROR(SEARCH($J$11,B94)))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52" operator="containsText" id="{72A64160-C36F-47AF-88A9-F5CAFB66A20B}">
            <xm:f>NOT(ISERROR(SEARCH($J$9,B94)))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53" operator="containsText" id="{BA038101-A123-4B2F-A64A-552BD344A895}">
            <xm:f>NOT(ISERROR(SEARCH($J$7,B94)))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54" operator="containsText" id="{6730C52F-3D84-40CB-856F-5A07E5D6FBE8}">
            <xm:f>NOT(ISERROR(SEARCH($J$8,B94)))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55" operator="containsText" id="{CFFF653D-6BD5-438B-84A0-8E814A1A3F75}">
            <xm:f>NOT(ISERROR(SEARCH($J$10,B94)))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56" operator="containsText" id="{3381A40D-61F8-4691-AD48-3CA7E22475D2}">
            <xm:f>NOT(ISERROR(SEARCH($J$6,B94)))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B94:H95</xm:sqref>
        </x14:conditionalFormatting>
        <x14:conditionalFormatting xmlns:xm="http://schemas.microsoft.com/office/excel/2006/main">
          <x14:cfRule type="containsText" priority="40" operator="containsText" id="{512D45D5-FCF1-4A7C-89CD-92671BF4439E}">
            <xm:f>NOT(ISERROR(SEARCH($J$7,B94)))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B94:H96</xm:sqref>
        </x14:conditionalFormatting>
        <x14:conditionalFormatting xmlns:xm="http://schemas.microsoft.com/office/excel/2006/main">
          <x14:cfRule type="containsText" priority="21" operator="containsText" id="{B456968E-77EC-4710-9C75-A0B376877F4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theme="5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5" operator="containsText" id="{01A72AF6-C30A-471A-B158-C71265FEEFE3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67A0A2BC-7027-4DFE-BD6D-EDF226D92A89}">
            <xm:f>NOT(ISERROR(SEARCH($J$9,B5)))</xm:f>
            <xm:f>$J$9</xm:f>
            <x14:dxf>
              <font>
                <b/>
                <i val="0"/>
                <color auto="1"/>
              </font>
              <fill>
                <patternFill>
                  <bgColor rgb="FF789D1B"/>
                </patternFill>
              </fill>
            </x14:dxf>
          </x14:cfRule>
          <x14:cfRule type="containsText" priority="7" operator="containsText" id="{9C6B79AB-CE02-4D91-B282-42018C28839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8" operator="containsText" id="{1DD57A74-654C-46A0-A56F-C335584F41C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9" operator="containsText" id="{39397EE5-19B0-4457-8279-5B9AD247E39E}">
            <xm:f>NOT(ISERROR(SEARCH($J$8,B5)))</xm:f>
            <xm:f>$J$8</xm:f>
            <x14:dxf>
              <font>
                <b/>
                <i val="0"/>
                <color auto="1"/>
              </font>
              <fill>
                <patternFill>
                  <bgColor rgb="FF308F29"/>
                </patternFill>
              </fill>
            </x14:dxf>
          </x14:cfRule>
          <x14:cfRule type="containsText" priority="11" operator="containsText" id="{00ECA592-8998-4606-B4A3-2541B928D554}">
            <xm:f>NOT(ISERROR(SEARCH($J$13,B5)))</xm:f>
            <xm:f>$J$13</xm:f>
            <x14:dxf>
              <font>
                <b/>
                <i val="0"/>
                <color auto="1"/>
              </font>
              <fill>
                <patternFill>
                  <bgColor rgb="FF64C15F"/>
                </patternFill>
              </fill>
            </x14:dxf>
          </x14:cfRule>
          <x14:cfRule type="containsText" priority="12" operator="containsText" id="{5C0F3605-B892-4EF9-BC33-94BAC02536DC}">
            <xm:f>NOT(ISERROR(SEARCH($J$12,B5)))</xm:f>
            <xm:f>$J$12</xm:f>
            <x14:dxf>
              <font>
                <b/>
                <i val="0"/>
                <color theme="1"/>
              </font>
              <fill>
                <patternFill>
                  <bgColor rgb="FFBBE258"/>
                </patternFill>
              </fill>
            </x14:dxf>
          </x14:cfRule>
          <x14:cfRule type="containsText" priority="13" operator="containsText" id="{26FA4087-741D-4595-8CDD-7EBA6808B6EB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64C15F"/>
                </patternFill>
              </fill>
            </x14:dxf>
          </x14:cfRule>
          <x14:cfRule type="containsText" priority="14" operator="containsText" id="{2E9EF7E2-A0B8-417B-A24D-83E636FD3BA7}">
            <xm:f>NOT(ISERROR(SEARCH($J$11,B5)))</xm:f>
            <xm:f>$J$11</xm:f>
            <x14:dxf>
              <font>
                <b val="0"/>
                <i/>
              </font>
              <fill>
                <patternFill>
                  <bgColor rgb="FF64C15F"/>
                </patternFill>
              </fill>
            </x14:dxf>
          </x14:cfRule>
          <x14:cfRule type="containsText" priority="15" operator="containsText" id="{C8655CDB-B367-4C80-B05B-CA978CB99406}">
            <xm:f>NOT(ISERROR(SEARCH($E$93,B5)))</xm:f>
            <xm:f>$E$93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6" operator="containsText" id="{D24FB746-0951-4D63-944B-4630231568E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789D1B"/>
                </patternFill>
              </fill>
            </x14:dxf>
          </x14:cfRule>
          <x14:cfRule type="containsText" priority="17" operator="containsText" id="{161308C2-6B05-4DDA-897B-33BB9BCC61F3}">
            <xm:f>NOT(ISERROR(SEARCH($J$8,B5)))</xm:f>
            <xm:f>$J$8</xm:f>
            <x14:dxf>
              <font>
                <b/>
                <i val="0"/>
                <color theme="1"/>
              </font>
              <fill>
                <patternFill>
                  <bgColor rgb="FF308F29"/>
                </patternFill>
              </fill>
            </x14:dxf>
          </x14:cfRule>
          <x14:cfRule type="containsText" priority="18" operator="containsText" id="{EDEE01D7-648D-43EE-9F5B-5E7867BCEC4B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487054"/>
                </patternFill>
              </fill>
            </x14:dxf>
          </x14:cfRule>
          <x14:cfRule type="containsText" priority="19" operator="containsText" id="{F0BD0C7A-7450-4423-93A7-12DC6812C0C2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0" operator="containsText" id="{8CB66379-4D61-442E-8957-984F0A26633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22" operator="containsText" id="{6C906E89-1813-4A01-92F2-049B4CE14176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32" operator="containsText" id="{D067EF79-4355-471E-A957-E8693682EF8E}">
            <xm:f>NOT(ISERROR(SEARCH($J$11,B5)))</xm:f>
            <xm:f>$J$11</xm:f>
            <x14:dxf>
              <font>
                <b/>
                <i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33" operator="containsText" id="{D47D0673-9DED-4AFC-A538-3969983FCA1D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containsText" priority="34" operator="containsText" id="{7AA8AA5E-F54B-4629-B762-7941F83D57E9}">
            <xm:f>NOT(ISERROR(SEARCH($J$7,B5)))</xm:f>
            <xm:f>$J$7</xm:f>
            <x14:dxf>
              <font>
                <b/>
                <i val="0"/>
              </font>
              <fill>
                <patternFill>
                  <bgColor rgb="FF00B050"/>
                </patternFill>
              </fill>
            </x14:dxf>
          </x14:cfRule>
          <x14:cfRule type="containsText" priority="35" operator="containsText" id="{D25FFE2E-3326-4E88-9CE6-709BC53ED083}">
            <xm:f>NOT(ISERROR(SEARCH($J$8,B5)))</xm:f>
            <xm:f>$J$8</xm:f>
            <x14:dxf>
              <font>
                <b/>
                <i val="0"/>
                <color theme="0"/>
              </font>
              <fill>
                <patternFill>
                  <bgColor theme="4"/>
                </patternFill>
              </fill>
            </x14:dxf>
          </x14:cfRule>
          <x14:cfRule type="containsText" priority="36" operator="containsText" id="{B717B657-04B7-41CB-90C0-CCD0260F20AE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7" operator="containsText" id="{BD51A937-9B8B-4B8B-8B2C-E7F628AA04F4}">
            <xm:f>NOT(ISERROR(SEARCH($J$6,B5)))</xm:f>
            <xm:f>$J$6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0" operator="containsText" id="{3C5409A3-55F1-4650-9216-D8F274E2FE87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487054"/>
                </patternFill>
              </fill>
            </x14:dxf>
          </x14:cfRule>
          <xm:sqref>B5:H93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1E6D-E0B7-4FB0-AB8E-71451531883A}">
  <sheetPr>
    <tabColor rgb="FF00B050"/>
  </sheetPr>
  <dimension ref="A1:W16"/>
  <sheetViews>
    <sheetView tabSelected="1" zoomScale="110" zoomScaleNormal="110" workbookViewId="0">
      <selection activeCell="J39" sqref="J39"/>
    </sheetView>
  </sheetViews>
  <sheetFormatPr defaultRowHeight="15"/>
  <cols>
    <col min="1" max="1" width="16.140625" customWidth="1"/>
    <col min="2" max="3" width="6.7109375" bestFit="1" customWidth="1"/>
    <col min="4" max="4" width="7.28515625" bestFit="1" customWidth="1"/>
    <col min="22" max="22" width="10" customWidth="1"/>
  </cols>
  <sheetData>
    <row r="1" spans="1:23" ht="18" customHeight="1">
      <c r="A1" s="59" t="s">
        <v>127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7"/>
      <c r="V1" s="57"/>
    </row>
    <row r="2" spans="1:23">
      <c r="A2" s="32" t="s">
        <v>3</v>
      </c>
      <c r="B2" s="30">
        <v>44613</v>
      </c>
      <c r="C2" s="30">
        <v>44620</v>
      </c>
      <c r="D2" s="30">
        <v>44627</v>
      </c>
      <c r="E2" s="30">
        <v>44634</v>
      </c>
      <c r="F2" s="30">
        <v>44641</v>
      </c>
      <c r="G2" s="30">
        <v>44648</v>
      </c>
      <c r="H2" s="30">
        <v>44655</v>
      </c>
      <c r="I2" s="30">
        <v>44662</v>
      </c>
      <c r="J2" s="30">
        <v>44669</v>
      </c>
      <c r="K2" s="30">
        <v>44676</v>
      </c>
      <c r="L2" s="30">
        <v>44683</v>
      </c>
      <c r="M2" s="30">
        <v>44690</v>
      </c>
      <c r="N2" s="30">
        <v>44697</v>
      </c>
      <c r="O2" s="30">
        <v>44704</v>
      </c>
      <c r="P2" s="30">
        <v>44711</v>
      </c>
      <c r="Q2" s="30">
        <v>44718</v>
      </c>
      <c r="R2" s="30">
        <v>44725</v>
      </c>
      <c r="S2" s="30">
        <v>44732</v>
      </c>
      <c r="T2" s="30">
        <v>44739</v>
      </c>
      <c r="U2" s="34" t="s">
        <v>26</v>
      </c>
      <c r="V2" s="31" t="s">
        <v>128</v>
      </c>
      <c r="W2" s="30">
        <v>44746</v>
      </c>
    </row>
    <row r="3" spans="1:23">
      <c r="A3" s="36" t="s">
        <v>5</v>
      </c>
      <c r="B3">
        <f>'21 02 2022'!K5</f>
        <v>0</v>
      </c>
      <c r="C3">
        <f>'28 02 2022'!K5</f>
        <v>0</v>
      </c>
      <c r="D3">
        <f>'07 03 2022'!K5</f>
        <v>5</v>
      </c>
      <c r="E3">
        <f>'14 03 2022'!K5</f>
        <v>3</v>
      </c>
      <c r="F3">
        <f>'21 03 2022'!K5</f>
        <v>3</v>
      </c>
      <c r="G3">
        <f>'28 03 2022'!K5</f>
        <v>3</v>
      </c>
      <c r="H3">
        <f>'04 04 2022'!K5</f>
        <v>1</v>
      </c>
      <c r="I3">
        <f>'11 04 2022'!K5</f>
        <v>2</v>
      </c>
      <c r="J3">
        <f>'18 04 2022'!K5</f>
        <v>1</v>
      </c>
      <c r="K3">
        <f>'25 04 2022'!K5</f>
        <v>3</v>
      </c>
      <c r="L3">
        <f>'02 05 2022'!K5</f>
        <v>3</v>
      </c>
      <c r="M3">
        <f>'09 05 2022'!K5</f>
        <v>3</v>
      </c>
      <c r="N3">
        <f>'16 05 2022 '!K5</f>
        <v>1</v>
      </c>
      <c r="O3">
        <f>'23 05 2022 '!K5</f>
        <v>4</v>
      </c>
      <c r="P3">
        <f>'30 05 2022 '!K5</f>
        <v>2</v>
      </c>
      <c r="Q3">
        <f>'06 06 2022  '!K5</f>
        <v>2</v>
      </c>
      <c r="R3">
        <f>'13 06 2022  '!K5</f>
        <v>4</v>
      </c>
      <c r="T3">
        <f>'27 06 2022   '!K5</f>
        <v>4</v>
      </c>
      <c r="U3" s="35">
        <f>SUM(B3:T3)</f>
        <v>44</v>
      </c>
      <c r="V3" s="3">
        <f>U3/$U$16</f>
        <v>0.27329192546583853</v>
      </c>
      <c r="W3">
        <f>'04 07 2022    '!K5</f>
        <v>1</v>
      </c>
    </row>
    <row r="4" spans="1:23">
      <c r="A4" s="16" t="s">
        <v>7</v>
      </c>
      <c r="B4">
        <f>'21 02 2022'!K6</f>
        <v>0</v>
      </c>
      <c r="C4">
        <f>'28 02 2022'!K6</f>
        <v>4</v>
      </c>
      <c r="D4">
        <f>'07 03 2022'!K6</f>
        <v>2</v>
      </c>
      <c r="E4">
        <f>'14 03 2022'!K6</f>
        <v>1</v>
      </c>
      <c r="F4">
        <f>'21 03 2022'!K6</f>
        <v>0</v>
      </c>
      <c r="G4">
        <f>'28 03 2022'!K6</f>
        <v>0</v>
      </c>
      <c r="H4">
        <f>'04 04 2022'!K6</f>
        <v>3</v>
      </c>
      <c r="I4">
        <f>'11 04 2022'!K6</f>
        <v>1</v>
      </c>
      <c r="J4">
        <f>'18 04 2022'!K6</f>
        <v>0</v>
      </c>
      <c r="K4">
        <f>'25 04 2022'!K6</f>
        <v>1</v>
      </c>
      <c r="L4">
        <f>'02 05 2022'!K6</f>
        <v>0</v>
      </c>
      <c r="M4">
        <f>'09 05 2022'!K6</f>
        <v>0</v>
      </c>
      <c r="N4">
        <f>'16 05 2022 '!K6</f>
        <v>0</v>
      </c>
      <c r="O4">
        <f>'23 05 2022 '!K6</f>
        <v>1</v>
      </c>
      <c r="P4">
        <f>'30 05 2022 '!K6</f>
        <v>0</v>
      </c>
      <c r="Q4">
        <f>'06 06 2022  '!K6</f>
        <v>0</v>
      </c>
      <c r="R4">
        <f>'13 06 2022  '!K6</f>
        <v>0</v>
      </c>
      <c r="T4">
        <f>'27 06 2022   '!K6</f>
        <v>0</v>
      </c>
      <c r="U4" s="35">
        <f t="shared" ref="U4:U10" si="0">SUM(B4:T4)</f>
        <v>13</v>
      </c>
      <c r="V4" s="3">
        <f>U4/$U$16</f>
        <v>8.0745341614906832E-2</v>
      </c>
      <c r="W4">
        <f>'04 07 2022    '!K6</f>
        <v>0</v>
      </c>
    </row>
    <row r="5" spans="1:23">
      <c r="A5" s="17" t="s">
        <v>129</v>
      </c>
      <c r="B5">
        <f>'21 02 2022'!K7</f>
        <v>0</v>
      </c>
      <c r="C5">
        <f>'28 02 2022'!K7</f>
        <v>0</v>
      </c>
      <c r="D5">
        <f>'07 03 2022'!K7</f>
        <v>1</v>
      </c>
      <c r="E5">
        <f>'14 03 2022'!K7</f>
        <v>0</v>
      </c>
      <c r="F5">
        <f>'21 03 2022'!K7</f>
        <v>1</v>
      </c>
      <c r="G5">
        <f>'28 03 2022'!K7</f>
        <v>0</v>
      </c>
      <c r="H5">
        <f>'04 04 2022'!K7</f>
        <v>0</v>
      </c>
      <c r="I5">
        <f>'11 04 2022'!K7</f>
        <v>0</v>
      </c>
      <c r="J5">
        <f>'18 04 2022'!K7</f>
        <v>0</v>
      </c>
      <c r="K5">
        <f>'25 04 2022'!K7</f>
        <v>0</v>
      </c>
      <c r="L5" s="55">
        <f>'02 05 2022'!K7</f>
        <v>1</v>
      </c>
      <c r="M5">
        <f>'09 05 2022'!K7</f>
        <v>0</v>
      </c>
      <c r="N5">
        <f>'16 05 2022 '!K7</f>
        <v>0</v>
      </c>
      <c r="O5">
        <f>'23 05 2022 '!K7</f>
        <v>1</v>
      </c>
      <c r="P5">
        <f>'30 05 2022 '!K7</f>
        <v>0</v>
      </c>
      <c r="Q5">
        <f>'06 06 2022  '!K7</f>
        <v>1</v>
      </c>
      <c r="R5">
        <f>'13 06 2022  '!K7</f>
        <v>3</v>
      </c>
      <c r="T5">
        <f>'27 06 2022   '!K7</f>
        <v>1</v>
      </c>
      <c r="U5" s="35">
        <f t="shared" si="0"/>
        <v>9</v>
      </c>
      <c r="V5" s="3">
        <f t="shared" ref="V5:V11" si="1">U5/$U$16</f>
        <v>5.5900621118012424E-2</v>
      </c>
      <c r="W5">
        <f>'04 07 2022    '!K7</f>
        <v>0</v>
      </c>
    </row>
    <row r="6" spans="1:23">
      <c r="A6" s="38" t="s">
        <v>11</v>
      </c>
      <c r="B6">
        <f>'21 02 2022'!K8</f>
        <v>0</v>
      </c>
      <c r="C6">
        <f>'28 02 2022'!K8</f>
        <v>0</v>
      </c>
      <c r="D6">
        <f>'07 03 2022'!K8</f>
        <v>0</v>
      </c>
      <c r="E6">
        <f>'14 03 2022'!K8</f>
        <v>0</v>
      </c>
      <c r="F6">
        <f>'21 03 2022'!K8</f>
        <v>0</v>
      </c>
      <c r="G6">
        <f>'28 03 2022'!K8</f>
        <v>0</v>
      </c>
      <c r="H6">
        <f>'04 04 2022'!K8</f>
        <v>0</v>
      </c>
      <c r="I6">
        <f>'11 04 2022'!K8</f>
        <v>0</v>
      </c>
      <c r="J6">
        <f>'18 04 2022'!K8</f>
        <v>0</v>
      </c>
      <c r="K6">
        <f>'25 04 2022'!K8</f>
        <v>0</v>
      </c>
      <c r="L6">
        <f>'02 05 2022'!K8</f>
        <v>0</v>
      </c>
      <c r="M6">
        <f>'09 05 2022'!K8</f>
        <v>0</v>
      </c>
      <c r="N6">
        <f>'16 05 2022 '!K8</f>
        <v>0</v>
      </c>
      <c r="O6">
        <f>'23 05 2022 '!K8</f>
        <v>0</v>
      </c>
      <c r="P6">
        <f>'30 05 2022 '!K8</f>
        <v>0</v>
      </c>
      <c r="Q6">
        <f>'06 06 2022  '!K8</f>
        <v>0</v>
      </c>
      <c r="R6">
        <f>'13 06 2022  '!K8</f>
        <v>0</v>
      </c>
      <c r="T6">
        <f>'27 06 2022   '!K8</f>
        <v>0</v>
      </c>
      <c r="U6" s="35">
        <f t="shared" si="0"/>
        <v>0</v>
      </c>
      <c r="V6" s="3">
        <f t="shared" si="1"/>
        <v>0</v>
      </c>
      <c r="W6">
        <f>'04 07 2022    '!K8</f>
        <v>1</v>
      </c>
    </row>
    <row r="7" spans="1:23">
      <c r="A7" s="37" t="s">
        <v>130</v>
      </c>
      <c r="B7">
        <f>'21 02 2022'!K9</f>
        <v>0</v>
      </c>
      <c r="C7">
        <f>'28 02 2022'!K9</f>
        <v>0</v>
      </c>
      <c r="D7">
        <f>'07 03 2022'!K9</f>
        <v>0</v>
      </c>
      <c r="E7">
        <f>'14 03 2022'!K9</f>
        <v>0</v>
      </c>
      <c r="F7">
        <f>'21 03 2022'!K9</f>
        <v>0</v>
      </c>
      <c r="G7">
        <f>'28 03 2022'!K9</f>
        <v>0</v>
      </c>
      <c r="H7">
        <f>'04 04 2022'!K9</f>
        <v>1</v>
      </c>
      <c r="I7">
        <f>'11 04 2022'!K9</f>
        <v>0</v>
      </c>
      <c r="J7">
        <f>'18 04 2022'!K9</f>
        <v>0</v>
      </c>
      <c r="K7">
        <f>'25 04 2022'!K9</f>
        <v>0</v>
      </c>
      <c r="L7">
        <f>'02 05 2022'!K9</f>
        <v>0</v>
      </c>
      <c r="M7">
        <f>'09 05 2022'!K9</f>
        <v>0</v>
      </c>
      <c r="N7">
        <f>'16 05 2022 '!K9</f>
        <v>0</v>
      </c>
      <c r="O7">
        <f>'23 05 2022 '!K9</f>
        <v>0</v>
      </c>
      <c r="P7">
        <f>'30 05 2022 '!K9</f>
        <v>0</v>
      </c>
      <c r="Q7">
        <f>'06 06 2022  '!K9</f>
        <v>0</v>
      </c>
      <c r="R7">
        <f>'13 06 2022  '!K9</f>
        <v>0</v>
      </c>
      <c r="T7">
        <f>'27 06 2022   '!K9</f>
        <v>0</v>
      </c>
      <c r="U7" s="35">
        <f t="shared" si="0"/>
        <v>1</v>
      </c>
      <c r="V7" s="3">
        <f t="shared" si="1"/>
        <v>6.2111801242236021E-3</v>
      </c>
      <c r="W7">
        <f>'04 07 2022    '!K9</f>
        <v>0</v>
      </c>
    </row>
    <row r="8" spans="1:23">
      <c r="A8" s="29" t="s">
        <v>15</v>
      </c>
      <c r="B8">
        <f>'21 02 2022'!K10</f>
        <v>0</v>
      </c>
      <c r="C8">
        <f>'28 02 2022'!K10</f>
        <v>5</v>
      </c>
      <c r="D8">
        <f>'07 03 2022'!K10</f>
        <v>2</v>
      </c>
      <c r="E8">
        <f>'14 03 2022'!K10</f>
        <v>1</v>
      </c>
      <c r="F8">
        <f>'21 03 2022'!K10</f>
        <v>1</v>
      </c>
      <c r="G8">
        <f>'28 03 2022'!K10</f>
        <v>0</v>
      </c>
      <c r="H8">
        <f>'04 04 2022'!K10</f>
        <v>0</v>
      </c>
      <c r="I8">
        <f>'11 04 2022'!K10</f>
        <v>0</v>
      </c>
      <c r="J8">
        <f>'18 04 2022'!K10</f>
        <v>0</v>
      </c>
      <c r="K8">
        <f>'25 04 2022'!K10</f>
        <v>0</v>
      </c>
      <c r="L8">
        <f>'02 05 2022'!K10</f>
        <v>0</v>
      </c>
      <c r="M8">
        <f>'09 05 2022'!K10</f>
        <v>0</v>
      </c>
      <c r="N8">
        <f>'16 05 2022 '!K10</f>
        <v>0</v>
      </c>
      <c r="O8">
        <f>'23 05 2022 '!K10</f>
        <v>0</v>
      </c>
      <c r="P8">
        <f>'30 05 2022 '!K10</f>
        <v>0</v>
      </c>
      <c r="Q8">
        <f>'06 06 2022  '!K10</f>
        <v>0</v>
      </c>
      <c r="R8">
        <f>'13 06 2022  '!K10</f>
        <v>0</v>
      </c>
      <c r="T8">
        <f>'27 06 2022   '!K10</f>
        <v>0</v>
      </c>
      <c r="U8" s="35">
        <f t="shared" si="0"/>
        <v>9</v>
      </c>
      <c r="V8" s="3">
        <f t="shared" si="1"/>
        <v>5.5900621118012424E-2</v>
      </c>
      <c r="W8">
        <f>'04 07 2022    '!K10</f>
        <v>0</v>
      </c>
    </row>
    <row r="9" spans="1:23">
      <c r="A9" s="18" t="s">
        <v>17</v>
      </c>
      <c r="B9">
        <f>'21 02 2022'!K11</f>
        <v>4</v>
      </c>
      <c r="C9">
        <f>'28 02 2022'!K11</f>
        <v>1</v>
      </c>
      <c r="D9">
        <f>'07 03 2022'!K11</f>
        <v>1</v>
      </c>
      <c r="E9">
        <f>'14 03 2022'!K11</f>
        <v>0</v>
      </c>
      <c r="F9">
        <f>'21 03 2022'!K11</f>
        <v>0</v>
      </c>
      <c r="G9">
        <f>'28 03 2022'!K11</f>
        <v>0</v>
      </c>
      <c r="H9">
        <f>'04 04 2022'!K11</f>
        <v>0</v>
      </c>
      <c r="I9">
        <f>'11 04 2022'!K11</f>
        <v>0</v>
      </c>
      <c r="J9">
        <f>'18 04 2022'!K11</f>
        <v>0</v>
      </c>
      <c r="K9">
        <f>'25 04 2022'!K11</f>
        <v>1</v>
      </c>
      <c r="L9">
        <f>'02 05 2022'!K11</f>
        <v>3</v>
      </c>
      <c r="M9">
        <f>'09 05 2022'!K11</f>
        <v>0</v>
      </c>
      <c r="N9">
        <f>'16 05 2022 '!K11</f>
        <v>10</v>
      </c>
      <c r="O9">
        <f>'23 05 2022 '!K11</f>
        <v>0</v>
      </c>
      <c r="P9">
        <f>'30 05 2022 '!K11</f>
        <v>0</v>
      </c>
      <c r="Q9">
        <f>'06 06 2022  '!K11</f>
        <v>1</v>
      </c>
      <c r="R9">
        <f>'13 06 2022  '!K11</f>
        <v>0</v>
      </c>
      <c r="T9">
        <f>'27 06 2022   '!K11</f>
        <v>0</v>
      </c>
      <c r="U9" s="35">
        <f t="shared" si="0"/>
        <v>21</v>
      </c>
      <c r="V9" s="3">
        <f t="shared" si="1"/>
        <v>0.13043478260869565</v>
      </c>
      <c r="W9">
        <f>'04 07 2022    '!K11</f>
        <v>1</v>
      </c>
    </row>
    <row r="10" spans="1:23">
      <c r="A10" s="5" t="s">
        <v>107</v>
      </c>
      <c r="B10">
        <f>'21 02 2022'!K12</f>
        <v>0</v>
      </c>
      <c r="C10">
        <f>'28 02 2022'!K12</f>
        <v>1</v>
      </c>
      <c r="D10">
        <f>'07 03 2022'!K12</f>
        <v>0</v>
      </c>
      <c r="E10">
        <f>'14 03 2022'!K12</f>
        <v>0</v>
      </c>
      <c r="F10">
        <f>'21 03 2022'!K12</f>
        <v>3</v>
      </c>
      <c r="G10">
        <f>'28 03 2022'!K12</f>
        <v>0</v>
      </c>
      <c r="H10">
        <f>'04 04 2022'!K12</f>
        <v>0</v>
      </c>
      <c r="I10">
        <f>'11 04 2022'!K12</f>
        <v>0</v>
      </c>
      <c r="J10">
        <f>'18 04 2022'!K12</f>
        <v>0</v>
      </c>
      <c r="K10">
        <f>'25 04 2022'!K12</f>
        <v>0</v>
      </c>
      <c r="L10">
        <f>'02 05 2022'!K12</f>
        <v>1</v>
      </c>
      <c r="M10">
        <f>'09 05 2022'!K12</f>
        <v>0</v>
      </c>
      <c r="N10">
        <f>'16 05 2022 '!K12</f>
        <v>0</v>
      </c>
      <c r="O10">
        <f>'23 05 2022 '!K12</f>
        <v>0</v>
      </c>
      <c r="P10">
        <f>'30 05 2022 '!K12</f>
        <v>0</v>
      </c>
      <c r="Q10">
        <f>'06 06 2022  '!K12</f>
        <v>0</v>
      </c>
      <c r="R10">
        <f>'13 06 2022  '!K12</f>
        <v>0</v>
      </c>
      <c r="T10">
        <f>'27 06 2022   '!K12</f>
        <v>0</v>
      </c>
      <c r="U10" s="35">
        <f t="shared" si="0"/>
        <v>5</v>
      </c>
      <c r="V10" s="3">
        <f t="shared" si="1"/>
        <v>3.1055900621118012E-2</v>
      </c>
      <c r="W10">
        <f>'04 07 2022    '!K12</f>
        <v>0</v>
      </c>
    </row>
    <row r="11" spans="1:23">
      <c r="A11" s="19" t="s">
        <v>21</v>
      </c>
      <c r="B11">
        <f>'21 02 2022'!K13</f>
        <v>3</v>
      </c>
      <c r="C11">
        <f>'28 02 2022'!K13</f>
        <v>4</v>
      </c>
      <c r="D11">
        <f>'07 03 2022'!K13</f>
        <v>2</v>
      </c>
      <c r="E11">
        <f>'14 03 2022'!K13</f>
        <v>2</v>
      </c>
      <c r="F11">
        <f>'21 03 2022'!K13</f>
        <v>1</v>
      </c>
      <c r="G11">
        <f>'28 03 2022'!K13</f>
        <v>0</v>
      </c>
      <c r="H11">
        <f>'04 04 2022'!K13</f>
        <v>1</v>
      </c>
      <c r="I11">
        <f>'11 04 2022'!K13</f>
        <v>0</v>
      </c>
      <c r="J11">
        <f>'18 04 2022'!K13</f>
        <v>0</v>
      </c>
      <c r="K11">
        <f>'25 04 2022'!K13</f>
        <v>0</v>
      </c>
      <c r="L11">
        <f>'02 05 2022'!K13</f>
        <v>0</v>
      </c>
      <c r="M11">
        <f>'09 05 2022'!K13</f>
        <v>1</v>
      </c>
      <c r="N11">
        <f>'16 05 2022 '!K13</f>
        <v>0</v>
      </c>
      <c r="O11">
        <f>'23 05 2022 '!K13</f>
        <v>3</v>
      </c>
      <c r="P11">
        <f>'30 05 2022 '!K13</f>
        <v>2</v>
      </c>
      <c r="Q11">
        <f>'06 06 2022  '!K13</f>
        <v>0</v>
      </c>
      <c r="R11">
        <f>'13 06 2022  '!K13</f>
        <v>1</v>
      </c>
      <c r="T11">
        <f>'27 06 2022   '!K13</f>
        <v>0</v>
      </c>
      <c r="U11" s="35">
        <f>SUM(B11:T11)</f>
        <v>20</v>
      </c>
      <c r="V11" s="3">
        <f t="shared" si="1"/>
        <v>0.12422360248447205</v>
      </c>
      <c r="W11">
        <f>'04 07 2022    '!K13</f>
        <v>0</v>
      </c>
    </row>
    <row r="12" spans="1:23">
      <c r="A12" s="46" t="s">
        <v>23</v>
      </c>
      <c r="B12">
        <f>'21 02 2022'!K14</f>
        <v>0</v>
      </c>
      <c r="C12">
        <f>'28 02 2022'!K14</f>
        <v>1</v>
      </c>
      <c r="D12">
        <f>'07 03 2022'!K14</f>
        <v>5</v>
      </c>
      <c r="E12">
        <f>'14 03 2022'!K14</f>
        <v>1</v>
      </c>
      <c r="F12">
        <f>'21 03 2022'!K14</f>
        <v>2</v>
      </c>
      <c r="G12">
        <f>'28 03 2022'!K14</f>
        <v>3</v>
      </c>
      <c r="H12">
        <f>'04 04 2022'!K14</f>
        <v>0</v>
      </c>
      <c r="I12">
        <f>'11 04 2022'!K14</f>
        <v>0</v>
      </c>
      <c r="J12">
        <f>'18 04 2022'!K14</f>
        <v>0</v>
      </c>
      <c r="K12">
        <f>'25 04 2022'!K14</f>
        <v>0</v>
      </c>
      <c r="L12">
        <f>'02 05 2022'!K14</f>
        <v>0</v>
      </c>
      <c r="M12">
        <f>'09 05 2022'!K14</f>
        <v>0</v>
      </c>
      <c r="N12">
        <f>'16 05 2022 '!K14</f>
        <v>0</v>
      </c>
      <c r="O12">
        <f>'23 05 2022 '!K14</f>
        <v>0</v>
      </c>
      <c r="P12">
        <f>'30 05 2022 '!K14</f>
        <v>2</v>
      </c>
      <c r="Q12">
        <f>'06 06 2022  '!K14</f>
        <v>0</v>
      </c>
      <c r="R12">
        <f>'13 06 2022  '!K14</f>
        <v>0</v>
      </c>
      <c r="T12">
        <f>'27 06 2022   '!K14</f>
        <v>0</v>
      </c>
      <c r="U12" s="35">
        <f>SUM(B12:T12)</f>
        <v>14</v>
      </c>
      <c r="V12" s="3">
        <f>U12/$U$16</f>
        <v>8.6956521739130432E-2</v>
      </c>
      <c r="W12">
        <f>'04 07 2022    '!K14</f>
        <v>1</v>
      </c>
    </row>
    <row r="13" spans="1:23">
      <c r="A13" s="52" t="s">
        <v>131</v>
      </c>
      <c r="D13">
        <f>'07 03 2022'!K15</f>
        <v>1</v>
      </c>
      <c r="E13">
        <f>'14 03 2022'!K15</f>
        <v>0</v>
      </c>
      <c r="F13">
        <f>'21 03 2022'!K15</f>
        <v>0</v>
      </c>
      <c r="G13">
        <f>'28 03 2022'!K15</f>
        <v>0</v>
      </c>
      <c r="H13">
        <f>'04 04 2022'!K15</f>
        <v>0</v>
      </c>
      <c r="I13">
        <f>'11 04 2022'!K15</f>
        <v>0</v>
      </c>
      <c r="J13">
        <f>'18 04 2022'!K15</f>
        <v>0</v>
      </c>
      <c r="K13">
        <f>'25 04 2022'!K15</f>
        <v>0</v>
      </c>
      <c r="L13">
        <f>'02 05 2022'!K15</f>
        <v>0</v>
      </c>
      <c r="M13">
        <f>'09 05 2022'!K15</f>
        <v>0</v>
      </c>
      <c r="N13">
        <f>'16 05 2022 '!K15</f>
        <v>0</v>
      </c>
      <c r="O13">
        <f>'23 05 2022 '!K15</f>
        <v>0</v>
      </c>
      <c r="P13">
        <f>'30 05 2022 '!K15</f>
        <v>0</v>
      </c>
      <c r="Q13">
        <f>'06 06 2022  '!K15</f>
        <v>1</v>
      </c>
      <c r="R13">
        <f>'13 06 2022  '!K15</f>
        <v>0</v>
      </c>
      <c r="T13">
        <f>'27 06 2022   '!K15</f>
        <v>0</v>
      </c>
      <c r="U13" s="35">
        <f>SUM(B13:T13)</f>
        <v>2</v>
      </c>
      <c r="V13" s="3">
        <f>U13/$U$16</f>
        <v>1.2422360248447204E-2</v>
      </c>
      <c r="W13">
        <f>'04 07 2022    '!K15</f>
        <v>0</v>
      </c>
    </row>
    <row r="14" spans="1:23">
      <c r="A14" s="53" t="s">
        <v>115</v>
      </c>
      <c r="K14">
        <f>'25 04 2022'!K16</f>
        <v>3</v>
      </c>
      <c r="L14">
        <f>'02 05 2022'!K16</f>
        <v>9</v>
      </c>
      <c r="M14">
        <f>'09 05 2022'!K16</f>
        <v>7</v>
      </c>
      <c r="N14">
        <f>'16 05 2022 '!K16</f>
        <v>0</v>
      </c>
      <c r="O14">
        <f>'23 05 2022 '!K16</f>
        <v>0</v>
      </c>
      <c r="P14">
        <f>'30 05 2022 '!K16</f>
        <v>0</v>
      </c>
      <c r="Q14">
        <f>'06 06 2022  '!K16</f>
        <v>0</v>
      </c>
      <c r="R14">
        <f>'13 06 2022  '!K16</f>
        <v>0</v>
      </c>
      <c r="T14">
        <f>'27 06 2022   '!K16</f>
        <v>0</v>
      </c>
      <c r="U14" s="35">
        <f>SUM(B14:T14)</f>
        <v>19</v>
      </c>
      <c r="V14" s="3">
        <f>U14/$U$16</f>
        <v>0.11801242236024845</v>
      </c>
      <c r="W14">
        <f>'04 07 2022    '!K16</f>
        <v>0</v>
      </c>
    </row>
    <row r="15" spans="1:23">
      <c r="A15" s="56" t="s">
        <v>120</v>
      </c>
      <c r="O15">
        <f>'23 05 2022 '!K17</f>
        <v>1</v>
      </c>
      <c r="P15">
        <f>'30 05 2022 '!K17</f>
        <v>0</v>
      </c>
      <c r="Q15">
        <f>'06 06 2022  '!K17</f>
        <v>0</v>
      </c>
      <c r="R15">
        <f>'13 06 2022  '!K17</f>
        <v>0</v>
      </c>
      <c r="T15">
        <f>'27 06 2022   '!K17</f>
        <v>3</v>
      </c>
      <c r="U15" s="35">
        <f>SUM(B15:T15)</f>
        <v>4</v>
      </c>
      <c r="V15" s="3">
        <f>U15/$U$16</f>
        <v>2.4844720496894408E-2</v>
      </c>
      <c r="W15">
        <f>'04 07 2022    '!K17</f>
        <v>1</v>
      </c>
    </row>
    <row r="16" spans="1:23">
      <c r="A16" s="33" t="s">
        <v>26</v>
      </c>
      <c r="B16" s="33">
        <f>SUM(B3:B15)</f>
        <v>7</v>
      </c>
      <c r="C16" s="33">
        <f t="shared" ref="C16:T16" si="2">SUM(C3:C15)</f>
        <v>16</v>
      </c>
      <c r="D16" s="33">
        <f t="shared" si="2"/>
        <v>19</v>
      </c>
      <c r="E16" s="33">
        <f t="shared" si="2"/>
        <v>8</v>
      </c>
      <c r="F16" s="33">
        <f t="shared" si="2"/>
        <v>11</v>
      </c>
      <c r="G16" s="33">
        <f t="shared" si="2"/>
        <v>6</v>
      </c>
      <c r="H16" s="33">
        <f t="shared" si="2"/>
        <v>6</v>
      </c>
      <c r="I16" s="33">
        <f t="shared" si="2"/>
        <v>3</v>
      </c>
      <c r="J16" s="33">
        <f t="shared" si="2"/>
        <v>1</v>
      </c>
      <c r="K16" s="33">
        <f t="shared" si="2"/>
        <v>8</v>
      </c>
      <c r="L16" s="33">
        <f t="shared" si="2"/>
        <v>17</v>
      </c>
      <c r="M16" s="33">
        <f t="shared" si="2"/>
        <v>11</v>
      </c>
      <c r="N16" s="33">
        <f t="shared" si="2"/>
        <v>11</v>
      </c>
      <c r="O16" s="33">
        <f t="shared" si="2"/>
        <v>10</v>
      </c>
      <c r="P16" s="33">
        <f t="shared" si="2"/>
        <v>6</v>
      </c>
      <c r="Q16" s="33">
        <f t="shared" si="2"/>
        <v>5</v>
      </c>
      <c r="R16" s="33">
        <f t="shared" si="2"/>
        <v>8</v>
      </c>
      <c r="S16" s="33">
        <f t="shared" si="2"/>
        <v>0</v>
      </c>
      <c r="T16" s="33">
        <f t="shared" si="2"/>
        <v>8</v>
      </c>
      <c r="U16" s="33">
        <f>SUM(U3:U15)</f>
        <v>161</v>
      </c>
    </row>
  </sheetData>
  <mergeCells count="1">
    <mergeCell ref="A1:T1"/>
  </mergeCells>
  <phoneticPr fontId="3" type="noConversion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Kalito Silva</dc:creator>
  <cp:keywords/>
  <dc:description/>
  <cp:lastModifiedBy>Kalito Silva</cp:lastModifiedBy>
  <cp:revision/>
  <dcterms:created xsi:type="dcterms:W3CDTF">2022-02-17T20:52:24Z</dcterms:created>
  <dcterms:modified xsi:type="dcterms:W3CDTF">2022-07-07T06:38:52Z</dcterms:modified>
  <cp:category/>
  <cp:contentStatus/>
</cp:coreProperties>
</file>