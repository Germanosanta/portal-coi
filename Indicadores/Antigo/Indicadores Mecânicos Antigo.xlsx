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"/>
    </mc:Choice>
  </mc:AlternateContent>
  <xr:revisionPtr revIDLastSave="165" documentId="6_{81B2189C-EEF4-4C9B-B602-6029F2B63957}" xr6:coauthVersionLast="47" xr6:coauthVersionMax="47" xr10:uidLastSave="{E47FF7FC-107D-45B9-8594-10C783EDAFE2}"/>
  <bookViews>
    <workbookView xWindow="-120" yWindow="-120" windowWidth="20730" windowHeight="11160" firstSheet="17" activeTab="19" xr2:uid="{BD5C5A8C-1367-44D9-856B-9E5869C29C53}"/>
  </bookViews>
  <sheets>
    <sheet name="21 02 2022" sheetId="1" r:id="rId1"/>
    <sheet name="28 02 2022 " sheetId="4" r:id="rId2"/>
    <sheet name="07 03 2022" sheetId="5" r:id="rId3"/>
    <sheet name="14 03 2022" sheetId="6" r:id="rId4"/>
    <sheet name="21 03 2022" sheetId="7" r:id="rId5"/>
    <sheet name="28 03 2022" sheetId="8" r:id="rId6"/>
    <sheet name="04 04 2022" sheetId="9" r:id="rId7"/>
    <sheet name="11 04 2022" sheetId="10" r:id="rId8"/>
    <sheet name="18 04 2022" sheetId="11" r:id="rId9"/>
    <sheet name="25 04 2023" sheetId="12" r:id="rId10"/>
    <sheet name="02 05 2022" sheetId="13" r:id="rId11"/>
    <sheet name="09 05 2022" sheetId="14" r:id="rId12"/>
    <sheet name="16 05 2022 " sheetId="15" r:id="rId13"/>
    <sheet name="23 05 2022  " sheetId="16" r:id="rId14"/>
    <sheet name="30 05 2022   " sheetId="17" r:id="rId15"/>
    <sheet name="06 06 2022" sheetId="19" r:id="rId16"/>
    <sheet name="13 06 2022   " sheetId="18" r:id="rId17"/>
    <sheet name="20 06 2022   " sheetId="20" r:id="rId18"/>
    <sheet name="27 06 2022  " sheetId="21" r:id="rId19"/>
    <sheet name="Acumulado" sheetId="3" r:id="rId2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S3" i="3"/>
  <c r="S4" i="3"/>
  <c r="S5" i="3"/>
  <c r="S6" i="3"/>
  <c r="S7" i="3"/>
  <c r="S8" i="3"/>
  <c r="S9" i="3"/>
  <c r="S10" i="3"/>
  <c r="S11" i="3"/>
  <c r="S12" i="3"/>
  <c r="K14" i="21"/>
  <c r="K13" i="21"/>
  <c r="K12" i="21"/>
  <c r="K11" i="21"/>
  <c r="K10" i="21"/>
  <c r="K9" i="21"/>
  <c r="K8" i="21"/>
  <c r="K7" i="21"/>
  <c r="K6" i="21"/>
  <c r="K5" i="21"/>
  <c r="B4" i="21"/>
  <c r="C3" i="21"/>
  <c r="K14" i="20"/>
  <c r="K13" i="20"/>
  <c r="K12" i="20"/>
  <c r="K11" i="20"/>
  <c r="K10" i="20"/>
  <c r="K9" i="20"/>
  <c r="K8" i="20"/>
  <c r="K7" i="20"/>
  <c r="K6" i="20"/>
  <c r="K5" i="20"/>
  <c r="B4" i="20"/>
  <c r="C3" i="20"/>
  <c r="Q3" i="3"/>
  <c r="Q4" i="3"/>
  <c r="Q5" i="3"/>
  <c r="Q6" i="3"/>
  <c r="Q7" i="3"/>
  <c r="Q8" i="3"/>
  <c r="Q9" i="3"/>
  <c r="Q10" i="3"/>
  <c r="Q11" i="3"/>
  <c r="Q12" i="3"/>
  <c r="K14" i="19"/>
  <c r="K13" i="19"/>
  <c r="K12" i="19"/>
  <c r="K11" i="19"/>
  <c r="K10" i="19"/>
  <c r="K9" i="19"/>
  <c r="K8" i="19"/>
  <c r="K7" i="19"/>
  <c r="K6" i="19"/>
  <c r="K5" i="19"/>
  <c r="B4" i="19"/>
  <c r="C3" i="19"/>
  <c r="K14" i="18"/>
  <c r="R12" i="3" s="1"/>
  <c r="K13" i="18"/>
  <c r="R11" i="3" s="1"/>
  <c r="K12" i="18"/>
  <c r="R10" i="3" s="1"/>
  <c r="K11" i="18"/>
  <c r="R9" i="3" s="1"/>
  <c r="K10" i="18"/>
  <c r="R8" i="3" s="1"/>
  <c r="K9" i="18"/>
  <c r="R7" i="3" s="1"/>
  <c r="K8" i="18"/>
  <c r="R6" i="3" s="1"/>
  <c r="K7" i="18"/>
  <c r="R5" i="3" s="1"/>
  <c r="K6" i="18"/>
  <c r="R4" i="3" s="1"/>
  <c r="K5" i="18"/>
  <c r="R3" i="3" s="1"/>
  <c r="B4" i="18"/>
  <c r="C3" i="18"/>
  <c r="K14" i="17"/>
  <c r="P12" i="3" s="1"/>
  <c r="K13" i="17"/>
  <c r="P11" i="3" s="1"/>
  <c r="K12" i="17"/>
  <c r="P10" i="3" s="1"/>
  <c r="K11" i="17"/>
  <c r="P9" i="3" s="1"/>
  <c r="K10" i="17"/>
  <c r="P8" i="3" s="1"/>
  <c r="K9" i="17"/>
  <c r="P7" i="3" s="1"/>
  <c r="K8" i="17"/>
  <c r="P6" i="3" s="1"/>
  <c r="K7" i="17"/>
  <c r="P5" i="3" s="1"/>
  <c r="K6" i="17"/>
  <c r="P4" i="3" s="1"/>
  <c r="K5" i="17"/>
  <c r="P3" i="3" s="1"/>
  <c r="B4" i="17"/>
  <c r="C3" i="17"/>
  <c r="K14" i="16"/>
  <c r="O12" i="3" s="1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O3" i="3" s="1"/>
  <c r="B4" i="16"/>
  <c r="C3" i="16"/>
  <c r="K14" i="15"/>
  <c r="N12" i="3" s="1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B4" i="15"/>
  <c r="C3" i="15"/>
  <c r="K14" i="14"/>
  <c r="M12" i="3" s="1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B4" i="14"/>
  <c r="C3" i="14"/>
  <c r="K14" i="13"/>
  <c r="L12" i="3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L3" i="3" s="1"/>
  <c r="B4" i="13"/>
  <c r="C3" i="13"/>
  <c r="C4" i="13" s="1"/>
  <c r="C4" i="21" l="1"/>
  <c r="D3" i="21"/>
  <c r="K15" i="21"/>
  <c r="L5" i="21"/>
  <c r="L6" i="21"/>
  <c r="L7" i="21"/>
  <c r="L8" i="21"/>
  <c r="L9" i="21"/>
  <c r="L10" i="21"/>
  <c r="L11" i="21"/>
  <c r="L12" i="21"/>
  <c r="L13" i="21"/>
  <c r="L14" i="21"/>
  <c r="C4" i="20"/>
  <c r="D3" i="20"/>
  <c r="K15" i="20"/>
  <c r="L5" i="20"/>
  <c r="L6" i="20"/>
  <c r="L7" i="20"/>
  <c r="L8" i="20"/>
  <c r="L9" i="20"/>
  <c r="L10" i="20"/>
  <c r="L11" i="20"/>
  <c r="L12" i="20"/>
  <c r="L13" i="20"/>
  <c r="L14" i="20"/>
  <c r="C4" i="19"/>
  <c r="D3" i="19"/>
  <c r="K15" i="19"/>
  <c r="L5" i="19"/>
  <c r="L6" i="19"/>
  <c r="L7" i="19"/>
  <c r="L8" i="19"/>
  <c r="L9" i="19"/>
  <c r="L10" i="19"/>
  <c r="L11" i="19"/>
  <c r="L12" i="19"/>
  <c r="L13" i="19"/>
  <c r="L14" i="19"/>
  <c r="C4" i="18"/>
  <c r="D3" i="18"/>
  <c r="K15" i="18"/>
  <c r="L5" i="18"/>
  <c r="L6" i="18"/>
  <c r="L7" i="18"/>
  <c r="L8" i="18"/>
  <c r="L9" i="18"/>
  <c r="L10" i="18"/>
  <c r="L11" i="18"/>
  <c r="L12" i="18"/>
  <c r="L13" i="18"/>
  <c r="L14" i="18"/>
  <c r="C4" i="17"/>
  <c r="D3" i="17"/>
  <c r="K15" i="17"/>
  <c r="L5" i="17" s="1"/>
  <c r="L6" i="17"/>
  <c r="L7" i="17"/>
  <c r="L8" i="17"/>
  <c r="L9" i="17"/>
  <c r="L10" i="17"/>
  <c r="L11" i="17"/>
  <c r="L12" i="17"/>
  <c r="L13" i="17"/>
  <c r="L14" i="17"/>
  <c r="C4" i="16"/>
  <c r="D3" i="16"/>
  <c r="K15" i="16"/>
  <c r="L5" i="16"/>
  <c r="L6" i="16"/>
  <c r="L7" i="16"/>
  <c r="L8" i="16"/>
  <c r="L9" i="16"/>
  <c r="L10" i="16"/>
  <c r="L11" i="16"/>
  <c r="L12" i="16"/>
  <c r="L13" i="16"/>
  <c r="L14" i="16"/>
  <c r="C4" i="15"/>
  <c r="D3" i="15"/>
  <c r="K15" i="15"/>
  <c r="L5" i="15"/>
  <c r="L6" i="15"/>
  <c r="L7" i="15"/>
  <c r="L8" i="15"/>
  <c r="L9" i="15"/>
  <c r="L10" i="15"/>
  <c r="L11" i="15"/>
  <c r="L12" i="15"/>
  <c r="L13" i="15"/>
  <c r="L14" i="15"/>
  <c r="C4" i="14"/>
  <c r="D3" i="14"/>
  <c r="D4" i="14" s="1"/>
  <c r="K15" i="14"/>
  <c r="L8" i="14" s="1"/>
  <c r="E3" i="14"/>
  <c r="E4" i="14" s="1"/>
  <c r="F3" i="14"/>
  <c r="D3" i="13"/>
  <c r="D4" i="13" s="1"/>
  <c r="K15" i="13"/>
  <c r="L8" i="13" s="1"/>
  <c r="D4" i="21" l="1"/>
  <c r="E3" i="21"/>
  <c r="D4" i="20"/>
  <c r="E3" i="20"/>
  <c r="D4" i="19"/>
  <c r="E3" i="19"/>
  <c r="D4" i="18"/>
  <c r="E3" i="18"/>
  <c r="D4" i="17"/>
  <c r="E3" i="17"/>
  <c r="D4" i="16"/>
  <c r="E3" i="16"/>
  <c r="D4" i="15"/>
  <c r="E3" i="15"/>
  <c r="L14" i="14"/>
  <c r="L12" i="14"/>
  <c r="L7" i="14"/>
  <c r="L10" i="14"/>
  <c r="L9" i="14"/>
  <c r="L6" i="14"/>
  <c r="L11" i="14"/>
  <c r="L5" i="14"/>
  <c r="L13" i="14"/>
  <c r="F4" i="14"/>
  <c r="G3" i="14"/>
  <c r="E3" i="13"/>
  <c r="F3" i="13" s="1"/>
  <c r="L5" i="13"/>
  <c r="L11" i="13"/>
  <c r="L10" i="13"/>
  <c r="L7" i="13"/>
  <c r="L6" i="13"/>
  <c r="L12" i="13"/>
  <c r="L13" i="13"/>
  <c r="L14" i="13"/>
  <c r="L9" i="13"/>
  <c r="E4" i="21" l="1"/>
  <c r="F3" i="21"/>
  <c r="E4" i="20"/>
  <c r="F3" i="20"/>
  <c r="E4" i="19"/>
  <c r="F3" i="19"/>
  <c r="E4" i="18"/>
  <c r="F3" i="18"/>
  <c r="E4" i="17"/>
  <c r="F3" i="17"/>
  <c r="E4" i="16"/>
  <c r="F3" i="16"/>
  <c r="E4" i="15"/>
  <c r="F3" i="15"/>
  <c r="H3" i="14"/>
  <c r="H4" i="14" s="1"/>
  <c r="G4" i="14"/>
  <c r="E4" i="13"/>
  <c r="G3" i="13"/>
  <c r="F4" i="13"/>
  <c r="F4" i="21" l="1"/>
  <c r="G3" i="21"/>
  <c r="F4" i="20"/>
  <c r="G3" i="20"/>
  <c r="F4" i="19"/>
  <c r="G3" i="19"/>
  <c r="F4" i="18"/>
  <c r="G3" i="18"/>
  <c r="F4" i="17"/>
  <c r="G3" i="17"/>
  <c r="F4" i="16"/>
  <c r="G3" i="16"/>
  <c r="F4" i="15"/>
  <c r="G3" i="15"/>
  <c r="G4" i="13"/>
  <c r="H3" i="13"/>
  <c r="H4" i="13" s="1"/>
  <c r="G4" i="21" l="1"/>
  <c r="H3" i="21"/>
  <c r="H4" i="21" s="1"/>
  <c r="G4" i="20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K5" i="12"/>
  <c r="K3" i="3" s="1"/>
  <c r="K14" i="12"/>
  <c r="K12" i="3" s="1"/>
  <c r="K13" i="12"/>
  <c r="K11" i="3" s="1"/>
  <c r="K12" i="12"/>
  <c r="K10" i="3" s="1"/>
  <c r="K11" i="12"/>
  <c r="K9" i="3" s="1"/>
  <c r="K10" i="12"/>
  <c r="K8" i="3" s="1"/>
  <c r="K9" i="12"/>
  <c r="K7" i="3" s="1"/>
  <c r="K8" i="12"/>
  <c r="K6" i="3" s="1"/>
  <c r="K7" i="12"/>
  <c r="K5" i="3" s="1"/>
  <c r="K6" i="12"/>
  <c r="K4" i="3" s="1"/>
  <c r="B4" i="12"/>
  <c r="C3" i="12"/>
  <c r="C4" i="12" s="1"/>
  <c r="K14" i="11"/>
  <c r="J12" i="3" s="1"/>
  <c r="K13" i="11"/>
  <c r="J11" i="3" s="1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K5" i="11"/>
  <c r="J3" i="3" s="1"/>
  <c r="B4" i="11"/>
  <c r="C3" i="11"/>
  <c r="D3" i="11" s="1"/>
  <c r="K15" i="12" l="1"/>
  <c r="L6" i="12" s="1"/>
  <c r="D3" i="12"/>
  <c r="D4" i="12" s="1"/>
  <c r="K15" i="11"/>
  <c r="L8" i="11" s="1"/>
  <c r="D4" i="11"/>
  <c r="E3" i="11"/>
  <c r="C4" i="11"/>
  <c r="E3" i="12" l="1"/>
  <c r="E4" i="12" s="1"/>
  <c r="L9" i="12"/>
  <c r="L7" i="12"/>
  <c r="L5" i="12"/>
  <c r="L12" i="12"/>
  <c r="L14" i="12"/>
  <c r="L8" i="12"/>
  <c r="L10" i="12"/>
  <c r="L13" i="12"/>
  <c r="L11" i="12"/>
  <c r="L12" i="11"/>
  <c r="L14" i="11"/>
  <c r="L5" i="11"/>
  <c r="L11" i="11"/>
  <c r="L13" i="11"/>
  <c r="L7" i="11"/>
  <c r="L6" i="11"/>
  <c r="L9" i="11"/>
  <c r="L10" i="11"/>
  <c r="E4" i="11"/>
  <c r="F3" i="11"/>
  <c r="F3" i="12" l="1"/>
  <c r="G3" i="12" s="1"/>
  <c r="G3" i="11"/>
  <c r="F4" i="11"/>
  <c r="F4" i="12" l="1"/>
  <c r="G4" i="12"/>
  <c r="H3" i="12"/>
  <c r="H4" i="12" s="1"/>
  <c r="H3" i="11"/>
  <c r="H4" i="11" s="1"/>
  <c r="G4" i="11"/>
  <c r="K14" i="10" l="1"/>
  <c r="I12" i="3" s="1"/>
  <c r="K13" i="10"/>
  <c r="I11" i="3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B4" i="10"/>
  <c r="C3" i="10"/>
  <c r="D3" i="10" s="1"/>
  <c r="D4" i="10" s="1"/>
  <c r="K5" i="9"/>
  <c r="H3" i="3" s="1"/>
  <c r="K6" i="9"/>
  <c r="H4" i="3" s="1"/>
  <c r="K7" i="9"/>
  <c r="H5" i="3" s="1"/>
  <c r="K8" i="9"/>
  <c r="H6" i="3" s="1"/>
  <c r="K9" i="9"/>
  <c r="H7" i="3" s="1"/>
  <c r="K10" i="9"/>
  <c r="H8" i="3" s="1"/>
  <c r="K11" i="9"/>
  <c r="H9" i="3" s="1"/>
  <c r="K12" i="9"/>
  <c r="H10" i="3" s="1"/>
  <c r="K13" i="9"/>
  <c r="H11" i="3" s="1"/>
  <c r="K14" i="9"/>
  <c r="H12" i="3" s="1"/>
  <c r="B4" i="9"/>
  <c r="C3" i="9"/>
  <c r="D3" i="9" s="1"/>
  <c r="D4" i="9" s="1"/>
  <c r="K14" i="8"/>
  <c r="G12" i="3" s="1"/>
  <c r="K13" i="8"/>
  <c r="G11" i="3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D3" i="8" s="1"/>
  <c r="K14" i="7"/>
  <c r="F12" i="3" s="1"/>
  <c r="K13" i="7"/>
  <c r="F11" i="3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F3" i="3" s="1"/>
  <c r="B4" i="7"/>
  <c r="C3" i="7"/>
  <c r="D3" i="7" s="1"/>
  <c r="D4" i="7" s="1"/>
  <c r="K14" i="6"/>
  <c r="E12" i="3" s="1"/>
  <c r="K13" i="6"/>
  <c r="E11" i="3" s="1"/>
  <c r="K12" i="6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E3" i="3" s="1"/>
  <c r="B4" i="6"/>
  <c r="C3" i="6"/>
  <c r="D3" i="6" s="1"/>
  <c r="D4" i="6" s="1"/>
  <c r="K15" i="10" l="1"/>
  <c r="L7" i="10" s="1"/>
  <c r="C4" i="10"/>
  <c r="E3" i="10"/>
  <c r="C4" i="9"/>
  <c r="K15" i="9"/>
  <c r="L8" i="9" s="1"/>
  <c r="E3" i="9"/>
  <c r="D4" i="8"/>
  <c r="E3" i="8"/>
  <c r="E4" i="8" s="1"/>
  <c r="C4" i="8"/>
  <c r="K15" i="8"/>
  <c r="L8" i="8" s="1"/>
  <c r="G3" i="3"/>
  <c r="F3" i="8"/>
  <c r="K15" i="7"/>
  <c r="L7" i="7" s="1"/>
  <c r="C4" i="7"/>
  <c r="E3" i="7"/>
  <c r="C4" i="6"/>
  <c r="K15" i="6"/>
  <c r="L7" i="6" s="1"/>
  <c r="E3" i="6"/>
  <c r="L9" i="10" l="1"/>
  <c r="L14" i="10"/>
  <c r="L11" i="10"/>
  <c r="L12" i="10"/>
  <c r="L10" i="10"/>
  <c r="L13" i="10"/>
  <c r="L8" i="10"/>
  <c r="L5" i="10"/>
  <c r="L6" i="10"/>
  <c r="F3" i="10"/>
  <c r="E4" i="10"/>
  <c r="L5" i="9"/>
  <c r="L14" i="9"/>
  <c r="L13" i="9"/>
  <c r="L6" i="9"/>
  <c r="L12" i="9"/>
  <c r="L9" i="9"/>
  <c r="L10" i="9"/>
  <c r="L11" i="9"/>
  <c r="L7" i="9"/>
  <c r="E4" i="9"/>
  <c r="F3" i="9"/>
  <c r="L6" i="8"/>
  <c r="L10" i="8"/>
  <c r="L13" i="8"/>
  <c r="L5" i="8"/>
  <c r="L9" i="8"/>
  <c r="L12" i="8"/>
  <c r="L14" i="8"/>
  <c r="L11" i="8"/>
  <c r="L7" i="8"/>
  <c r="G3" i="8"/>
  <c r="F4" i="8"/>
  <c r="L8" i="7"/>
  <c r="L9" i="7"/>
  <c r="L14" i="7"/>
  <c r="L11" i="7"/>
  <c r="L12" i="7"/>
  <c r="L10" i="7"/>
  <c r="L5" i="7"/>
  <c r="L13" i="7"/>
  <c r="L6" i="7"/>
  <c r="F3" i="7"/>
  <c r="E4" i="7"/>
  <c r="L5" i="6"/>
  <c r="L6" i="6"/>
  <c r="L12" i="6"/>
  <c r="L9" i="6"/>
  <c r="L14" i="6"/>
  <c r="L11" i="6"/>
  <c r="L8" i="6"/>
  <c r="L10" i="6"/>
  <c r="L13" i="6"/>
  <c r="E4" i="6"/>
  <c r="F3" i="6"/>
  <c r="G3" i="10" l="1"/>
  <c r="F4" i="10"/>
  <c r="G3" i="9"/>
  <c r="F4" i="9"/>
  <c r="H3" i="8"/>
  <c r="H4" i="8" s="1"/>
  <c r="G4" i="8"/>
  <c r="G3" i="7"/>
  <c r="F4" i="7"/>
  <c r="G3" i="6"/>
  <c r="F4" i="6"/>
  <c r="H3" i="10" l="1"/>
  <c r="H4" i="10" s="1"/>
  <c r="G4" i="10"/>
  <c r="H3" i="9"/>
  <c r="H4" i="9" s="1"/>
  <c r="G4" i="9"/>
  <c r="H3" i="7"/>
  <c r="H4" i="7" s="1"/>
  <c r="G4" i="7"/>
  <c r="H3" i="6"/>
  <c r="H4" i="6" s="1"/>
  <c r="G4" i="6"/>
  <c r="K14" i="5" l="1"/>
  <c r="D12" i="3" s="1"/>
  <c r="K13" i="5"/>
  <c r="D11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6" i="5"/>
  <c r="D4" i="3" s="1"/>
  <c r="K5" i="5"/>
  <c r="B4" i="5"/>
  <c r="C3" i="5"/>
  <c r="D3" i="5" l="1"/>
  <c r="D4" i="5" s="1"/>
  <c r="C4" i="5"/>
  <c r="D3" i="3"/>
  <c r="K15" i="5"/>
  <c r="L8" i="5"/>
  <c r="E3" i="5"/>
  <c r="L13" i="5" l="1"/>
  <c r="L5" i="5"/>
  <c r="L14" i="5"/>
  <c r="L7" i="5"/>
  <c r="L11" i="5"/>
  <c r="L6" i="5"/>
  <c r="L12" i="5"/>
  <c r="L9" i="5"/>
  <c r="L10" i="5"/>
  <c r="F3" i="5"/>
  <c r="E4" i="5"/>
  <c r="G3" i="5" l="1"/>
  <c r="F4" i="5"/>
  <c r="G4" i="5" l="1"/>
  <c r="H3" i="5"/>
  <c r="H4" i="5" s="1"/>
  <c r="D13" i="3" l="1"/>
  <c r="C3" i="4"/>
  <c r="D3" i="4" s="1"/>
  <c r="K14" i="4"/>
  <c r="C12" i="3" s="1"/>
  <c r="K13" i="4"/>
  <c r="C11" i="3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B4" i="4"/>
  <c r="K15" i="4" l="1"/>
  <c r="L6" i="4" s="1"/>
  <c r="C13" i="3"/>
  <c r="C4" i="4"/>
  <c r="E3" i="4"/>
  <c r="F3" i="4" s="1"/>
  <c r="D4" i="4"/>
  <c r="F4" i="4"/>
  <c r="G3" i="4"/>
  <c r="E4" i="4"/>
  <c r="H3" i="4" l="1"/>
  <c r="H4" i="4" s="1"/>
  <c r="G4" i="4"/>
  <c r="L9" i="4"/>
  <c r="L7" i="4"/>
  <c r="L5" i="4"/>
  <c r="L11" i="4"/>
  <c r="L14" i="4"/>
  <c r="L12" i="4"/>
  <c r="L10" i="4"/>
  <c r="L13" i="4"/>
  <c r="L8" i="4"/>
  <c r="F13" i="3" l="1"/>
  <c r="P13" i="3"/>
  <c r="Q13" i="3"/>
  <c r="N13" i="3"/>
  <c r="E13" i="3"/>
  <c r="G13" i="3"/>
  <c r="H13" i="3"/>
  <c r="I13" i="3"/>
  <c r="J13" i="3"/>
  <c r="K13" i="3"/>
  <c r="L13" i="3"/>
  <c r="M13" i="3"/>
  <c r="O13" i="3"/>
  <c r="R13" i="3"/>
  <c r="S13" i="3"/>
  <c r="T13" i="3"/>
  <c r="K14" i="1"/>
  <c r="K13" i="1"/>
  <c r="B11" i="3" s="1"/>
  <c r="B12" i="3" l="1"/>
  <c r="K5" i="1"/>
  <c r="K12" i="1"/>
  <c r="B10" i="3" s="1"/>
  <c r="K11" i="1"/>
  <c r="B9" i="3" s="1"/>
  <c r="K10" i="1"/>
  <c r="B8" i="3" s="1"/>
  <c r="U8" i="3" s="1"/>
  <c r="K9" i="1"/>
  <c r="B7" i="3" s="1"/>
  <c r="K8" i="1"/>
  <c r="B6" i="3" s="1"/>
  <c r="K7" i="1"/>
  <c r="B5" i="3" s="1"/>
  <c r="K6" i="1"/>
  <c r="B4" i="3" s="1"/>
  <c r="H4" i="1"/>
  <c r="G4" i="1"/>
  <c r="F4" i="1"/>
  <c r="E4" i="1"/>
  <c r="D4" i="1"/>
  <c r="C4" i="1"/>
  <c r="B4" i="1"/>
  <c r="U6" i="3" l="1"/>
  <c r="K15" i="1"/>
  <c r="L14" i="1" s="1"/>
  <c r="B3" i="3"/>
  <c r="B13" i="3" s="1"/>
  <c r="L7" i="1"/>
  <c r="L11" i="1"/>
  <c r="L12" i="1"/>
  <c r="L10" i="1"/>
  <c r="L5" i="1"/>
  <c r="L8" i="1"/>
  <c r="L13" i="1"/>
  <c r="L9" i="1"/>
  <c r="L6" i="1"/>
  <c r="U9" i="3" l="1"/>
  <c r="U7" i="3"/>
  <c r="U11" i="3"/>
  <c r="U10" i="3"/>
  <c r="U5" i="3"/>
  <c r="U4" i="3"/>
  <c r="U12" i="3"/>
  <c r="U3" i="3"/>
  <c r="U13" i="3" l="1"/>
  <c r="V6" i="3" l="1"/>
  <c r="V8" i="3"/>
  <c r="V10" i="3"/>
  <c r="V3" i="3"/>
  <c r="V11" i="3"/>
  <c r="V12" i="3"/>
  <c r="V5" i="3"/>
  <c r="V9" i="3"/>
  <c r="V7" i="3"/>
  <c r="V4" i="3"/>
</calcChain>
</file>

<file path=xl/sharedStrings.xml><?xml version="1.0" encoding="utf-8"?>
<sst xmlns="http://schemas.openxmlformats.org/spreadsheetml/2006/main" count="2240" uniqueCount="123">
  <si>
    <t>Atendimento de irrigação  (Imapacto - Problemas Mecânicos) - Semana 21/02/2022</t>
  </si>
  <si>
    <t xml:space="preserve">Data </t>
  </si>
  <si>
    <t>Pivô</t>
  </si>
  <si>
    <t>Parâmetros</t>
  </si>
  <si>
    <t>Pivô 01</t>
  </si>
  <si>
    <t>Redutor</t>
  </si>
  <si>
    <t>Pivô 02</t>
  </si>
  <si>
    <t>Motorredutor</t>
  </si>
  <si>
    <t>Pivô 03</t>
  </si>
  <si>
    <t>Castanha</t>
  </si>
  <si>
    <t>Pivô 04</t>
  </si>
  <si>
    <t>Vedação</t>
  </si>
  <si>
    <t>Pivô 05</t>
  </si>
  <si>
    <t>Pneu</t>
  </si>
  <si>
    <t>Pivô 06</t>
  </si>
  <si>
    <t>Sucção</t>
  </si>
  <si>
    <t>Pivô 07</t>
  </si>
  <si>
    <t>Bomba</t>
  </si>
  <si>
    <t>Pivô 08</t>
  </si>
  <si>
    <t>Mangote</t>
  </si>
  <si>
    <t>Pivô 09</t>
  </si>
  <si>
    <t>Canal/Reservatório</t>
  </si>
  <si>
    <t>Pivô 10</t>
  </si>
  <si>
    <t>Adutora</t>
  </si>
  <si>
    <t>Pivô 11</t>
  </si>
  <si>
    <t>Total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</si>
  <si>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</si>
  <si>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</si>
  <si>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</si>
  <si>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</si>
  <si>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</si>
  <si>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</si>
  <si>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</si>
  <si>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</si>
  <si>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</si>
  <si>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</si>
  <si>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</si>
  <si>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</si>
  <si>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</si>
  <si>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</si>
  <si>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</si>
  <si>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</si>
  <si>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</si>
  <si>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</si>
  <si>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</si>
  <si>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</si>
  <si>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</si>
  <si>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</si>
  <si>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</si>
  <si>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</si>
  <si>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</si>
  <si>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</si>
  <si>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</si>
  <si>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</si>
  <si>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</si>
  <si>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</si>
  <si>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</si>
  <si>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</si>
  <si>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</si>
  <si>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</si>
  <si>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</si>
  <si>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</si>
  <si>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</si>
  <si>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</si>
  <si>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</si>
  <si>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</si>
  <si>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</si>
  <si>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</si>
  <si>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</si>
  <si>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</si>
  <si>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</si>
  <si>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</si>
  <si>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</si>
  <si>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</si>
  <si>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</si>
  <si>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</si>
  <si>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</si>
  <si>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</si>
  <si>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</si>
  <si>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</si>
  <si>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</si>
  <si>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</si>
  <si>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</si>
  <si>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</si>
  <si>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</si>
  <si>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</si>
  <si>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</si>
  <si>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</si>
  <si>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</si>
  <si>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</si>
  <si>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</si>
  <si>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</si>
  <si>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</si>
  <si>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</si>
  <si>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</si>
  <si>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</si>
  <si>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</si>
  <si>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</si>
  <si>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</si>
  <si>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</si>
  <si>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</si>
  <si>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</si>
  <si>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</si>
  <si>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</si>
  <si>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 (Imapacto - Problemas Mecânicos) - Semana 28/02/2022</t>
  </si>
  <si>
    <t>Estrutura</t>
  </si>
  <si>
    <t>Bomba/Sucção</t>
  </si>
  <si>
    <t>Atendimento de irrigação  (Imapacto - Problemas Mecânicos) - Semana 07/03/2022</t>
  </si>
  <si>
    <t>Atendimento de irrigação  (Imapacto - Problemas Mecânicos) - Semana 14/03/2022</t>
  </si>
  <si>
    <t>Atendimento de irrigação  (Imapacto - Problemas Mecânicos) - Semana 21/03/2022</t>
  </si>
  <si>
    <t>Atendimento de irrigação  (Imapacto - Problemas Mecânicos) - Semana 28/03/2022</t>
  </si>
  <si>
    <t>Atendimento de irrigação  (Imapacto - Problemas Mecânicos) - Semana 04/04/2022</t>
  </si>
  <si>
    <t>Atendimento de irrigação  (Imapacto - Problemas Mecânicos) - Semana 25/04/2022</t>
  </si>
  <si>
    <t>Atendimento de irrigação  (Imapacto - Problemas Mecânicos) - Semana 02/05/2022</t>
  </si>
  <si>
    <t>Atendimento de irrigação  (Imapacto - Problemas Mecânicos) - Semana 09/05/2022</t>
  </si>
  <si>
    <t>Atendimento de irrigação  (Imapacto - Problemas Mecânicos) - Semana 16/05/2022</t>
  </si>
  <si>
    <t>Atendimento de irrigação  (Imapacto - Problemas Mecânicos) - Semana 23/05/2022</t>
  </si>
  <si>
    <t>Atendimento de irrigação  (Imapacto - Problemas Mecânicos) - Semana 30/05/2022</t>
  </si>
  <si>
    <t>Atendimento de irrigação  (Imapacto - Problemas Mecânicos) - Semana 06/06/2022</t>
  </si>
  <si>
    <t>Atendimento de irrigação  (Imapacto - Problemas Mecânicos) - Semana 13/06/2022</t>
  </si>
  <si>
    <t>Atendimento de irrigação  (Imapacto - Problemas Mecânicos) - Semana 27/06/2022</t>
  </si>
  <si>
    <t>Atendimento de irrigação  (Imapacto - Problemas Mecânicos) - Semana 20/06/2022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</si>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</sst>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A91B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39AC1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rgb="FF2457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otted">
        <color theme="0"/>
      </left>
      <right style="thin">
        <color theme="0"/>
      </right>
      <top style="dotted">
        <color theme="0"/>
      </top>
      <bottom style="thin">
        <color theme="0"/>
      </bottom>
      <diagonal/>
    </border>
    <border>
      <left style="thin">
        <color theme="0"/>
      </left>
      <right style="dotted">
        <color theme="1"/>
      </right>
      <top style="dotted">
        <color theme="0"/>
      </top>
      <bottom style="thin">
        <color theme="0"/>
      </bottom>
      <diagonal/>
    </border>
    <border>
      <left style="dotted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tted">
        <color theme="1"/>
      </right>
      <top style="thin">
        <color theme="0"/>
      </top>
      <bottom style="thin">
        <color theme="0"/>
      </bottom>
      <diagonal/>
    </border>
    <border>
      <left style="dotted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dotted">
        <color theme="1"/>
      </right>
      <top style="thin">
        <color theme="0"/>
      </top>
      <bottom style="dotted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5" fillId="6" borderId="0" xfId="0" applyFont="1" applyFill="1"/>
    <xf numFmtId="9" fontId="0" fillId="0" borderId="0" xfId="1" applyFont="1"/>
    <xf numFmtId="0" fontId="2" fillId="7" borderId="1" xfId="0" applyFont="1" applyFill="1" applyBorder="1"/>
    <xf numFmtId="0" fontId="2" fillId="7" borderId="4" xfId="0" applyFont="1" applyFill="1" applyBorder="1"/>
    <xf numFmtId="0" fontId="0" fillId="0" borderId="4" xfId="0" applyBorder="1"/>
    <xf numFmtId="0" fontId="4" fillId="0" borderId="4" xfId="0" applyFont="1" applyBorder="1" applyAlignment="1">
      <alignment vertical="center"/>
    </xf>
    <xf numFmtId="0" fontId="0" fillId="0" borderId="9" xfId="0" applyBorder="1"/>
    <xf numFmtId="0" fontId="1" fillId="8" borderId="8" xfId="0" applyFont="1" applyFill="1" applyBorder="1"/>
    <xf numFmtId="0" fontId="1" fillId="9" borderId="8" xfId="0" applyFont="1" applyFill="1" applyBorder="1"/>
    <xf numFmtId="0" fontId="2" fillId="10" borderId="8" xfId="0" applyFont="1" applyFill="1" applyBorder="1"/>
    <xf numFmtId="0" fontId="2" fillId="11" borderId="8" xfId="0" applyFont="1" applyFill="1" applyBorder="1"/>
    <xf numFmtId="0" fontId="2" fillId="12" borderId="8" xfId="0" applyFont="1" applyFill="1" applyBorder="1"/>
    <xf numFmtId="0" fontId="2" fillId="13" borderId="8" xfId="0" applyFont="1" applyFill="1" applyBorder="1"/>
    <xf numFmtId="0" fontId="4" fillId="0" borderId="12" xfId="0" applyFont="1" applyBorder="1" applyAlignment="1">
      <alignment vertical="center"/>
    </xf>
    <xf numFmtId="0" fontId="0" fillId="0" borderId="12" xfId="0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4" xfId="0" applyFill="1" applyBorder="1"/>
    <xf numFmtId="0" fontId="7" fillId="14" borderId="2" xfId="0" applyFont="1" applyFill="1" applyBorder="1"/>
    <xf numFmtId="16" fontId="0" fillId="14" borderId="3" xfId="0" applyNumberFormat="1" applyFill="1" applyBorder="1" applyAlignment="1">
      <alignment horizontal="left"/>
    </xf>
    <xf numFmtId="16" fontId="0" fillId="14" borderId="10" xfId="0" applyNumberFormat="1" applyFill="1" applyBorder="1" applyAlignment="1">
      <alignment horizontal="left"/>
    </xf>
    <xf numFmtId="0" fontId="7" fillId="14" borderId="5" xfId="0" applyFont="1" applyFill="1" applyBorder="1"/>
    <xf numFmtId="0" fontId="0" fillId="14" borderId="5" xfId="0" applyFill="1" applyBorder="1" applyAlignment="1">
      <alignment horizontal="left"/>
    </xf>
    <xf numFmtId="0" fontId="0" fillId="14" borderId="11" xfId="0" applyFill="1" applyBorder="1" applyAlignment="1">
      <alignment horizontal="left"/>
    </xf>
    <xf numFmtId="0" fontId="2" fillId="2" borderId="0" xfId="0" applyFont="1" applyFill="1"/>
    <xf numFmtId="0" fontId="2" fillId="15" borderId="0" xfId="0" applyFont="1" applyFill="1"/>
    <xf numFmtId="0" fontId="2" fillId="17" borderId="0" xfId="0" applyFont="1" applyFill="1"/>
    <xf numFmtId="0" fontId="1" fillId="18" borderId="0" xfId="0" applyFont="1" applyFill="1"/>
    <xf numFmtId="0" fontId="1" fillId="19" borderId="8" xfId="0" applyFont="1" applyFill="1" applyBorder="1"/>
    <xf numFmtId="0" fontId="1" fillId="5" borderId="8" xfId="0" applyFont="1" applyFill="1" applyBorder="1"/>
    <xf numFmtId="0" fontId="1" fillId="16" borderId="8" xfId="0" applyFont="1" applyFill="1" applyBorder="1"/>
    <xf numFmtId="0" fontId="2" fillId="4" borderId="8" xfId="0" applyFont="1" applyFill="1" applyBorder="1"/>
    <xf numFmtId="0" fontId="2" fillId="0" borderId="13" xfId="0" applyFont="1" applyBorder="1"/>
    <xf numFmtId="9" fontId="0" fillId="0" borderId="14" xfId="1" applyFont="1" applyBorder="1"/>
    <xf numFmtId="0" fontId="2" fillId="0" borderId="15" xfId="0" applyFont="1" applyBorder="1"/>
    <xf numFmtId="9" fontId="0" fillId="0" borderId="16" xfId="1" applyFont="1" applyBorder="1"/>
    <xf numFmtId="0" fontId="2" fillId="0" borderId="17" xfId="0" applyFont="1" applyBorder="1"/>
    <xf numFmtId="9" fontId="0" fillId="0" borderId="18" xfId="1" applyFont="1" applyBorder="1"/>
    <xf numFmtId="0" fontId="2" fillId="20" borderId="0" xfId="0" applyFont="1" applyFill="1"/>
    <xf numFmtId="0" fontId="9" fillId="0" borderId="0" xfId="0" applyFont="1"/>
    <xf numFmtId="16" fontId="2" fillId="0" borderId="0" xfId="0" applyNumberFormat="1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9" fontId="2" fillId="0" borderId="0" xfId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0" fontId="1" fillId="21" borderId="0" xfId="0" applyFont="1" applyFill="1"/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494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739AC1"/>
      <color rgb="FFAC0000"/>
      <color rgb="FF245760"/>
      <color rgb="FF2C4B58"/>
      <color rgb="FF1C71AA"/>
      <color rgb="FF1D56A9"/>
      <color rgb="FFAFC8D3"/>
      <color rgb="FFCB00D0"/>
      <color rgb="FF7292C2"/>
      <color rgb="FF2A9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84-4F19-8C2E-0DDBA3926B2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84-4F19-8C2E-0DDBA3926B28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784-4F19-8C2E-0DDBA3926B2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84-4F19-8C2E-0DDBA3926B2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84-4F19-8C2E-0DDBA3926B28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84-4F19-8C2E-0DDBA3926B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84-4F19-8C2E-0DDBA3926B28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23-4EB4-9551-D5098EA7422F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F7-41C4-845B-4D8FC3A4B201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6E-4961-B7E6-6F6410CDBDA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4-4F19-8C2E-0DDBA3926B2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4-4F19-8C2E-0DDBA3926B2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84-4F19-8C2E-0DDBA3926B2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4-4F19-8C2E-0DDBA3926B2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23-4EB4-9551-D5098EA7422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3F7-41C4-845B-4D8FC3A4B20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Sucção</c:v>
                </c:pt>
                <c:pt idx="6">
                  <c:v>Bomba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'21 02 2022'!$L$5:$L$14</c:f>
              <c:numCache>
                <c:formatCode>0%</c:formatCode>
                <c:ptCount val="10"/>
                <c:pt idx="0">
                  <c:v>0.16666666666666666</c:v>
                </c:pt>
                <c:pt idx="1">
                  <c:v>0.16666666666666666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4-4F19-8C2E-0DDBA3926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CE-4A9C-B240-EAD618CE771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CE-4A9C-B240-EAD618CE7718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CE-4A9C-B240-EAD618CE771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CE-4A9C-B240-EAD618CE771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CE-4A9C-B240-EAD618CE7718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CE-4A9C-B240-EAD618CE77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CE-4A9C-B240-EAD618CE7718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CE-4A9C-B240-EAD618CE7718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CE-4A9C-B240-EAD618CE7718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BC-41FA-B50D-2C3E9C8D0A3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CE-4A9C-B240-EAD618CE77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CE-4A9C-B240-EAD618CE77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CE-4A9C-B240-EAD618CE77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CE-4A9C-B240-EAD618CE77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CE-4A9C-B240-EAD618CE771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'28 02 2022 '!$L$5:$L$14</c:f>
              <c:numCache>
                <c:formatCode>0%</c:formatCode>
                <c:ptCount val="10"/>
                <c:pt idx="0">
                  <c:v>0.11764705882352941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0.11764705882352941</c:v>
                </c:pt>
                <c:pt idx="5">
                  <c:v>0.58823529411764708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CE-4A9C-B240-EAD618CE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C-48A1-B336-FBCD12B4BC9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C-48A1-B336-FBCD12B4BC9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C-48A1-B336-FBCD12B4BC9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8C-48A1-B336-FBCD12B4BC9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8C-48A1-B336-FBCD12B4BC9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8C-48A1-B336-FBCD12B4BC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8C-48A1-B336-FBCD12B4BC9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8C-48A1-B336-FBCD12B4BC9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8C-48A1-B336-FBCD12B4BC9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8C-48A1-B336-FBCD12B4BC9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C-48A1-B336-FBCD12B4BC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8C-48A1-B336-FBCD12B4BC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8C-48A1-B336-FBCD12B4BC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8C-48A1-B336-FBCD12B4BC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8C-48A1-B336-FBCD12B4BC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8C-48A1-B336-FBCD12B4BC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8C-48A1-B336-FBCD12B4BC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8C-48A1-B336-FBCD12B4BC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88C-48A1-B336-FBCD12B4BC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'07 03 2022'!$L$5:$L$14</c:f>
              <c:numCache>
                <c:formatCode>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0.5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8C-48A1-B336-FBCD12B4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B9-4962-B6F8-AEA09297C53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B9-4962-B6F8-AEA09297C53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B9-4962-B6F8-AEA09297C53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B9-4962-B6F8-AEA09297C53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B9-4962-B6F8-AEA09297C53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B9-4962-B6F8-AEA09297C5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B9-4962-B6F8-AEA09297C53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B9-4962-B6F8-AEA09297C53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B9-4962-B6F8-AEA09297C53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B9-4962-B6F8-AEA09297C5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B9-4962-B6F8-AEA09297C5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B9-4962-B6F8-AEA09297C5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B9-4962-B6F8-AEA09297C5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B9-4962-B6F8-AEA09297C5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B9-4962-B6F8-AEA09297C5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B9-4962-B6F8-AEA09297C5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AB9-4962-B6F8-AEA09297C5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B9-4962-B6F8-AEA09297C5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B9-4962-B6F8-AEA09297C53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'14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</c:v>
                </c:pt>
                <c:pt idx="3">
                  <c:v>0.05</c:v>
                </c:pt>
                <c:pt idx="4">
                  <c:v>0.2</c:v>
                </c:pt>
                <c:pt idx="5">
                  <c:v>0.55000000000000004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B9-4962-B6F8-AEA09297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54-4D61-ACE4-46EABB493071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4-4D61-ACE4-46EABB493071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54-4D61-ACE4-46EABB493071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4-4D61-ACE4-46EABB49307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54-4D61-ACE4-46EABB493071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54-4D61-ACE4-46EABB4930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54-4D61-ACE4-46EABB493071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4-4D61-ACE4-46EABB493071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E54-4D61-ACE4-46EABB493071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E54-4D61-ACE4-46EABB49307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54-4D61-ACE4-46EABB4930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54-4D61-ACE4-46EABB4930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54-4D61-ACE4-46EABB49307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54-4D61-ACE4-46EABB49307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54-4D61-ACE4-46EABB49307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54-4D61-ACE4-46EABB49307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54-4D61-ACE4-46EABB49307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54-4D61-ACE4-46EABB49307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54-4D61-ACE4-46EABB49307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'21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6.6666666666666666E-2</c:v>
                </c:pt>
                <c:pt idx="5">
                  <c:v>0.73333333333333328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54-4D61-ACE4-46EABB49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4-42D3-9EB2-E6678BD3C9D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4-42D3-9EB2-E6678BD3C9D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74-42D3-9EB2-E6678BD3C9D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74-42D3-9EB2-E6678BD3C9D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74-42D3-9EB2-E6678BD3C9D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74-42D3-9EB2-E6678BD3C9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74-42D3-9EB2-E6678BD3C9D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74-42D3-9EB2-E6678BD3C9D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D74-42D3-9EB2-E6678BD3C9D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D74-42D3-9EB2-E6678BD3C9D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74-42D3-9EB2-E6678BD3C9D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74-42D3-9EB2-E6678BD3C9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74-42D3-9EB2-E6678BD3C9D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74-42D3-9EB2-E6678BD3C9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74-42D3-9EB2-E6678BD3C9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74-42D3-9EB2-E6678BD3C9D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74-42D3-9EB2-E6678BD3C9D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74-42D3-9EB2-E6678BD3C9D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74-42D3-9EB2-E6678BD3C9D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'28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7.1428571428571425E-2</c:v>
                </c:pt>
                <c:pt idx="2">
                  <c:v>0</c:v>
                </c:pt>
                <c:pt idx="3">
                  <c:v>0</c:v>
                </c:pt>
                <c:pt idx="4">
                  <c:v>7.1428571428571425E-2</c:v>
                </c:pt>
                <c:pt idx="5">
                  <c:v>0.7857142857142857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74-42D3-9EB2-E6678BD3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7B-40C0-85A8-6AA55F83C32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7B-40C0-85A8-6AA55F83C320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7B-40C0-85A8-6AA55F83C320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7B-40C0-85A8-6AA55F83C32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7B-40C0-85A8-6AA55F83C320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7B-40C0-85A8-6AA55F83C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7B-40C0-85A8-6AA55F83C320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B-40C0-85A8-6AA55F83C320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7B-40C0-85A8-6AA55F83C320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7B-40C0-85A8-6AA55F83C32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7B-40C0-85A8-6AA55F83C3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7B-40C0-85A8-6AA55F83C32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7B-40C0-85A8-6AA55F83C32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7B-40C0-85A8-6AA55F83C32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7B-40C0-85A8-6AA55F83C32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7B-40C0-85A8-6AA55F83C32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7B-40C0-85A8-6AA55F83C32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7B-40C0-85A8-6AA55F83C32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87B-40C0-85A8-6AA55F83C32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'04 04 2022'!$L$5:$L$14</c:f>
              <c:numCache>
                <c:formatCode>0%</c:formatCode>
                <c:ptCount val="10"/>
                <c:pt idx="0">
                  <c:v>0</c:v>
                </c:pt>
                <c:pt idx="1">
                  <c:v>5.8823529411764705E-2</c:v>
                </c:pt>
                <c:pt idx="2">
                  <c:v>0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0.6470588235294118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7B-40C0-85A8-6AA55F83C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6-44D0-9C4D-CEAE4066A66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6-44D0-9C4D-CEAE4066A669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6-44D0-9C4D-CEAE4066A669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6-44D0-9C4D-CEAE4066A66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86-44D0-9C4D-CEAE4066A669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86-44D0-9C4D-CEAE4066A6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86-44D0-9C4D-CEAE4066A669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86-44D0-9C4D-CEAE4066A669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E86-44D0-9C4D-CEAE4066A669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E86-44D0-9C4D-CEAE4066A66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86-44D0-9C4D-CEAE4066A6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86-44D0-9C4D-CEAE4066A6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86-44D0-9C4D-CEAE4066A6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86-44D0-9C4D-CEAE4066A66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86-44D0-9C4D-CEAE4066A66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86-44D0-9C4D-CEAE4066A66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86-44D0-9C4D-CEAE4066A66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86-44D0-9C4D-CEAE4066A6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86-44D0-9C4D-CEAE4066A66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'11 04 2022'!$L$5:$L$14</c:f>
              <c:numCache>
                <c:formatCode>0%</c:formatCode>
                <c:ptCount val="10"/>
                <c:pt idx="0">
                  <c:v>8.6956521739130432E-2</c:v>
                </c:pt>
                <c:pt idx="1">
                  <c:v>0</c:v>
                </c:pt>
                <c:pt idx="2">
                  <c:v>0</c:v>
                </c:pt>
                <c:pt idx="3">
                  <c:v>8.6956521739130432E-2</c:v>
                </c:pt>
                <c:pt idx="4">
                  <c:v>8.6956521739130432E-2</c:v>
                </c:pt>
                <c:pt idx="5">
                  <c:v>0.65217391304347827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E86-44D0-9C4D-CEAE4066A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C0-49D7-84C6-5A6E9FDC008E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C0-49D7-84C6-5A6E9FDC008E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C0-49D7-84C6-5A6E9FDC008E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C0-49D7-84C6-5A6E9FDC008E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C0-49D7-84C6-5A6E9FDC008E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C0-49D7-84C6-5A6E9FDC008E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C0-49D7-84C6-5A6E9FDC008E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C0-49D7-84C6-5A6E9FDC008E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C0-49D7-84C6-5A6E9FDC008E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0C0-49D7-84C6-5A6E9FDC008E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'18 04 2022'!$L$5:$L$14</c:f>
              <c:numCache>
                <c:formatCode>0%</c:formatCode>
                <c:ptCount val="10"/>
                <c:pt idx="0">
                  <c:v>0.16</c:v>
                </c:pt>
                <c:pt idx="1">
                  <c:v>0.04</c:v>
                </c:pt>
                <c:pt idx="2">
                  <c:v>0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0.04</c:v>
                </c:pt>
                <c:pt idx="7">
                  <c:v>0</c:v>
                </c:pt>
                <c:pt idx="8">
                  <c:v>0.24</c:v>
                </c:pt>
                <c:pt idx="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C0-49D7-84C6-5A6E9FDC00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D-46A2-90F8-BB1FA2F54FC4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D-46A2-90F8-BB1FA2F54FC4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BD-46A2-90F8-BB1FA2F54FC4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BD-46A2-90F8-BB1FA2F54FC4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BD-46A2-90F8-BB1FA2F54FC4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BD-46A2-90F8-BB1FA2F54FC4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5BD-46A2-90F8-BB1FA2F54FC4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5BD-46A2-90F8-BB1FA2F54FC4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5BD-46A2-90F8-BB1FA2F54FC4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5BD-46A2-90F8-BB1FA2F54FC4}"/>
              </c:ext>
            </c:extLst>
          </c:dPt>
          <c:dLbls>
            <c:dLbl>
              <c:idx val="0"/>
              <c:layout>
                <c:manualLayout>
                  <c:x val="-4.2328817339041244E-2"/>
                  <c:y val="-2.35635179015640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BD-46A2-90F8-BB1FA2F54F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BD-46A2-90F8-BB1FA2F54FC4}"/>
                </c:ext>
              </c:extLst>
            </c:dLbl>
            <c:dLbl>
              <c:idx val="4"/>
              <c:layout>
                <c:manualLayout>
                  <c:x val="4.3399050312965044E-2"/>
                  <c:y val="1.925428259764153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BD-46A2-90F8-BB1FA2F54FC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BD-46A2-90F8-BB1FA2F54FC4}"/>
                </c:ext>
              </c:extLst>
            </c:dLbl>
            <c:dLbl>
              <c:idx val="6"/>
              <c:layout>
                <c:manualLayout>
                  <c:x val="2.4435347791855307E-2"/>
                  <c:y val="-2.56597173137420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BD-46A2-90F8-BB1FA2F54FC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BD-46A2-90F8-BB1FA2F54FC4}"/>
                </c:ext>
              </c:extLst>
            </c:dLbl>
            <c:dLbl>
              <c:idx val="8"/>
              <c:layout>
                <c:manualLayout>
                  <c:x val="1.1781519551686201E-3"/>
                  <c:y val="-8.6480094017761251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BD-46A2-90F8-BB1FA2F54FC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BD-46A2-90F8-BB1FA2F54F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2023'!$J$5:$J$14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'25 04 2023'!$L$5:$L$14</c:f>
              <c:numCache>
                <c:formatCode>0%</c:formatCode>
                <c:ptCount val="10"/>
                <c:pt idx="0">
                  <c:v>0.10714285714285714</c:v>
                </c:pt>
                <c:pt idx="1">
                  <c:v>0</c:v>
                </c:pt>
                <c:pt idx="2">
                  <c:v>3.5714285714285712E-2</c:v>
                </c:pt>
                <c:pt idx="3">
                  <c:v>7.1428571428571425E-2</c:v>
                </c:pt>
                <c:pt idx="4">
                  <c:v>3.5714285714285712E-2</c:v>
                </c:pt>
                <c:pt idx="5">
                  <c:v>0</c:v>
                </c:pt>
                <c:pt idx="6">
                  <c:v>0.4642857142857143</c:v>
                </c:pt>
                <c:pt idx="7">
                  <c:v>0</c:v>
                </c:pt>
                <c:pt idx="8">
                  <c:v>0.2857142857142857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5BD-46A2-90F8-BB1FA2F54F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1D-4F60-92E2-C4983D985324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1D-4F60-92E2-C4983D985324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1D-4F60-92E2-C4983D985324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1D-4F60-92E2-C4983D985324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1D-4F60-92E2-C4983D985324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B1D-4F60-92E2-C4983D985324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B1D-4F60-92E2-C4983D985324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B1D-4F60-92E2-C4983D985324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B1D-4F60-92E2-C4983D985324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B1D-4F60-92E2-C4983D985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'02 05 2022'!$L$5:$L$14</c:f>
              <c:numCache>
                <c:formatCode>0%</c:formatCode>
                <c:ptCount val="10"/>
                <c:pt idx="0">
                  <c:v>0.125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0.3125</c:v>
                </c:pt>
                <c:pt idx="5">
                  <c:v>0</c:v>
                </c:pt>
                <c:pt idx="6">
                  <c:v>0.3125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1D-4F60-92E2-C4983D9853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85-49E6-A2B3-A0BE783F6FE3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85-49E6-A2B3-A0BE783F6FE3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85-49E6-A2B3-A0BE783F6FE3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85-49E6-A2B3-A0BE783F6FE3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85-49E6-A2B3-A0BE783F6FE3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85-49E6-A2B3-A0BE783F6FE3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085-49E6-A2B3-A0BE783F6FE3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085-49E6-A2B3-A0BE783F6FE3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085-49E6-A2B3-A0BE783F6FE3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085-49E6-A2B3-A0BE783F6FE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85-49E6-A2B3-A0BE783F6F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85-49E6-A2B3-A0BE783F6FE3}"/>
                </c:ext>
              </c:extLst>
            </c:dLbl>
            <c:dLbl>
              <c:idx val="2"/>
              <c:layout>
                <c:manualLayout>
                  <c:x val="0.19368311316987322"/>
                  <c:y val="3.974312853806175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85-49E6-A2B3-A0BE783F6F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85-49E6-A2B3-A0BE783F6FE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85-49E6-A2B3-A0BE783F6FE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85-49E6-A2B3-A0BE783F6FE3}"/>
                </c:ext>
              </c:extLst>
            </c:dLbl>
            <c:dLbl>
              <c:idx val="6"/>
              <c:layout>
                <c:manualLayout>
                  <c:x val="-0.21694052746603609"/>
                  <c:y val="-6.585357619848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085-49E6-A2B3-A0BE783F6FE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85-49E6-A2B3-A0BE783F6FE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85-49E6-A2B3-A0BE783F6FE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085-49E6-A2B3-A0BE783F6F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'09 05 2022'!$L$5:$L$14</c:f>
              <c:numCache>
                <c:formatCode>0%</c:formatCode>
                <c:ptCount val="10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0.42857142857142855</c:v>
                </c:pt>
                <c:pt idx="9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085-49E6-A2B3-A0BE783F6F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ED3-B9EB-E003D4E2D957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ED3-B9EB-E003D4E2D957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ED3-B9EB-E003D4E2D957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D5-4ED3-B9EB-E003D4E2D957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D5-4ED3-B9EB-E003D4E2D957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D5-4ED3-B9EB-E003D4E2D957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D5-4ED3-B9EB-E003D4E2D957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D5-4ED3-B9EB-E003D4E2D957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D5-4ED3-B9EB-E003D4E2D957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D5-4ED3-B9EB-E003D4E2D95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ED3-B9EB-E003D4E2D9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D5-4ED3-B9EB-E003D4E2D957}"/>
                </c:ext>
              </c:extLst>
            </c:dLbl>
            <c:dLbl>
              <c:idx val="2"/>
              <c:layout>
                <c:manualLayout>
                  <c:x val="5.6516121872424809E-2"/>
                  <c:y val="-1.719817154865566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ED3-B9EB-E003D4E2D95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D5-4ED3-B9EB-E003D4E2D95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D5-4ED3-B9EB-E003D4E2D95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D5-4ED3-B9EB-E003D4E2D95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D5-4ED3-B9EB-E003D4E2D95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9D5-4ED3-B9EB-E003D4E2D95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D5-4ED3-B9EB-E003D4E2D95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D5-4ED3-B9EB-E003D4E2D9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'16 05 2022 '!$L$5:$L$14</c:f>
              <c:numCache>
                <c:formatCode>0%</c:formatCode>
                <c:ptCount val="10"/>
                <c:pt idx="0">
                  <c:v>0.42857142857142855</c:v>
                </c:pt>
                <c:pt idx="1">
                  <c:v>0</c:v>
                </c:pt>
                <c:pt idx="2">
                  <c:v>0.2857142857142857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D5-4ED3-B9EB-E003D4E2D9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C5-40FB-A730-54DF858F207D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C5-40FB-A730-54DF858F207D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C5-40FB-A730-54DF858F207D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C5-40FB-A730-54DF858F207D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C5-40FB-A730-54DF858F207D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2C5-40FB-A730-54DF858F207D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2C5-40FB-A730-54DF858F207D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2C5-40FB-A730-54DF858F207D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2C5-40FB-A730-54DF858F207D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2C5-40FB-A730-54DF858F20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C5-40FB-A730-54DF858F20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C5-40FB-A730-54DF858F207D}"/>
                </c:ext>
              </c:extLst>
            </c:dLbl>
            <c:dLbl>
              <c:idx val="2"/>
              <c:layout>
                <c:manualLayout>
                  <c:x val="5.6516121872424809E-2"/>
                  <c:y val="-1.719817154865566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C5-40FB-A730-54DF858F20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C5-40FB-A730-54DF858F20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C5-40FB-A730-54DF858F207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C5-40FB-A730-54DF858F207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C5-40FB-A730-54DF858F20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C5-40FB-A730-54DF858F207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C5-40FB-A730-54DF858F207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C5-40FB-A730-54DF858F2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'23 05 2022  '!$L$5:$L$14</c:f>
              <c:numCache>
                <c:formatCode>0%</c:formatCode>
                <c:ptCount val="10"/>
                <c:pt idx="0">
                  <c:v>0.2</c:v>
                </c:pt>
                <c:pt idx="1">
                  <c:v>0.1</c:v>
                </c:pt>
                <c:pt idx="2">
                  <c:v>0.05</c:v>
                </c:pt>
                <c:pt idx="3">
                  <c:v>0.2</c:v>
                </c:pt>
                <c:pt idx="4">
                  <c:v>0.05</c:v>
                </c:pt>
                <c:pt idx="5">
                  <c:v>0</c:v>
                </c:pt>
                <c:pt idx="6">
                  <c:v>0.35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2C5-40FB-A730-54DF858F20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A-4A14-9A05-13B32D096D0B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3A-4A14-9A05-13B32D096D0B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3A-4A14-9A05-13B32D096D0B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3A-4A14-9A05-13B32D096D0B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3A-4A14-9A05-13B32D096D0B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3A-4A14-9A05-13B32D096D0B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3A-4A14-9A05-13B32D096D0B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3A-4A14-9A05-13B32D096D0B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3A-4A14-9A05-13B32D096D0B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3A-4A14-9A05-13B32D096D0B}"/>
              </c:ext>
            </c:extLst>
          </c:dPt>
          <c:dLbls>
            <c:delete val="1"/>
          </c:dLbls>
          <c:cat>
            <c:strRef>
              <c:f>'30 05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'30 05 2022   '!$L$5:$L$14</c:f>
              <c:numCache>
                <c:formatCode>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73A-4A14-9A05-13B32D096D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C9-4721-8B6F-F397AF2F92F5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C9-4721-8B6F-F397AF2F92F5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C9-4721-8B6F-F397AF2F92F5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C9-4721-8B6F-F397AF2F92F5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C9-4721-8B6F-F397AF2F92F5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3C9-4721-8B6F-F397AF2F92F5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3C9-4721-8B6F-F397AF2F92F5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3C9-4721-8B6F-F397AF2F92F5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3C9-4721-8B6F-F397AF2F92F5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3C9-4721-8B6F-F397AF2F92F5}"/>
              </c:ext>
            </c:extLst>
          </c:dPt>
          <c:dLbls>
            <c:delete val="1"/>
          </c:dLbls>
          <c:cat>
            <c:strRef>
              <c:f>'06 06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'06 06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C9-4721-8B6F-F397AF2F92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9A-4FA2-888A-FE8B39BC5EAD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9A-4FA2-888A-FE8B39BC5EAD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9A-4FA2-888A-FE8B39BC5EAD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9A-4FA2-888A-FE8B39BC5EAD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9A-4FA2-888A-FE8B39BC5EAD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9A-4FA2-888A-FE8B39BC5EAD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9A-4FA2-888A-FE8B39BC5EAD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99A-4FA2-888A-FE8B39BC5EAD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99A-4FA2-888A-FE8B39BC5EAD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9A-4FA2-888A-FE8B39BC5EAD}"/>
              </c:ext>
            </c:extLst>
          </c:dPt>
          <c:dLbls>
            <c:delete val="1"/>
          </c:dLbls>
          <c:cat>
            <c:strRef>
              <c:f>'13 06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'13 06 2022   '!$L$5:$L$14</c:f>
              <c:numCache>
                <c:formatCode>0%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99A-4FA2-888A-FE8B39BC5E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DC-4E8B-BF2A-DB5FD7D7A5A2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DC-4E8B-BF2A-DB5FD7D7A5A2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DC-4E8B-BF2A-DB5FD7D7A5A2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DC-4E8B-BF2A-DB5FD7D7A5A2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DC-4E8B-BF2A-DB5FD7D7A5A2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DC-4E8B-BF2A-DB5FD7D7A5A2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2DC-4E8B-BF2A-DB5FD7D7A5A2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2DC-4E8B-BF2A-DB5FD7D7A5A2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2DC-4E8B-BF2A-DB5FD7D7A5A2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2DC-4E8B-BF2A-DB5FD7D7A5A2}"/>
              </c:ext>
            </c:extLst>
          </c:dPt>
          <c:dLbls>
            <c:delete val="1"/>
          </c:dLbls>
          <c:cat>
            <c:strRef>
              <c:f>'20 06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'20 06 2022   '!$L$5:$L$14</c:f>
              <c:numCache>
                <c:formatCode>0%</c:formatCode>
                <c:ptCount val="10"/>
                <c:pt idx="0">
                  <c:v>0.375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2DC-4E8B-BF2A-DB5FD7D7A5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BE-4FF1-811A-A06CF9CF6596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BE-4FF1-811A-A06CF9CF6596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BE-4FF1-811A-A06CF9CF6596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BE-4FF1-811A-A06CF9CF6596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BE-4FF1-811A-A06CF9CF6596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2BE-4FF1-811A-A06CF9CF6596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2BE-4FF1-811A-A06CF9CF6596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2BE-4FF1-811A-A06CF9CF6596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2BE-4FF1-811A-A06CF9CF6596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2BE-4FF1-811A-A06CF9CF6596}"/>
              </c:ext>
            </c:extLst>
          </c:dPt>
          <c:dLbls>
            <c:delete val="1"/>
          </c:dLbls>
          <c:cat>
            <c:strRef>
              <c:f>'27 06 2022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'27 06 2022  '!$L$5:$L$14</c:f>
              <c:numCache>
                <c:formatCode>0%</c:formatCode>
                <c:ptCount val="10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2BE-4FF1-811A-A06CF9CF65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050874890638671"/>
          <c:y val="0.19608539378437564"/>
          <c:w val="0.44787160979877516"/>
          <c:h val="0.68464449905545244"/>
        </c:manualLayout>
      </c:layout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AC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4C-46F7-AC6E-CB3792DA062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C-46F7-AC6E-CB3792DA062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A4C-46F7-AC6E-CB3792DA062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C-46F7-AC6E-CB3792DA0627}"/>
              </c:ext>
            </c:extLst>
          </c:dPt>
          <c:dPt>
            <c:idx val="4"/>
            <c:bubble3D val="0"/>
            <c:spPr>
              <a:solidFill>
                <a:srgbClr val="739A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A4C-46F7-AC6E-CB3792DA0627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C-46F7-AC6E-CB3792DA0627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A4C-46F7-AC6E-CB3792DA0627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C-46F7-AC6E-CB3792DA0627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A4C-46F7-AC6E-CB3792DA0627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C-46F7-AC6E-CB3792DA062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4C-46F7-AC6E-CB3792DA062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4C-46F7-AC6E-CB3792DA062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4C-46F7-AC6E-CB3792DA062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Acumulado!$A$3:$A$12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Acumulado!$V$3:$V$12</c:f>
              <c:numCache>
                <c:formatCode>0%</c:formatCode>
                <c:ptCount val="10"/>
                <c:pt idx="0">
                  <c:v>0.14799999999999999</c:v>
                </c:pt>
                <c:pt idx="1">
                  <c:v>0.04</c:v>
                </c:pt>
                <c:pt idx="2">
                  <c:v>2.8000000000000001E-2</c:v>
                </c:pt>
                <c:pt idx="3">
                  <c:v>5.6000000000000001E-2</c:v>
                </c:pt>
                <c:pt idx="4">
                  <c:v>0.112</c:v>
                </c:pt>
                <c:pt idx="5">
                  <c:v>0.316</c:v>
                </c:pt>
                <c:pt idx="6">
                  <c:v>0.128</c:v>
                </c:pt>
                <c:pt idx="7">
                  <c:v>0.02</c:v>
                </c:pt>
                <c:pt idx="8">
                  <c:v>7.5999999999999998E-2</c:v>
                </c:pt>
                <c:pt idx="9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C-46F7-AC6E-CB3792DA0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100" b="1" u="sng">
                <a:solidFill>
                  <a:srgbClr val="002060"/>
                </a:solidFill>
              </a:rPr>
              <a:t>Atendimento de Irrigação (Impacto - Problemas Mecânicos) -</a:t>
            </a:r>
            <a:r>
              <a:rPr lang="pt-BR" sz="1100" b="1" u="sng" baseline="0">
                <a:solidFill>
                  <a:srgbClr val="002060"/>
                </a:solidFill>
              </a:rPr>
              <a:t> </a:t>
            </a:r>
            <a:r>
              <a:rPr lang="pt-BR" sz="1100" b="1" u="sng">
                <a:solidFill>
                  <a:srgbClr val="002060"/>
                </a:solidFill>
              </a:rPr>
              <a:t>1º Semestre de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Redutor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5-4549-8399-C666AD58CDDD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Motorredutor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5-4549-8399-C666AD58CDDD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Castanha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5-4549-8399-C666AD58CDDD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Vedação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5-4549-8399-C666AD58CDDD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Pneu</c:v>
                </c:pt>
              </c:strCache>
            </c:strRef>
          </c:tx>
          <c:spPr>
            <a:solidFill>
              <a:srgbClr val="739AC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5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75-4549-8399-C666AD58CDDD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Estrutura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75-4549-8399-C666AD58CDDD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Bomba/Sucção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75-4549-8399-C666AD58CDDD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Mangote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75-4549-8399-C666AD58CDDD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Canal/Reservatório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75-4549-8399-C666AD58CDDD}"/>
            </c:ext>
          </c:extLst>
        </c:ser>
        <c:ser>
          <c:idx val="9"/>
          <c:order val="9"/>
          <c:tx>
            <c:strRef>
              <c:f>Acumulado!$A$12</c:f>
              <c:strCache>
                <c:ptCount val="1"/>
                <c:pt idx="0">
                  <c:v>Adutora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Acumulado!$B$12:$T$12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75-4549-8399-C666AD58C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75054136"/>
        <c:axId val="475054464"/>
      </c:barChart>
      <c:dateAx>
        <c:axId val="475054136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54464"/>
        <c:crosses val="autoZero"/>
        <c:auto val="1"/>
        <c:lblOffset val="100"/>
        <c:baseTimeUnit val="days"/>
      </c:dateAx>
      <c:valAx>
        <c:axId val="4750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5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42092449711407"/>
          <c:y val="0.23671893232296382"/>
          <c:w val="0.23116525927216844"/>
          <c:h val="0.66865221249209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273555</xdr:colOff>
      <xdr:row>2</xdr:row>
      <xdr:rowOff>18376</xdr:rowOff>
    </xdr:from>
    <xdr:to>
      <xdr:col>19</xdr:col>
      <xdr:colOff>583863</xdr:colOff>
      <xdr:row>21</xdr:row>
      <xdr:rowOff>53340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7E84D85-5111-41C3-8746-F4700CF1E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50DE03-9DA7-46C9-9F80-193D59F498AD}"/>
            </a:ext>
          </a:extLst>
        </xdr:cNvPr>
        <xdr:cNvSpPr/>
      </xdr:nvSpPr>
      <xdr:spPr>
        <a:xfrm>
          <a:off x="13116427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99D758-DF1F-4DD6-A3EF-50252DBDE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3E0087-584B-4142-9C98-491ECD4B28B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C9ACD-584D-47C9-B1D2-FFB7CCC24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0607D5-B224-4F13-A64F-1DDCB8D16AE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7295AC-22AA-4D37-A4D6-A78807B9A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67D55C-EAF0-4E9F-843F-38D80235D14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673053-23E9-4800-A429-905E64CE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BBD5C-A7BE-4752-A23B-53B0ABF5FC06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2113D-EC2A-4A14-9E42-770D26DD3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D93735-6E4E-4144-8A8B-C33A8F49DB9C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FA33ED-3F25-4141-B201-D7FB66B74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4C6E0D-08DE-4BDE-B72A-DD02386DE008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E149A3-68CD-4665-A232-B86390CA1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BE975A-9DC0-4D10-8AFF-F88583832995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302130</xdr:colOff>
      <xdr:row>2</xdr:row>
      <xdr:rowOff>18376</xdr:rowOff>
    </xdr:from>
    <xdr:to>
      <xdr:col>20</xdr:col>
      <xdr:colOff>2838</xdr:colOff>
      <xdr:row>21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A96F38-88B3-498C-9A47-D21B7268D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6F491-3D94-49D9-9276-A18440C7EA8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7A99B2-EC2A-40F8-857B-B33435D48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02F694-F9C8-48D2-A586-2188743709EE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435480</xdr:colOff>
      <xdr:row>7</xdr:row>
      <xdr:rowOff>85051</xdr:rowOff>
    </xdr:from>
    <xdr:to>
      <xdr:col>20</xdr:col>
      <xdr:colOff>136188</xdr:colOff>
      <xdr:row>27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2CA49-7A56-4B33-AD25-2DFD95784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0ACD5-A386-49E2-97C4-B0A453DC03BC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C37E72-E2EF-4D5A-9FFB-01C4D089D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4DF118-F494-45D3-BA5D-F83D19139CAD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3773AA-C53D-4138-89F1-B3AC6BD31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9F06B-5D2B-4F78-915C-B2EFE9D5A360}"/>
            </a:ext>
            <a:ext uri="{147F2762-F138-4A5C-976F-8EAC2B608ADB}">
              <a16:predDERef xmlns:a16="http://schemas.microsoft.com/office/drawing/2014/main" pred="{AD3773AA-C53D-4138-89F1-B3AC6BD313B9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55DAB8-9954-4445-BC97-68FBC4D6A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9DBBB7-AD46-43E3-A42B-0A92CBEEE31F}"/>
            </a:ext>
            <a:ext uri="{147F2762-F138-4A5C-976F-8EAC2B608ADB}">
              <a16:predDERef xmlns:a16="http://schemas.microsoft.com/office/drawing/2014/main" pred="{C355DAB8-9954-4445-BC97-68FBC4D6A4B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190B3F-1349-4C53-BCE0-CA9B285FE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957223-B44C-4446-BA11-C824C466BDD2}"/>
            </a:ext>
            <a:ext uri="{147F2762-F138-4A5C-976F-8EAC2B608ADB}">
              <a16:predDERef xmlns:a16="http://schemas.microsoft.com/office/drawing/2014/main" pred="{F3190B3F-1349-4C53-BCE0-CA9B285FEE45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B835C9-2D07-417B-A8C1-BE0840E75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953A52-73DC-4ED2-9C96-58AC6C8C55E7}"/>
            </a:ext>
            <a:ext uri="{147F2762-F138-4A5C-976F-8EAC2B608ADB}">
              <a16:predDERef xmlns:a16="http://schemas.microsoft.com/office/drawing/2014/main" pred="{C2B835C9-2D07-417B-A8C1-BE0840E751CB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F82D0C-4521-4016-B83C-9F2A454AD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B94792-5E3E-45D1-885F-698299CEC440}"/>
            </a:ext>
            <a:ext uri="{147F2762-F138-4A5C-976F-8EAC2B608ADB}">
              <a16:predDERef xmlns:a16="http://schemas.microsoft.com/office/drawing/2014/main" pred="{1CF82D0C-4521-4016-B83C-9F2A454AD43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0CBD0F-91D5-4BA7-8EF7-C2CCCB395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885854-924B-4695-BEC0-40217BF12B4F}"/>
            </a:ext>
            <a:ext uri="{147F2762-F138-4A5C-976F-8EAC2B608ADB}">
              <a16:predDERef xmlns:a16="http://schemas.microsoft.com/office/drawing/2014/main" pred="{D60CBD0F-91D5-4BA7-8EF7-C2CCCB3955CA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BD8A6-D3DB-4EFB-AB39-DE838013E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3390BC-5890-47AF-BD8D-8177F6EE4661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15</xdr:row>
      <xdr:rowOff>0</xdr:rowOff>
    </xdr:from>
    <xdr:to>
      <xdr:col>18</xdr:col>
      <xdr:colOff>314325</xdr:colOff>
      <xdr:row>30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A0A0AF-2C43-4D87-831A-A1774B7D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15</xdr:row>
      <xdr:rowOff>14286</xdr:rowOff>
    </xdr:from>
    <xdr:to>
      <xdr:col>8</xdr:col>
      <xdr:colOff>590550</xdr:colOff>
      <xdr:row>31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7722BE-21E7-4DE3-A38E-1DF95956A6D4}"/>
            </a:ext>
            <a:ext uri="{147F2762-F138-4A5C-976F-8EAC2B608ADB}">
              <a16:predDERef xmlns:a16="http://schemas.microsoft.com/office/drawing/2014/main" pred="{B1A0A0AF-2C43-4D87-831A-A1774B7D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>
    <tabColor theme="4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J10" sqref="J10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44613</v>
      </c>
      <c r="C3" s="25">
        <v>44614</v>
      </c>
      <c r="D3" s="25">
        <v>44615</v>
      </c>
      <c r="E3" s="25">
        <v>44616</v>
      </c>
      <c r="F3" s="25">
        <v>44617</v>
      </c>
      <c r="G3" s="25">
        <v>44618</v>
      </c>
      <c r="H3" s="26">
        <v>44619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0">TEXT(B3,"ddd")</f>
        <v>seg</v>
      </c>
      <c r="C4" s="28" t="str">
        <f t="shared" si="0"/>
        <v>ter</v>
      </c>
      <c r="D4" s="28" t="str">
        <f t="shared" si="0"/>
        <v>qua</v>
      </c>
      <c r="E4" s="28" t="str">
        <f t="shared" si="0"/>
        <v>qui</v>
      </c>
      <c r="F4" s="28" t="str">
        <f t="shared" si="0"/>
        <v>sex</v>
      </c>
      <c r="G4" s="28" t="str">
        <f t="shared" si="0"/>
        <v>sáb</v>
      </c>
      <c r="H4" s="29" t="str">
        <f t="shared" si="0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1">COUNTIF($B$5:$H$93,J5)</f>
        <v>1</v>
      </c>
      <c r="L5" s="39">
        <f t="shared" ref="L5:L13" si="2">K5/$K$15</f>
        <v>0.16666666666666666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1"/>
        <v>1</v>
      </c>
      <c r="L6" s="41">
        <f t="shared" si="2"/>
        <v>0.16666666666666666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1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1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1"/>
        <v>0</v>
      </c>
      <c r="L9" s="41">
        <f t="shared" si="2"/>
        <v>0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15</v>
      </c>
      <c r="K10" s="40">
        <f t="shared" si="1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17</v>
      </c>
      <c r="K11" s="40">
        <f t="shared" si="1"/>
        <v>2</v>
      </c>
      <c r="L11" s="41">
        <f t="shared" si="2"/>
        <v>0.33333333333333331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>K14/$K$15</f>
        <v>0.33333333333333331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6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 t="s">
        <v>7</v>
      </c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 t="s">
        <v>17</v>
      </c>
      <c r="H42" s="23" t="s">
        <v>17</v>
      </c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 t="s">
        <v>5</v>
      </c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 t="s">
        <v>23</v>
      </c>
      <c r="D75" s="23" t="s">
        <v>23</v>
      </c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phoneticPr fontId="3" type="noConversion"/>
  <conditionalFormatting sqref="A1:A1048576">
    <cfRule type="containsText" dxfId="493" priority="30" operator="containsText" text="Pivô">
      <formula>NOT(ISERROR(SEARCH("Pivô",A1)))</formula>
    </cfRule>
    <cfRule type="containsText" dxfId="492" priority="31" operator="containsText" text="Pivô">
      <formula>NOT(ISERROR(SEARCH("Pivô",A1)))</formula>
    </cfRule>
  </conditionalFormatting>
  <conditionalFormatting sqref="B5:H93">
    <cfRule type="containsText" dxfId="491" priority="17" operator="containsText" text="Cardã">
      <formula>NOT(ISERROR(SEARCH("Cardã",B5)))</formula>
    </cfRule>
    <cfRule type="containsText" dxfId="490" priority="18" operator="containsText" text="Pneu">
      <formula>NOT(ISERROR(SEARCH("Pneu",B5)))</formula>
    </cfRule>
    <cfRule type="containsText" dxfId="489" priority="19" operator="containsText" text="Vedação">
      <formula>NOT(ISERROR(SEARCH("Vedação",B5)))</formula>
    </cfRule>
    <cfRule type="containsText" dxfId="488" priority="20" operator="containsText" text="Retentor">
      <formula>NOT(ISERROR(SEARCH("Retentor",B5)))</formula>
    </cfRule>
    <cfRule type="containsText" dxfId="487" priority="21" operator="containsText" text="Motorredutor">
      <formula>NOT(ISERROR(SEARCH("Motorredutor",B5)))</formula>
    </cfRule>
    <cfRule type="containsText" dxfId="486" priority="22" operator="containsText" text="Redutor">
      <formula>NOT(ISERROR(SEARCH("Redutor",B5)))</formula>
    </cfRule>
    <cfRule type="containsText" dxfId="485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F97EC04-B39C-4186-91BB-CAE49817515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" operator="containsText" id="{D5A35EB8-015C-47F8-9874-291CA56FA04E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0F36D471-2E03-483C-BDDD-93CDAE902B1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4845A7B2-9A85-4A0C-A541-EEC6336EBEC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E188CDD9-071B-4028-9D01-A8D6675067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583C4B5B-AAA3-491D-B6A6-870F155771E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C6911429-FE15-4266-8C2A-A80BD170CB4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86633C8-6B47-4586-8C6D-5B5B1EB71B9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D0F51C14-C2A0-492E-9679-6A21833C9E8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D36DD20-4576-433E-9EB3-6FE9BB1EADB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4A6F30C9-ACCC-4948-A27B-A74EECF2B824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3E9FF92F-E974-4853-B349-F003A772BA2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CBA25C93-5720-4508-98D7-696FA3D928C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F555F03A-4E13-4190-BDE4-62AF0DFC608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50F1CF7-284B-49E9-9B56-05BA2408F2B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A9ADA55-7DB3-4D56-AA91-7E390B13E0B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12CE347A-F8F5-433F-8E55-E638A890FDC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A65C4767-DE5C-44C5-A313-9ADAB72E3D7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8B24-C74A-4728-A305-5F93C6D72932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V11" sqref="V1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104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44620</v>
      </c>
      <c r="C3" s="25">
        <f>B3+1</f>
        <v>44621</v>
      </c>
      <c r="D3" s="25">
        <f t="shared" ref="D3:H3" si="0">C3+1</f>
        <v>44622</v>
      </c>
      <c r="E3" s="25">
        <f t="shared" si="0"/>
        <v>44623</v>
      </c>
      <c r="F3" s="25">
        <f t="shared" si="0"/>
        <v>44624</v>
      </c>
      <c r="G3" s="25">
        <f t="shared" si="0"/>
        <v>44625</v>
      </c>
      <c r="H3" s="25">
        <f t="shared" si="0"/>
        <v>44626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2</v>
      </c>
      <c r="L5" s="39">
        <f t="shared" ref="L5:L14" si="3">K5/$K$15</f>
        <v>0.11764705882352941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12</v>
      </c>
      <c r="B9" s="23"/>
      <c r="C9" s="23"/>
      <c r="D9" s="23" t="s">
        <v>13</v>
      </c>
      <c r="E9" s="23"/>
      <c r="F9" s="23"/>
      <c r="G9" s="23"/>
      <c r="H9" s="23"/>
      <c r="J9" s="15" t="s">
        <v>13</v>
      </c>
      <c r="K9" s="40">
        <f t="shared" si="2"/>
        <v>2</v>
      </c>
      <c r="L9" s="41">
        <f t="shared" si="3"/>
        <v>0.11764705882352941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10</v>
      </c>
      <c r="L10" s="41">
        <f t="shared" si="3"/>
        <v>0.58823529411764708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2"/>
        <v>1</v>
      </c>
      <c r="L11" s="41">
        <f t="shared" si="3"/>
        <v>5.8823529411764705E-2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 t="shared" si="3"/>
        <v>0.11764705882352941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17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 t="s">
        <v>105</v>
      </c>
      <c r="C20" s="23" t="s">
        <v>105</v>
      </c>
      <c r="D20" s="23" t="s">
        <v>105</v>
      </c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 t="s">
        <v>13</v>
      </c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 t="s">
        <v>23</v>
      </c>
      <c r="E34" s="23" t="s">
        <v>23</v>
      </c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 t="s">
        <v>5</v>
      </c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 t="s">
        <v>5</v>
      </c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 t="s">
        <v>106</v>
      </c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 t="s">
        <v>105</v>
      </c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 t="s">
        <v>105</v>
      </c>
      <c r="G90" s="23"/>
      <c r="H90" s="23"/>
    </row>
    <row r="91" spans="1:8" x14ac:dyDescent="0.25">
      <c r="A91" s="8" t="s">
        <v>101</v>
      </c>
      <c r="B91" s="23" t="s">
        <v>105</v>
      </c>
      <c r="C91" s="23" t="s">
        <v>105</v>
      </c>
      <c r="D91" s="23" t="s">
        <v>105</v>
      </c>
      <c r="E91" s="23" t="s">
        <v>105</v>
      </c>
      <c r="F91" s="23" t="s">
        <v>105</v>
      </c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67" priority="24" operator="containsText" text="Pivô">
      <formula>NOT(ISERROR(SEARCH("Pivô",A1)))</formula>
    </cfRule>
    <cfRule type="containsText" dxfId="466" priority="25" operator="containsText" text="Pivô">
      <formula>NOT(ISERROR(SEARCH("Pivô",A1)))</formula>
    </cfRule>
  </conditionalFormatting>
  <conditionalFormatting sqref="B5:H93">
    <cfRule type="containsText" dxfId="465" priority="17" operator="containsText" text="Cardã">
      <formula>NOT(ISERROR(SEARCH("Cardã",B5)))</formula>
    </cfRule>
    <cfRule type="containsText" dxfId="464" priority="18" operator="containsText" text="Pneu">
      <formula>NOT(ISERROR(SEARCH("Pneu",B5)))</formula>
    </cfRule>
    <cfRule type="containsText" dxfId="463" priority="19" operator="containsText" text="Vedação">
      <formula>NOT(ISERROR(SEARCH("Vedação",B5)))</formula>
    </cfRule>
    <cfRule type="containsText" dxfId="462" priority="20" operator="containsText" text="Retentor">
      <formula>NOT(ISERROR(SEARCH("Retentor",B5)))</formula>
    </cfRule>
    <cfRule type="containsText" dxfId="461" priority="21" operator="containsText" text="Motorredutor">
      <formula>NOT(ISERROR(SEARCH("Motorredutor",B5)))</formula>
    </cfRule>
    <cfRule type="containsText" dxfId="460" priority="22" operator="containsText" text="Redutor">
      <formula>NOT(ISERROR(SEARCH("Redutor",B5)))</formula>
    </cfRule>
    <cfRule type="containsText" dxfId="459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1ECC411-7E8B-421D-93DB-8BC360137039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3B09820A-8B3B-42E0-BE38-EAFF5E4A9728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4A1CB1BD-C77A-4677-A055-486F5856BB4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4527C2A2-47BB-428D-9FF8-8FCA6044D6C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7A0D7C7-ADA4-461E-AF44-CAE12FF6291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BFD8C620-F800-4E9C-A49C-003E740E2EC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C745809-D4CA-45F5-BD25-8F79FF03AC0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32E9D393-13DF-4150-B2C8-3B7B9BC9801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9C2C8782-E113-476D-A2DC-17624B78329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D6EE5B6D-6788-407D-BF47-7EEE6B34EB1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AEE3D94B-D012-4712-8C83-544DC6857DBB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3A8A669B-A4C6-43E7-B909-D524C920081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9A3E2BF2-B62B-44A9-BCCD-5AD823ED092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ADBAB915-CF57-4D7D-8468-70EF388BAA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79F6AA4F-D6C3-413B-ABAD-46BE534BE3A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8C0824E-6F45-4749-9ECF-788F97A805B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5F8C1B27-F7E1-47AE-89EC-85C609E5457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4E1EB257-52FE-4FEA-B80A-969B6921BDA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C879-57AA-46A1-A74A-41A1F2DFDE5E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sqref="A1:H2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107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44627</v>
      </c>
      <c r="C3" s="25">
        <f>B3+1</f>
        <v>44628</v>
      </c>
      <c r="D3" s="25">
        <f t="shared" ref="D3:H3" si="0">C3+1</f>
        <v>44629</v>
      </c>
      <c r="E3" s="25">
        <f t="shared" si="0"/>
        <v>44630</v>
      </c>
      <c r="F3" s="25">
        <f t="shared" si="0"/>
        <v>44631</v>
      </c>
      <c r="G3" s="25">
        <f t="shared" si="0"/>
        <v>44632</v>
      </c>
      <c r="H3" s="25">
        <f t="shared" si="0"/>
        <v>44633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2</v>
      </c>
      <c r="L5" s="39">
        <f t="shared" ref="L5:L14" si="3">K5/$K$15</f>
        <v>0.2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2</v>
      </c>
      <c r="L9" s="41">
        <f t="shared" si="3"/>
        <v>0.2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5</v>
      </c>
      <c r="L10" s="41">
        <f t="shared" si="3"/>
        <v>0.5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1</v>
      </c>
      <c r="L12" s="41">
        <f t="shared" si="3"/>
        <v>0.1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10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 t="s">
        <v>19</v>
      </c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 t="s">
        <v>5</v>
      </c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 t="s">
        <v>13</v>
      </c>
      <c r="E29" s="23" t="s">
        <v>13</v>
      </c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 t="s">
        <v>5</v>
      </c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 t="s">
        <v>105</v>
      </c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 t="s">
        <v>105</v>
      </c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 t="s">
        <v>105</v>
      </c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 t="s">
        <v>105</v>
      </c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 t="s">
        <v>105</v>
      </c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41" priority="24" operator="containsText" text="Pivô">
      <formula>NOT(ISERROR(SEARCH("Pivô",A1)))</formula>
    </cfRule>
    <cfRule type="containsText" dxfId="440" priority="25" operator="containsText" text="Pivô">
      <formula>NOT(ISERROR(SEARCH("Pivô",A1)))</formula>
    </cfRule>
  </conditionalFormatting>
  <conditionalFormatting sqref="B5:H93">
    <cfRule type="containsText" dxfId="439" priority="17" operator="containsText" text="Cardã">
      <formula>NOT(ISERROR(SEARCH("Cardã",B5)))</formula>
    </cfRule>
    <cfRule type="containsText" dxfId="438" priority="18" operator="containsText" text="Pneu">
      <formula>NOT(ISERROR(SEARCH("Pneu",B5)))</formula>
    </cfRule>
    <cfRule type="containsText" dxfId="437" priority="19" operator="containsText" text="Vedação">
      <formula>NOT(ISERROR(SEARCH("Vedação",B5)))</formula>
    </cfRule>
    <cfRule type="containsText" dxfId="436" priority="20" operator="containsText" text="Retentor">
      <formula>NOT(ISERROR(SEARCH("Retentor",B5)))</formula>
    </cfRule>
    <cfRule type="containsText" dxfId="435" priority="21" operator="containsText" text="Motorredutor">
      <formula>NOT(ISERROR(SEARCH("Motorredutor",B5)))</formula>
    </cfRule>
    <cfRule type="containsText" dxfId="434" priority="22" operator="containsText" text="Redutor">
      <formula>NOT(ISERROR(SEARCH("Redutor",B5)))</formula>
    </cfRule>
    <cfRule type="containsText" dxfId="433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19C4115B-406B-4F53-AFD4-B0501BBE6FE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39E799A9-8A69-42CC-A96A-3B91563E916E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52D406DB-502A-46BE-8202-B2539A30C9D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9F7B3D1D-6354-4182-AA4C-DF7CCEAC468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D210725-E599-44C3-918B-3793312F5C8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7F6E47C-459C-445E-8589-EB5346AEF2F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C835AA35-4A1D-4919-8305-E9A0C1ADD54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1A7DCABA-9B39-44DB-A7D8-CE3AEE532DE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42025986-6976-419C-B5DA-92185465345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3700F6AB-B74A-4D0A-94D5-8AC27FA979D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60E0FD1E-6E8E-46AD-A99D-0F567EE8304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C1D9D59-DE36-453B-BFFA-B7F4ED3F3B9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085C69F7-FCBE-4CF1-8670-16DE2215BE0B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4741B63-518B-49B1-946C-F9A48C6ADD8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D2E258E-7307-410C-B94F-0859D0542DC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C5D1830-8A61-48D0-B871-8707987185C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AE22EE5E-5062-48D8-9833-DDEFE81A00F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34F8CCB5-3BE9-4940-B930-4D8A52DA5E1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6F5D-A786-4DCE-889B-C18F10A53637}">
  <sheetPr>
    <tabColor theme="4"/>
    <pageSetUpPr fitToPage="1"/>
  </sheetPr>
  <dimension ref="A1:P93"/>
  <sheetViews>
    <sheetView showGridLines="0" topLeftCell="E1" zoomScaleNormal="100" workbookViewId="0">
      <pane ySplit="4" topLeftCell="A5" activePane="bottomLeft" state="frozen"/>
      <selection pane="bottomLeft" activeCell="E91" sqref="E9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108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44634</v>
      </c>
      <c r="C3" s="25">
        <f>B3+1</f>
        <v>44635</v>
      </c>
      <c r="D3" s="25">
        <f t="shared" ref="D3:H3" si="0">C3+1</f>
        <v>44636</v>
      </c>
      <c r="E3" s="25">
        <f t="shared" si="0"/>
        <v>44637</v>
      </c>
      <c r="F3" s="25">
        <f t="shared" si="0"/>
        <v>44638</v>
      </c>
      <c r="G3" s="25">
        <f t="shared" si="0"/>
        <v>44639</v>
      </c>
      <c r="H3" s="25">
        <f t="shared" si="0"/>
        <v>44640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0</v>
      </c>
      <c r="L5" s="39">
        <f t="shared" ref="L5:L14" si="3">K5/$K$15</f>
        <v>0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3</v>
      </c>
      <c r="L6" s="41">
        <f t="shared" si="3"/>
        <v>0.15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1</v>
      </c>
      <c r="L8" s="41">
        <f t="shared" si="3"/>
        <v>0.05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4</v>
      </c>
      <c r="L9" s="41">
        <f t="shared" si="3"/>
        <v>0.2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11</v>
      </c>
      <c r="L10" s="41">
        <f t="shared" si="3"/>
        <v>0.55000000000000004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2"/>
        <v>1</v>
      </c>
      <c r="L11" s="41">
        <f t="shared" si="3"/>
        <v>0.05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20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 t="s">
        <v>11</v>
      </c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 t="s">
        <v>106</v>
      </c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 t="s">
        <v>13</v>
      </c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 t="s">
        <v>13</v>
      </c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 t="s">
        <v>7</v>
      </c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 t="s">
        <v>13</v>
      </c>
      <c r="D53" s="23"/>
      <c r="E53" s="23"/>
      <c r="F53" s="23"/>
      <c r="G53" s="23"/>
      <c r="H53" s="23" t="s">
        <v>13</v>
      </c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 t="s">
        <v>7</v>
      </c>
      <c r="C59" s="23" t="s">
        <v>7</v>
      </c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 t="s">
        <v>105</v>
      </c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 t="s">
        <v>105</v>
      </c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 t="s">
        <v>105</v>
      </c>
      <c r="H79" s="23"/>
    </row>
    <row r="80" spans="1:8" x14ac:dyDescent="0.25">
      <c r="A80" s="8" t="s">
        <v>90</v>
      </c>
      <c r="B80" s="23"/>
      <c r="C80" s="23" t="s">
        <v>105</v>
      </c>
      <c r="D80" s="23" t="s">
        <v>105</v>
      </c>
      <c r="E80" s="23"/>
      <c r="F80" s="23"/>
      <c r="G80" s="23"/>
      <c r="H80" s="23" t="s">
        <v>105</v>
      </c>
    </row>
    <row r="81" spans="1:8" x14ac:dyDescent="0.25">
      <c r="A81" s="8" t="s">
        <v>91</v>
      </c>
      <c r="B81" s="23"/>
      <c r="C81" s="23"/>
      <c r="D81" s="23" t="s">
        <v>105</v>
      </c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 t="s">
        <v>105</v>
      </c>
      <c r="D90" s="23" t="s">
        <v>105</v>
      </c>
      <c r="E90" s="23"/>
      <c r="F90" s="23"/>
      <c r="G90" s="23"/>
      <c r="H90" s="23" t="s">
        <v>105</v>
      </c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 t="s">
        <v>105</v>
      </c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15" priority="24" operator="containsText" text="Pivô">
      <formula>NOT(ISERROR(SEARCH("Pivô",A1)))</formula>
    </cfRule>
    <cfRule type="containsText" dxfId="414" priority="25" operator="containsText" text="Pivô">
      <formula>NOT(ISERROR(SEARCH("Pivô",A1)))</formula>
    </cfRule>
  </conditionalFormatting>
  <conditionalFormatting sqref="B5:H93">
    <cfRule type="containsText" dxfId="413" priority="17" operator="containsText" text="Cardã">
      <formula>NOT(ISERROR(SEARCH("Cardã",B5)))</formula>
    </cfRule>
    <cfRule type="containsText" dxfId="412" priority="18" operator="containsText" text="Pneu">
      <formula>NOT(ISERROR(SEARCH("Pneu",B5)))</formula>
    </cfRule>
    <cfRule type="containsText" dxfId="411" priority="19" operator="containsText" text="Vedação">
      <formula>NOT(ISERROR(SEARCH("Vedação",B5)))</formula>
    </cfRule>
    <cfRule type="containsText" dxfId="410" priority="20" operator="containsText" text="Retentor">
      <formula>NOT(ISERROR(SEARCH("Retentor",B5)))</formula>
    </cfRule>
    <cfRule type="containsText" dxfId="409" priority="21" operator="containsText" text="Motorredutor">
      <formula>NOT(ISERROR(SEARCH("Motorredutor",B5)))</formula>
    </cfRule>
    <cfRule type="containsText" dxfId="408" priority="22" operator="containsText" text="Redutor">
      <formula>NOT(ISERROR(SEARCH("Redutor",B5)))</formula>
    </cfRule>
    <cfRule type="containsText" dxfId="407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7C28CE1-B4AB-455F-9A0F-23616B2296C6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5D8AFD22-8548-4E1E-A9CF-D79CEEDE257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4E6B99C3-F99E-49EA-9568-92A666DBF18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A7695B53-9617-4A3D-8F9D-0AB7205D8D2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5A35E42A-39B8-4F48-8C71-32E0BE571C5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88A423E2-D152-4804-A85D-6F68DBAADE8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2F90E5CD-C2C7-47E7-97CA-C8ABD10457A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97214756-AD46-4797-A2ED-9B267C92FA1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1CBD7A6-2F12-48FF-A179-E3726E91C4E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322BE933-DFF3-4F68-9B61-0E3289F4325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AFA6920A-201C-4B1D-8DF9-4A74786859F1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11DA6394-7307-4DA1-8D6E-2E7A8E6E87C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0AD804BB-820C-455A-A341-D47966EB58C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9A9CCB0-27EA-466E-8A5E-2B6004A715E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A6534BFD-A8BB-4BF8-B4A1-EC2F429D1BE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CCD5A3C-DB74-4B25-9431-1336E0CE667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D4DCE65B-FF01-4DD0-A6C4-3B0D1099814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DD12FF8C-AA45-4D6F-830C-DE9FDE676E18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56EB-358F-403C-AD62-1613A3191EBB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A3" sqref="A3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109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44641</v>
      </c>
      <c r="C3" s="25">
        <f>B3+1</f>
        <v>44642</v>
      </c>
      <c r="D3" s="25">
        <f t="shared" ref="D3:H3" si="0">C3+1</f>
        <v>44643</v>
      </c>
      <c r="E3" s="25">
        <f t="shared" si="0"/>
        <v>44644</v>
      </c>
      <c r="F3" s="25">
        <f t="shared" si="0"/>
        <v>44645</v>
      </c>
      <c r="G3" s="25">
        <f t="shared" si="0"/>
        <v>44646</v>
      </c>
      <c r="H3" s="25">
        <f t="shared" si="0"/>
        <v>44647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0</v>
      </c>
      <c r="L5" s="39">
        <f t="shared" ref="L5:L14" si="3">K5/$K$15</f>
        <v>0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12</v>
      </c>
      <c r="B9" s="23" t="s">
        <v>19</v>
      </c>
      <c r="C9" s="23"/>
      <c r="D9" s="23"/>
      <c r="E9" s="23"/>
      <c r="F9" s="23"/>
      <c r="G9" s="23"/>
      <c r="H9" s="23"/>
      <c r="J9" s="15" t="s">
        <v>13</v>
      </c>
      <c r="K9" s="40">
        <f t="shared" si="2"/>
        <v>1</v>
      </c>
      <c r="L9" s="41">
        <f t="shared" si="3"/>
        <v>6.6666666666666666E-2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11</v>
      </c>
      <c r="L10" s="41">
        <f t="shared" si="3"/>
        <v>0.73333333333333328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3</v>
      </c>
      <c r="L12" s="41">
        <f t="shared" si="3"/>
        <v>0.2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15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 t="s">
        <v>19</v>
      </c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 t="s">
        <v>13</v>
      </c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 t="s">
        <v>19</v>
      </c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 t="s">
        <v>105</v>
      </c>
      <c r="F78" s="23"/>
      <c r="G78" s="23"/>
      <c r="H78" s="23"/>
    </row>
    <row r="79" spans="1:8" x14ac:dyDescent="0.25">
      <c r="A79" s="8" t="s">
        <v>89</v>
      </c>
      <c r="B79" s="23"/>
      <c r="C79" s="23" t="s">
        <v>105</v>
      </c>
      <c r="D79" s="23" t="s">
        <v>105</v>
      </c>
      <c r="E79" s="23"/>
      <c r="F79" s="23"/>
      <c r="G79" s="23" t="s">
        <v>105</v>
      </c>
      <c r="H79" s="23"/>
    </row>
    <row r="80" spans="1:8" x14ac:dyDescent="0.25">
      <c r="A80" s="8" t="s">
        <v>90</v>
      </c>
      <c r="B80" s="23"/>
      <c r="C80" s="23"/>
      <c r="D80" s="23"/>
      <c r="E80" s="23"/>
      <c r="F80" s="23" t="s">
        <v>105</v>
      </c>
      <c r="G80" s="23"/>
      <c r="H80" s="23"/>
    </row>
    <row r="81" spans="1:8" x14ac:dyDescent="0.25">
      <c r="A81" s="8" t="s">
        <v>91</v>
      </c>
      <c r="B81" s="23" t="s">
        <v>105</v>
      </c>
      <c r="C81" s="23"/>
      <c r="D81" s="23"/>
      <c r="E81" s="23"/>
      <c r="F81" s="23"/>
      <c r="G81" s="23" t="s">
        <v>105</v>
      </c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 t="s">
        <v>105</v>
      </c>
      <c r="F90" s="23" t="s">
        <v>105</v>
      </c>
      <c r="G90" s="23"/>
      <c r="H90" s="23" t="s">
        <v>105</v>
      </c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 t="s">
        <v>105</v>
      </c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89" priority="24" operator="containsText" text="Pivô">
      <formula>NOT(ISERROR(SEARCH("Pivô",A1)))</formula>
    </cfRule>
    <cfRule type="containsText" dxfId="388" priority="25" operator="containsText" text="Pivô">
      <formula>NOT(ISERROR(SEARCH("Pivô",A1)))</formula>
    </cfRule>
  </conditionalFormatting>
  <conditionalFormatting sqref="B5:H93">
    <cfRule type="containsText" dxfId="387" priority="17" operator="containsText" text="Cardã">
      <formula>NOT(ISERROR(SEARCH("Cardã",B5)))</formula>
    </cfRule>
    <cfRule type="containsText" dxfId="386" priority="18" operator="containsText" text="Pneu">
      <formula>NOT(ISERROR(SEARCH("Pneu",B5)))</formula>
    </cfRule>
    <cfRule type="containsText" dxfId="385" priority="19" operator="containsText" text="Vedação">
      <formula>NOT(ISERROR(SEARCH("Vedação",B5)))</formula>
    </cfRule>
    <cfRule type="containsText" dxfId="384" priority="20" operator="containsText" text="Retentor">
      <formula>NOT(ISERROR(SEARCH("Retentor",B5)))</formula>
    </cfRule>
    <cfRule type="containsText" dxfId="383" priority="21" operator="containsText" text="Motorredutor">
      <formula>NOT(ISERROR(SEARCH("Motorredutor",B5)))</formula>
    </cfRule>
    <cfRule type="containsText" dxfId="382" priority="22" operator="containsText" text="Redutor">
      <formula>NOT(ISERROR(SEARCH("Redutor",B5)))</formula>
    </cfRule>
    <cfRule type="containsText" dxfId="381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5E7EA76-E579-474A-A5AE-932E8691716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3481E7A5-E85F-4169-998E-88DCE4E8D64C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B55DF9CF-7A9F-4621-99AA-E1C5830C938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4831063E-6A9B-4210-BB32-38CB3CDF1C0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6876F0A6-E95C-41A8-8557-71AEE7503BA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D91D140E-7A2E-4077-8D5B-6F481B35C61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48E80144-107C-43DA-83E4-97CBFE4A001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48E3FCF4-B4CF-4702-8127-AC1E50CFE8B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0B2267A-42A0-4580-8451-565CC4635D3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7CC5C49-D246-4914-AD61-67909A8B702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96A71B04-7493-4ECE-8198-ADDA991A2B7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04E4D8E4-B7A6-4864-A7F2-F1969B5FE21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A6ED5B5-2E89-42F8-8583-5BE4ACC64F72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58A5E08C-4329-407A-8269-FA617E0A5F1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FBAB1A1B-DAF9-4C64-A708-B5DB2A472E3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4C248DC-3C13-4B3C-BB9B-C4AE1FF5838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2062625F-8240-4248-97AB-7C27E254DC6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401EB0D7-E7F8-49FC-9B17-B03C05AE202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532B-BA28-4D0C-B77B-787FF46DB0BD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19" sqref="J19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110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44648</v>
      </c>
      <c r="C3" s="25">
        <f>B3+1</f>
        <v>44649</v>
      </c>
      <c r="D3" s="25">
        <f t="shared" ref="D3:H3" si="0">C3+1</f>
        <v>44650</v>
      </c>
      <c r="E3" s="25">
        <f t="shared" si="0"/>
        <v>44651</v>
      </c>
      <c r="F3" s="25">
        <f t="shared" si="0"/>
        <v>44652</v>
      </c>
      <c r="G3" s="25">
        <f t="shared" si="0"/>
        <v>44653</v>
      </c>
      <c r="H3" s="25">
        <f t="shared" si="0"/>
        <v>44654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0</v>
      </c>
      <c r="L5" s="39">
        <f t="shared" ref="L5:L14" si="3">K5/$K$15</f>
        <v>0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1</v>
      </c>
      <c r="L6" s="41">
        <f t="shared" si="3"/>
        <v>7.1428571428571425E-2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1</v>
      </c>
      <c r="L9" s="41">
        <f t="shared" si="3"/>
        <v>7.1428571428571425E-2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 t="s">
        <v>23</v>
      </c>
      <c r="J10" s="16" t="s">
        <v>105</v>
      </c>
      <c r="K10" s="40">
        <f t="shared" si="2"/>
        <v>11</v>
      </c>
      <c r="L10" s="41">
        <f t="shared" si="3"/>
        <v>0.7857142857142857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 t="s">
        <v>7</v>
      </c>
      <c r="J11" s="17" t="s">
        <v>106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1</v>
      </c>
      <c r="L14" s="43">
        <f t="shared" si="3"/>
        <v>7.1428571428571425E-2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14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 t="s">
        <v>13</v>
      </c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 t="s">
        <v>105</v>
      </c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 t="s">
        <v>105</v>
      </c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 t="s">
        <v>105</v>
      </c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 t="s">
        <v>105</v>
      </c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 t="s">
        <v>105</v>
      </c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 t="s">
        <v>105</v>
      </c>
      <c r="D79" s="23"/>
      <c r="E79" s="23"/>
      <c r="F79" s="23"/>
      <c r="G79" s="23" t="s">
        <v>105</v>
      </c>
      <c r="H79" s="23"/>
    </row>
    <row r="80" spans="1:8" x14ac:dyDescent="0.25">
      <c r="A80" s="8" t="s">
        <v>90</v>
      </c>
      <c r="B80" s="23" t="s">
        <v>105</v>
      </c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 t="s">
        <v>105</v>
      </c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 t="s">
        <v>105</v>
      </c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 t="s">
        <v>105</v>
      </c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63" priority="24" operator="containsText" text="Pivô">
      <formula>NOT(ISERROR(SEARCH("Pivô",A1)))</formula>
    </cfRule>
    <cfRule type="containsText" dxfId="362" priority="25" operator="containsText" text="Pivô">
      <formula>NOT(ISERROR(SEARCH("Pivô",A1)))</formula>
    </cfRule>
  </conditionalFormatting>
  <conditionalFormatting sqref="B5:H93">
    <cfRule type="containsText" dxfId="361" priority="17" operator="containsText" text="Cardã">
      <formula>NOT(ISERROR(SEARCH("Cardã",B5)))</formula>
    </cfRule>
    <cfRule type="containsText" dxfId="360" priority="18" operator="containsText" text="Pneu">
      <formula>NOT(ISERROR(SEARCH("Pneu",B5)))</formula>
    </cfRule>
    <cfRule type="containsText" dxfId="359" priority="19" operator="containsText" text="Vedação">
      <formula>NOT(ISERROR(SEARCH("Vedação",B5)))</formula>
    </cfRule>
    <cfRule type="containsText" dxfId="358" priority="20" operator="containsText" text="Retentor">
      <formula>NOT(ISERROR(SEARCH("Retentor",B5)))</formula>
    </cfRule>
    <cfRule type="containsText" dxfId="357" priority="21" operator="containsText" text="Motorredutor">
      <formula>NOT(ISERROR(SEARCH("Motorredutor",B5)))</formula>
    </cfRule>
    <cfRule type="containsText" dxfId="356" priority="22" operator="containsText" text="Redutor">
      <formula>NOT(ISERROR(SEARCH("Redutor",B5)))</formula>
    </cfRule>
    <cfRule type="containsText" dxfId="355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D22256C-D248-47C0-893E-127D345E2AC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D554C207-6261-4A89-B422-67F6646AED87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0CFED039-00EF-4D3B-8F84-AC0199EE9A3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EE91026C-5736-407E-B7FC-29AEB47972E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32B5E501-1AE9-4964-AB50-5085538BE07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065814D-3032-440F-9598-8DCA4136741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ECAD7D1A-EA54-44C1-ADA0-7C0E9D64B33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459C6E9C-F131-4F08-A104-F6EA4BAC1EF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B5C64D1C-65DC-4A8F-9A46-0DD9A0F2E5F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ED8C0849-44D7-42BD-8FB0-CBD3009C64E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424EC0C3-8B6F-4D6D-B57B-245CE8A49CE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442B556C-3B1A-4DAC-B44D-3372EF6CA29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0C466BD-3233-4A02-98F9-C6E4EDD1AC3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D9F224C-91D3-455A-98CB-997DEC8B3D8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644A9729-9E4B-4D4F-8510-41DB7915E5A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7732D7E7-9BD5-4F10-AA45-08DFBF7984E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56A21EB8-6237-4B05-9C57-DC0356F0C39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F9809E67-A930-4FB0-9009-1E57CE7E273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150B-A192-48C6-8F91-EC6B164FC40A}">
  <sheetPr>
    <tabColor theme="4"/>
    <pageSetUpPr fitToPage="1"/>
  </sheetPr>
  <dimension ref="A1:P93"/>
  <sheetViews>
    <sheetView showGridLines="0" zoomScaleNormal="100" workbookViewId="0">
      <pane ySplit="4" topLeftCell="A38" activePane="bottomLeft" state="frozen"/>
      <selection pane="bottomLeft" activeCell="B40" sqref="B40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111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44655</v>
      </c>
      <c r="C3" s="25">
        <f>B3+1</f>
        <v>44656</v>
      </c>
      <c r="D3" s="25">
        <f t="shared" ref="D3:H3" si="0">C3+1</f>
        <v>44657</v>
      </c>
      <c r="E3" s="25">
        <f t="shared" si="0"/>
        <v>44658</v>
      </c>
      <c r="F3" s="25">
        <f t="shared" si="0"/>
        <v>44659</v>
      </c>
      <c r="G3" s="25">
        <f t="shared" si="0"/>
        <v>44660</v>
      </c>
      <c r="H3" s="25">
        <f t="shared" si="0"/>
        <v>44661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0</v>
      </c>
      <c r="L5" s="39">
        <f t="shared" ref="L5:L14" si="3">K5/$K$15</f>
        <v>0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1</v>
      </c>
      <c r="L6" s="41">
        <f t="shared" si="3"/>
        <v>5.8823529411764705E-2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1</v>
      </c>
      <c r="L8" s="41">
        <f t="shared" si="3"/>
        <v>5.8823529411764705E-2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1</v>
      </c>
      <c r="L9" s="41">
        <f t="shared" si="3"/>
        <v>5.8823529411764705E-2</v>
      </c>
      <c r="P9" s="6"/>
    </row>
    <row r="10" spans="1:16" x14ac:dyDescent="0.25">
      <c r="A10" s="8" t="s">
        <v>14</v>
      </c>
      <c r="B10" s="23" t="s">
        <v>23</v>
      </c>
      <c r="C10" s="23" t="s">
        <v>23</v>
      </c>
      <c r="D10" s="23"/>
      <c r="E10" s="23"/>
      <c r="F10" s="23"/>
      <c r="G10" s="23"/>
      <c r="H10" s="23"/>
      <c r="J10" s="16" t="s">
        <v>105</v>
      </c>
      <c r="K10" s="40">
        <f t="shared" si="2"/>
        <v>11</v>
      </c>
      <c r="L10" s="41">
        <f t="shared" si="3"/>
        <v>0.6470588235294118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2"/>
        <v>1</v>
      </c>
      <c r="L11" s="41">
        <f t="shared" si="3"/>
        <v>5.8823529411764705E-2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 t="shared" si="3"/>
        <v>0.11764705882352941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17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 t="s">
        <v>11</v>
      </c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 t="s">
        <v>105</v>
      </c>
      <c r="G27" s="23"/>
      <c r="H27" s="23"/>
    </row>
    <row r="28" spans="1:8" x14ac:dyDescent="0.25">
      <c r="A28" s="8" t="s">
        <v>38</v>
      </c>
      <c r="B28" s="23"/>
      <c r="C28" s="23"/>
      <c r="D28" s="23"/>
      <c r="E28" s="23" t="s">
        <v>105</v>
      </c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 t="s">
        <v>106</v>
      </c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 t="s">
        <v>105</v>
      </c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 t="s">
        <v>105</v>
      </c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 t="s">
        <v>13</v>
      </c>
      <c r="D37" s="23"/>
      <c r="E37" s="23" t="s">
        <v>105</v>
      </c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 t="s">
        <v>7</v>
      </c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 t="s">
        <v>105</v>
      </c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 t="s">
        <v>105</v>
      </c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 t="s">
        <v>105</v>
      </c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 t="s">
        <v>105</v>
      </c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 t="s">
        <v>105</v>
      </c>
      <c r="G91" s="23"/>
      <c r="H91" s="23"/>
    </row>
    <row r="92" spans="1:8" x14ac:dyDescent="0.25">
      <c r="A92" s="8" t="s">
        <v>102</v>
      </c>
      <c r="B92" s="23"/>
      <c r="C92" s="23" t="s">
        <v>105</v>
      </c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37" priority="24" operator="containsText" text="Pivô">
      <formula>NOT(ISERROR(SEARCH("Pivô",A1)))</formula>
    </cfRule>
    <cfRule type="containsText" dxfId="336" priority="25" operator="containsText" text="Pivô">
      <formula>NOT(ISERROR(SEARCH("Pivô",A1)))</formula>
    </cfRule>
  </conditionalFormatting>
  <conditionalFormatting sqref="B5:H93">
    <cfRule type="containsText" dxfId="335" priority="17" operator="containsText" text="Cardã">
      <formula>NOT(ISERROR(SEARCH("Cardã",B5)))</formula>
    </cfRule>
    <cfRule type="containsText" dxfId="334" priority="18" operator="containsText" text="Pneu">
      <formula>NOT(ISERROR(SEARCH("Pneu",B5)))</formula>
    </cfRule>
    <cfRule type="containsText" dxfId="333" priority="19" operator="containsText" text="Vedação">
      <formula>NOT(ISERROR(SEARCH("Vedação",B5)))</formula>
    </cfRule>
    <cfRule type="containsText" dxfId="332" priority="20" operator="containsText" text="Retentor">
      <formula>NOT(ISERROR(SEARCH("Retentor",B5)))</formula>
    </cfRule>
    <cfRule type="containsText" dxfId="331" priority="21" operator="containsText" text="Motorredutor">
      <formula>NOT(ISERROR(SEARCH("Motorredutor",B5)))</formula>
    </cfRule>
    <cfRule type="containsText" dxfId="330" priority="22" operator="containsText" text="Redutor">
      <formula>NOT(ISERROR(SEARCH("Redutor",B5)))</formula>
    </cfRule>
    <cfRule type="containsText" dxfId="329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26518A2-E38C-4D80-9C2F-0558E41ACB31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B8F82DEA-572A-4B14-99D0-17A795661A33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94F46C35-9604-472A-923A-84EB500959F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B0BDB23B-582B-4C21-BD73-28400003ABD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1D5A0C3-FC36-4A02-A052-16A873276D1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4BB90269-4E12-4FA9-B98E-59A07D9ACF6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9BD22028-A083-4938-9F36-4C877E5D0F0B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2EF84741-D1E1-4381-92C6-65988DFA03F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3EAE5D6C-5DE5-4CF8-BE41-CEC5FAB98B7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AF25E7F4-9168-4800-9925-566709CF2B6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5D53E626-FED7-490F-8DFE-07A72C9F71F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A57603C-E186-47A7-9B5C-4ACEC04416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2E315FF0-31FA-47BE-88FD-3BADD04C11E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42E00330-C9ED-41A3-8549-69B57696B21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7DB4DEB-D568-46B2-B75E-3108C53D1F8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BCED097C-09D4-4189-8723-744F9F54D46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580788BC-D302-43C9-9F58-ACDA5E84AA4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7A57EFAE-109F-4D96-85E8-EE65C80849F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FCD4-F93B-478E-B657-17A6D8E412BF}">
  <sheetPr>
    <tabColor theme="4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111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44662</v>
      </c>
      <c r="C3" s="25">
        <f>B3+1</f>
        <v>44663</v>
      </c>
      <c r="D3" s="25">
        <f t="shared" ref="D3:H3" si="0">C3+1</f>
        <v>44664</v>
      </c>
      <c r="E3" s="25">
        <f t="shared" si="0"/>
        <v>44665</v>
      </c>
      <c r="F3" s="25">
        <f t="shared" si="0"/>
        <v>44666</v>
      </c>
      <c r="G3" s="25">
        <f t="shared" si="0"/>
        <v>44667</v>
      </c>
      <c r="H3" s="25">
        <f t="shared" si="0"/>
        <v>44668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2</v>
      </c>
      <c r="L5" s="39">
        <f t="shared" ref="L5:L14" si="3">K5/$K$15</f>
        <v>8.6956521739130432E-2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2</v>
      </c>
      <c r="L8" s="41">
        <f t="shared" si="3"/>
        <v>8.6956521739130432E-2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2</v>
      </c>
      <c r="L9" s="41">
        <f t="shared" si="3"/>
        <v>8.6956521739130432E-2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15</v>
      </c>
      <c r="L10" s="41">
        <f t="shared" si="3"/>
        <v>0.65217391304347827</v>
      </c>
    </row>
    <row r="11" spans="1:16" x14ac:dyDescent="0.25">
      <c r="A11" s="8" t="s">
        <v>16</v>
      </c>
      <c r="B11" s="23"/>
      <c r="C11" s="23"/>
      <c r="D11" s="23"/>
      <c r="E11" s="23" t="s">
        <v>13</v>
      </c>
      <c r="F11" s="23"/>
      <c r="G11" s="23"/>
      <c r="H11" s="23"/>
      <c r="J11" s="17" t="s">
        <v>106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18</v>
      </c>
      <c r="B12" s="23" t="s">
        <v>5</v>
      </c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 t="s">
        <v>5</v>
      </c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 t="shared" si="3"/>
        <v>8.6956521739130432E-2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23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 t="s">
        <v>11</v>
      </c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 t="s">
        <v>11</v>
      </c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 t="s">
        <v>13</v>
      </c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 t="s">
        <v>105</v>
      </c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 t="s">
        <v>105</v>
      </c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 t="s">
        <v>105</v>
      </c>
      <c r="F34" s="23" t="s">
        <v>105</v>
      </c>
      <c r="G34" s="23" t="s">
        <v>23</v>
      </c>
      <c r="H34" s="23" t="s">
        <v>23</v>
      </c>
    </row>
    <row r="35" spans="1:8" x14ac:dyDescent="0.25">
      <c r="A35" s="8" t="s">
        <v>45</v>
      </c>
      <c r="B35" s="23"/>
      <c r="C35" s="23"/>
      <c r="D35" s="23" t="s">
        <v>105</v>
      </c>
      <c r="E35" s="23"/>
      <c r="F35" s="23"/>
      <c r="G35" s="23"/>
      <c r="H35" s="23"/>
    </row>
    <row r="36" spans="1:8" x14ac:dyDescent="0.25">
      <c r="A36" s="8" t="s">
        <v>46</v>
      </c>
      <c r="B36" s="23"/>
      <c r="C36" s="23" t="s">
        <v>105</v>
      </c>
      <c r="D36" s="23"/>
      <c r="E36" s="23" t="s">
        <v>105</v>
      </c>
      <c r="F36" s="23"/>
      <c r="G36" s="23"/>
      <c r="H36" s="23"/>
    </row>
    <row r="37" spans="1:8" x14ac:dyDescent="0.25">
      <c r="A37" s="8" t="s">
        <v>47</v>
      </c>
      <c r="B37" s="23"/>
      <c r="C37" s="23" t="s">
        <v>105</v>
      </c>
      <c r="D37" s="23"/>
      <c r="E37" s="23" t="s">
        <v>105</v>
      </c>
      <c r="F37" s="23"/>
      <c r="G37" s="23"/>
      <c r="H37" s="23"/>
    </row>
    <row r="38" spans="1:8" x14ac:dyDescent="0.25">
      <c r="A38" s="8" t="s">
        <v>48</v>
      </c>
      <c r="B38" s="23"/>
      <c r="C38" s="23"/>
      <c r="D38" s="23" t="s">
        <v>105</v>
      </c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 t="s">
        <v>105</v>
      </c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 t="s">
        <v>105</v>
      </c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 t="s">
        <v>105</v>
      </c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 t="s">
        <v>105</v>
      </c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 t="s">
        <v>105</v>
      </c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11" priority="24" operator="containsText" text="Pivô">
      <formula>NOT(ISERROR(SEARCH("Pivô",A1)))</formula>
    </cfRule>
    <cfRule type="containsText" dxfId="310" priority="25" operator="containsText" text="Pivô">
      <formula>NOT(ISERROR(SEARCH("Pivô",A1)))</formula>
    </cfRule>
  </conditionalFormatting>
  <conditionalFormatting sqref="B5:H93">
    <cfRule type="containsText" dxfId="309" priority="17" operator="containsText" text="Cardã">
      <formula>NOT(ISERROR(SEARCH("Cardã",B5)))</formula>
    </cfRule>
    <cfRule type="containsText" dxfId="308" priority="18" operator="containsText" text="Pneu">
      <formula>NOT(ISERROR(SEARCH("Pneu",B5)))</formula>
    </cfRule>
    <cfRule type="containsText" dxfId="307" priority="19" operator="containsText" text="Vedação">
      <formula>NOT(ISERROR(SEARCH("Vedação",B5)))</formula>
    </cfRule>
    <cfRule type="containsText" dxfId="306" priority="20" operator="containsText" text="Retentor">
      <formula>NOT(ISERROR(SEARCH("Retentor",B5)))</formula>
    </cfRule>
    <cfRule type="containsText" dxfId="305" priority="21" operator="containsText" text="Motorredutor">
      <formula>NOT(ISERROR(SEARCH("Motorredutor",B5)))</formula>
    </cfRule>
    <cfRule type="containsText" dxfId="304" priority="22" operator="containsText" text="Redutor">
      <formula>NOT(ISERROR(SEARCH("Redutor",B5)))</formula>
    </cfRule>
    <cfRule type="containsText" dxfId="303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99D9D33-DDE7-4DE2-92AE-36EA3E4D284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B134CA16-2DC3-42BF-BBF2-B9B75F7817FB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D99F1D45-73BC-412A-BCA9-F3F737A51C3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61113B4A-6E14-4C19-ADFF-F242865AEBB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B27E02D4-A594-47F5-902F-B35622AD49F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FB61B6A-5B70-43BF-8FF3-5B4611108EB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59190403-2280-4BC2-A499-9F228FA2144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DCBD9652-7CBF-4A3E-B6D9-7D4D8BE3488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2B1BC5EB-08D2-461E-A55C-0CBBFBDE47D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52C646B9-8D03-4738-91F7-F2493EC8D54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8E3D39F9-C0BB-40AD-A701-D75A43EA7C19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588582B-FE3A-46B3-AB26-0FA628FEC8A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22C1A8A-C1D6-4239-8FE3-2CAC9BC5AAD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714E4EBB-7227-489D-AA28-E84AC173735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209E407F-EB96-411E-A88C-69CAB20B637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07062FB-25C2-4069-87E0-0058E1D376F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A88B61FD-A86A-4329-B8EE-10F80BFDA3B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42EE580C-FE0B-4349-BDD6-3386CD785707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BAD7-9C19-4116-A073-7A01A5CED3C0}">
  <sheetPr>
    <tabColor theme="4"/>
    <pageSetUpPr fitToPage="1"/>
  </sheetPr>
  <dimension ref="A1:P93"/>
  <sheetViews>
    <sheetView showGridLines="0" topLeftCell="E1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111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44669</v>
      </c>
      <c r="C3" s="25">
        <f>B3+1</f>
        <v>44670</v>
      </c>
      <c r="D3" s="25">
        <f t="shared" ref="D3:H3" si="0">C3+1</f>
        <v>44671</v>
      </c>
      <c r="E3" s="25">
        <f t="shared" si="0"/>
        <v>44672</v>
      </c>
      <c r="F3" s="25">
        <f t="shared" si="0"/>
        <v>44673</v>
      </c>
      <c r="G3" s="25">
        <f t="shared" si="0"/>
        <v>44674</v>
      </c>
      <c r="H3" s="25">
        <f t="shared" si="0"/>
        <v>44675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 t="shared" ref="K5:K11" si="2">COUNTIF($B$5:$H$93,J5)</f>
        <v>4</v>
      </c>
      <c r="L5" s="39">
        <f t="shared" ref="L5:L14" si="3">K5/$K$15</f>
        <v>0.16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si="2"/>
        <v>1</v>
      </c>
      <c r="L6" s="41">
        <f t="shared" si="3"/>
        <v>0.04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2"/>
        <v>3</v>
      </c>
      <c r="L8" s="41">
        <f t="shared" si="3"/>
        <v>0.12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2"/>
        <v>4</v>
      </c>
      <c r="L9" s="41">
        <f t="shared" si="3"/>
        <v>0.16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2"/>
        <v>5</v>
      </c>
      <c r="L10" s="41">
        <f t="shared" si="3"/>
        <v>0.2</v>
      </c>
    </row>
    <row r="11" spans="1:16" x14ac:dyDescent="0.25">
      <c r="A11" s="8" t="s">
        <v>16</v>
      </c>
      <c r="B11" s="23"/>
      <c r="C11" s="23" t="s">
        <v>21</v>
      </c>
      <c r="D11" s="23" t="s">
        <v>5</v>
      </c>
      <c r="E11" s="23"/>
      <c r="F11" s="23" t="s">
        <v>13</v>
      </c>
      <c r="G11" s="23"/>
      <c r="H11" s="23"/>
      <c r="J11" s="17" t="s">
        <v>106</v>
      </c>
      <c r="K11" s="40">
        <f t="shared" si="2"/>
        <v>1</v>
      </c>
      <c r="L11" s="41">
        <f t="shared" si="3"/>
        <v>0.04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 t="s">
        <v>5</v>
      </c>
      <c r="H12" s="23"/>
      <c r="J12" s="34" t="s">
        <v>19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6</v>
      </c>
      <c r="L13" s="41">
        <f t="shared" si="3"/>
        <v>0.24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 t="s">
        <v>5</v>
      </c>
      <c r="H14" s="23" t="s">
        <v>106</v>
      </c>
      <c r="J14" s="37" t="s">
        <v>23</v>
      </c>
      <c r="K14" s="42">
        <f>COUNTIF($B$5:$H$93,J14)</f>
        <v>1</v>
      </c>
      <c r="L14" s="43">
        <f t="shared" si="3"/>
        <v>0.04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25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 t="s">
        <v>21</v>
      </c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 t="s">
        <v>21</v>
      </c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 t="s">
        <v>7</v>
      </c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 t="s">
        <v>21</v>
      </c>
    </row>
    <row r="28" spans="1:8" x14ac:dyDescent="0.25">
      <c r="A28" s="8" t="s">
        <v>38</v>
      </c>
      <c r="B28" s="23"/>
      <c r="C28" s="23"/>
      <c r="D28" s="23"/>
      <c r="E28" s="23" t="s">
        <v>11</v>
      </c>
      <c r="F28" s="23" t="s">
        <v>11</v>
      </c>
      <c r="G28" s="23" t="s">
        <v>21</v>
      </c>
      <c r="H28" s="23" t="s">
        <v>21</v>
      </c>
    </row>
    <row r="29" spans="1:8" x14ac:dyDescent="0.25">
      <c r="A29" s="8" t="s">
        <v>39</v>
      </c>
      <c r="B29" s="23"/>
      <c r="C29" s="23" t="s">
        <v>13</v>
      </c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 t="s">
        <v>105</v>
      </c>
      <c r="F30" s="23"/>
      <c r="G30" s="23"/>
      <c r="H30" s="23"/>
    </row>
    <row r="31" spans="1:8" x14ac:dyDescent="0.25">
      <c r="A31" s="8" t="s">
        <v>41</v>
      </c>
      <c r="B31" s="23"/>
      <c r="C31" s="23"/>
      <c r="D31" s="23" t="s">
        <v>105</v>
      </c>
      <c r="E31" s="23"/>
      <c r="F31" s="23"/>
      <c r="G31" s="23"/>
      <c r="H31" s="23"/>
    </row>
    <row r="32" spans="1:8" x14ac:dyDescent="0.25">
      <c r="A32" s="8" t="s">
        <v>42</v>
      </c>
      <c r="B32" s="23" t="s">
        <v>5</v>
      </c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 t="s">
        <v>23</v>
      </c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 t="s">
        <v>105</v>
      </c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 t="s">
        <v>105</v>
      </c>
      <c r="F36" s="23"/>
      <c r="G36" s="23"/>
      <c r="H36" s="23"/>
    </row>
    <row r="37" spans="1:8" x14ac:dyDescent="0.25">
      <c r="A37" s="8" t="s">
        <v>47</v>
      </c>
      <c r="B37" s="23"/>
      <c r="C37" s="23" t="s">
        <v>11</v>
      </c>
      <c r="D37" s="23"/>
      <c r="E37" s="23"/>
      <c r="F37" s="23"/>
      <c r="G37" s="23"/>
      <c r="H37" s="23"/>
    </row>
    <row r="38" spans="1:8" x14ac:dyDescent="0.25">
      <c r="A38" s="8" t="s">
        <v>48</v>
      </c>
      <c r="B38" s="23" t="s">
        <v>105</v>
      </c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 t="s">
        <v>13</v>
      </c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 t="s">
        <v>13</v>
      </c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85" priority="24" operator="containsText" text="Pivô">
      <formula>NOT(ISERROR(SEARCH("Pivô",A1)))</formula>
    </cfRule>
    <cfRule type="containsText" dxfId="284" priority="25" operator="containsText" text="Pivô">
      <formula>NOT(ISERROR(SEARCH("Pivô",A1)))</formula>
    </cfRule>
  </conditionalFormatting>
  <conditionalFormatting sqref="B5:H93">
    <cfRule type="containsText" dxfId="283" priority="17" operator="containsText" text="Cardã">
      <formula>NOT(ISERROR(SEARCH("Cardã",B5)))</formula>
    </cfRule>
    <cfRule type="containsText" dxfId="282" priority="18" operator="containsText" text="Pneu">
      <formula>NOT(ISERROR(SEARCH("Pneu",B5)))</formula>
    </cfRule>
    <cfRule type="containsText" dxfId="281" priority="19" operator="containsText" text="Vedação">
      <formula>NOT(ISERROR(SEARCH("Vedação",B5)))</formula>
    </cfRule>
    <cfRule type="containsText" dxfId="280" priority="20" operator="containsText" text="Retentor">
      <formula>NOT(ISERROR(SEARCH("Retentor",B5)))</formula>
    </cfRule>
    <cfRule type="containsText" dxfId="279" priority="21" operator="containsText" text="Motorredutor">
      <formula>NOT(ISERROR(SEARCH("Motorredutor",B5)))</formula>
    </cfRule>
    <cfRule type="containsText" dxfId="278" priority="22" operator="containsText" text="Redutor">
      <formula>NOT(ISERROR(SEARCH("Redutor",B5)))</formula>
    </cfRule>
    <cfRule type="containsText" dxfId="277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5C85CDA-D800-4A71-BE32-F3C88B5B7C68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62FF97E1-3EA8-4894-9C1C-7BBE7A8648E3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661F0CCC-9DBC-4411-801E-6241416F2E4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EA0C90AD-11EC-4B70-9A6C-0FCD47FE9DE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7517C52D-7195-4ABF-B4E0-3F2695F503D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5CDD371E-19E1-41B7-8898-DBE6D540410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7E92300C-C928-4A45-9F8F-A77EBA8C08E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DEA0A438-C55A-4E75-9879-F94D5ECCEE2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2DD01BA4-445D-445E-A45A-B8FCADE65D4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15A38B3-8710-4D81-BBB4-1663661257F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2B62E2B8-D719-4800-A039-3D2214C7749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913ED8A-4DFC-481D-BBDB-F46DCF9DC9A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EA376F4C-E842-4B25-B2DC-45F490838E81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2D8D0F06-03BC-4EAB-98A4-D4E90B0ECF6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4AA4F1C-0591-4728-AD10-1BE0CCE417C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E4D0CD11-5BB9-4D58-B7ED-548175D0AE1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3B459ED5-FE9B-4F57-A29F-B5A467728CA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4016CA96-A72F-40C6-9602-8B22F7AE83A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97F0-212D-4662-A64B-6CAE24BA61D6}">
  <sheetPr>
    <tabColor theme="4"/>
    <pageSetUpPr fitToPage="1"/>
  </sheetPr>
  <dimension ref="A1:P93"/>
  <sheetViews>
    <sheetView showGridLines="0" topLeftCell="H1" zoomScaleNormal="100" workbookViewId="0">
      <pane ySplit="4" topLeftCell="A16" activePane="bottomLeft" state="frozen"/>
      <selection pane="bottomLeft" activeCell="L16" sqref="L16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112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44676</v>
      </c>
      <c r="C3" s="25">
        <f>B3+1</f>
        <v>44677</v>
      </c>
      <c r="D3" s="25">
        <f t="shared" ref="D3:H3" si="0">C3+1</f>
        <v>44678</v>
      </c>
      <c r="E3" s="25">
        <f t="shared" si="0"/>
        <v>44679</v>
      </c>
      <c r="F3" s="25">
        <f t="shared" si="0"/>
        <v>44680</v>
      </c>
      <c r="G3" s="25">
        <f t="shared" si="0"/>
        <v>44681</v>
      </c>
      <c r="H3" s="25">
        <f t="shared" si="0"/>
        <v>44682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3</v>
      </c>
      <c r="L5" s="39">
        <f t="shared" ref="L5:L14" si="2">K5/$K$15</f>
        <v>0.10714285714285714</v>
      </c>
    </row>
    <row r="6" spans="1:16" x14ac:dyDescent="0.25">
      <c r="A6" s="8" t="s">
        <v>6</v>
      </c>
      <c r="B6" s="23"/>
      <c r="C6" s="23"/>
      <c r="D6" s="23"/>
      <c r="E6" s="20" t="s">
        <v>5</v>
      </c>
      <c r="F6" s="23"/>
      <c r="G6" s="23" t="s">
        <v>106</v>
      </c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1</v>
      </c>
      <c r="L7" s="41">
        <f t="shared" si="2"/>
        <v>3.5714285714285712E-2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2</v>
      </c>
      <c r="L8" s="41">
        <f t="shared" si="2"/>
        <v>7.1428571428571425E-2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1</v>
      </c>
      <c r="L9" s="41">
        <f t="shared" si="2"/>
        <v>3.5714285714285712E-2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13</v>
      </c>
      <c r="L11" s="41">
        <f t="shared" si="2"/>
        <v>0.4642857142857143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8</v>
      </c>
      <c r="L13" s="41">
        <f t="shared" si="2"/>
        <v>0.2857142857142857</v>
      </c>
    </row>
    <row r="14" spans="1:16" x14ac:dyDescent="0.25">
      <c r="A14" s="8" t="s">
        <v>22</v>
      </c>
      <c r="B14" s="23"/>
      <c r="C14" s="23" t="s">
        <v>106</v>
      </c>
      <c r="D14" s="23" t="s">
        <v>106</v>
      </c>
      <c r="E14" s="23" t="s">
        <v>106</v>
      </c>
      <c r="F14" s="23" t="s">
        <v>106</v>
      </c>
      <c r="G14" s="23"/>
      <c r="H14" s="23"/>
      <c r="J14" s="37" t="s">
        <v>23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24</v>
      </c>
      <c r="B15" s="23" t="s">
        <v>11</v>
      </c>
      <c r="C15" s="23"/>
      <c r="D15" s="23"/>
      <c r="E15" s="23"/>
      <c r="F15" s="23"/>
      <c r="G15" s="23"/>
      <c r="H15" s="23"/>
      <c r="J15" s="1" t="s">
        <v>25</v>
      </c>
      <c r="K15" s="1">
        <f>SUM(K5:K14)</f>
        <v>28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 t="s">
        <v>11</v>
      </c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 t="s">
        <v>21</v>
      </c>
      <c r="D27" s="23" t="s">
        <v>21</v>
      </c>
      <c r="E27" s="23" t="s">
        <v>21</v>
      </c>
      <c r="F27" s="23"/>
      <c r="G27" s="23"/>
      <c r="H27" s="23" t="s">
        <v>106</v>
      </c>
    </row>
    <row r="28" spans="1:8" x14ac:dyDescent="0.25">
      <c r="A28" s="8" t="s">
        <v>38</v>
      </c>
      <c r="B28" s="23"/>
      <c r="C28" s="23"/>
      <c r="D28" s="23" t="s">
        <v>21</v>
      </c>
      <c r="E28" s="23" t="s">
        <v>21</v>
      </c>
      <c r="F28" s="23"/>
      <c r="G28" s="23"/>
      <c r="H28" s="23" t="s">
        <v>106</v>
      </c>
    </row>
    <row r="29" spans="1:8" x14ac:dyDescent="0.25">
      <c r="A29" s="8" t="s">
        <v>39</v>
      </c>
      <c r="B29" s="23"/>
      <c r="C29" s="23"/>
      <c r="D29" s="23" t="s">
        <v>5</v>
      </c>
      <c r="E29" s="23"/>
      <c r="F29" s="23"/>
      <c r="G29" s="23"/>
      <c r="H29" s="23" t="s">
        <v>9</v>
      </c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 t="s">
        <v>21</v>
      </c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 t="s">
        <v>21</v>
      </c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 t="s">
        <v>5</v>
      </c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 t="s">
        <v>13</v>
      </c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 t="s">
        <v>21</v>
      </c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 t="s">
        <v>106</v>
      </c>
      <c r="C66" s="23" t="s">
        <v>106</v>
      </c>
      <c r="D66" s="23" t="s">
        <v>106</v>
      </c>
      <c r="E66" s="23" t="s">
        <v>106</v>
      </c>
      <c r="F66" s="23" t="s">
        <v>106</v>
      </c>
      <c r="G66" s="23" t="s">
        <v>106</v>
      </c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59" priority="24" operator="containsText" text="Pivô">
      <formula>NOT(ISERROR(SEARCH("Pivô",A1)))</formula>
    </cfRule>
    <cfRule type="containsText" dxfId="258" priority="25" operator="containsText" text="Pivô">
      <formula>NOT(ISERROR(SEARCH("Pivô",A1)))</formula>
    </cfRule>
  </conditionalFormatting>
  <conditionalFormatting sqref="B5:H93">
    <cfRule type="containsText" dxfId="257" priority="17" operator="containsText" text="Cardã">
      <formula>NOT(ISERROR(SEARCH("Cardã",B5)))</formula>
    </cfRule>
    <cfRule type="containsText" dxfId="256" priority="18" operator="containsText" text="Pneu">
      <formula>NOT(ISERROR(SEARCH("Pneu",B5)))</formula>
    </cfRule>
    <cfRule type="containsText" dxfId="255" priority="19" operator="containsText" text="Vedação">
      <formula>NOT(ISERROR(SEARCH("Vedação",B5)))</formula>
    </cfRule>
    <cfRule type="containsText" dxfId="254" priority="20" operator="containsText" text="Retentor">
      <formula>NOT(ISERROR(SEARCH("Retentor",B5)))</formula>
    </cfRule>
    <cfRule type="containsText" dxfId="253" priority="21" operator="containsText" text="Motorredutor">
      <formula>NOT(ISERROR(SEARCH("Motorredutor",B5)))</formula>
    </cfRule>
    <cfRule type="containsText" dxfId="252" priority="22" operator="containsText" text="Redutor">
      <formula>NOT(ISERROR(SEARCH("Redutor",B5)))</formula>
    </cfRule>
    <cfRule type="containsText" dxfId="251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4EC44AD-4199-4054-A317-90D3580CF59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01B378A7-798A-43CD-BD1F-4EBCCC255611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7BC6FCCB-8857-46D1-81A7-E921330DBC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60C8E4C0-DF94-47E7-99BB-EA105630575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3E9A363-307C-4E75-BBDB-BD921C175D7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2269C37-11AB-4775-8949-973D251F89D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714DD60F-57E4-46F9-9958-2E86F586B19D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BC94515A-15F5-4492-843E-682CADFED7D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079B0F08-E292-48AD-83B2-102564D82FA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5C30CCB-400C-457D-8935-87895C1BF5D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64C4A312-CC5B-41C4-A9B1-F7BB306BC5E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3D2C99C-49BD-4C35-AD50-57098341BD0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DB0CF519-7152-44C3-8285-DD9D23CBEB7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8E94C23-339F-497D-BB10-85F8B0EF75E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F6D17156-870E-4624-9C0E-4C105FC9A8D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90D53C1D-DD11-4EAC-9E9D-34B3B9A9C70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0F921DBB-A8BC-4A80-9E66-639496CD4E7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C833C44D-8119-4193-893F-8964F5A7C61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CAEA-1CF4-49D2-80AE-DA5303442F9B}">
  <sheetPr>
    <tabColor theme="4"/>
    <pageSetUpPr fitToPage="1"/>
  </sheetPr>
  <dimension ref="A1:P93"/>
  <sheetViews>
    <sheetView showGridLines="0" topLeftCell="G1" zoomScaleNormal="100" workbookViewId="0">
      <pane ySplit="4" topLeftCell="A5" activePane="bottomLeft" state="frozen"/>
      <selection pane="bottomLeft" activeCell="W9" sqref="W9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113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44683</v>
      </c>
      <c r="C3" s="25">
        <f>B3+1</f>
        <v>44684</v>
      </c>
      <c r="D3" s="25">
        <f t="shared" ref="D3:H3" si="0">C3+1</f>
        <v>44685</v>
      </c>
      <c r="E3" s="25">
        <f t="shared" si="0"/>
        <v>44686</v>
      </c>
      <c r="F3" s="25">
        <f t="shared" si="0"/>
        <v>44687</v>
      </c>
      <c r="G3" s="25">
        <f t="shared" si="0"/>
        <v>44688</v>
      </c>
      <c r="H3" s="25">
        <f t="shared" si="0"/>
        <v>44689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 t="s">
        <v>21</v>
      </c>
      <c r="G5" s="20"/>
      <c r="H5" s="20"/>
      <c r="J5" s="35" t="s">
        <v>5</v>
      </c>
      <c r="K5" s="38">
        <f>COUNTIF($B$5:$H$93,J5)</f>
        <v>2</v>
      </c>
      <c r="L5" s="39">
        <f t="shared" ref="L5:L14" si="2">K5/$K$15</f>
        <v>0.125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 t="s">
        <v>21</v>
      </c>
      <c r="G7" s="23"/>
      <c r="H7" s="23"/>
      <c r="J7" s="13" t="s">
        <v>9</v>
      </c>
      <c r="K7" s="40">
        <f t="shared" si="3"/>
        <v>2</v>
      </c>
      <c r="L7" s="41">
        <f t="shared" si="2"/>
        <v>0.125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5</v>
      </c>
      <c r="L9" s="41">
        <f t="shared" si="2"/>
        <v>0.3125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 t="s">
        <v>13</v>
      </c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 t="s">
        <v>13</v>
      </c>
      <c r="G11" s="23"/>
      <c r="H11" s="23"/>
      <c r="J11" s="17" t="s">
        <v>106</v>
      </c>
      <c r="K11" s="40">
        <f t="shared" si="3"/>
        <v>5</v>
      </c>
      <c r="L11" s="41">
        <f t="shared" si="2"/>
        <v>0.3125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2</v>
      </c>
      <c r="L13" s="41">
        <f t="shared" si="2"/>
        <v>0.125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16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 t="s">
        <v>106</v>
      </c>
      <c r="C18" s="23" t="s">
        <v>106</v>
      </c>
      <c r="D18" s="23" t="s">
        <v>106</v>
      </c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 t="s">
        <v>13</v>
      </c>
      <c r="G26" s="23"/>
      <c r="H26" s="23"/>
    </row>
    <row r="27" spans="1:8" x14ac:dyDescent="0.25">
      <c r="A27" s="8" t="s">
        <v>37</v>
      </c>
      <c r="B27" s="23" t="s">
        <v>106</v>
      </c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 t="s">
        <v>106</v>
      </c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 t="s">
        <v>9</v>
      </c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 t="s">
        <v>9</v>
      </c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 t="s">
        <v>5</v>
      </c>
      <c r="G49" s="23" t="s">
        <v>5</v>
      </c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 t="s">
        <v>13</v>
      </c>
      <c r="H75" s="23" t="s">
        <v>13</v>
      </c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33" priority="24" operator="containsText" text="Pivô">
      <formula>NOT(ISERROR(SEARCH("Pivô",A1)))</formula>
    </cfRule>
    <cfRule type="containsText" dxfId="232" priority="25" operator="containsText" text="Pivô">
      <formula>NOT(ISERROR(SEARCH("Pivô",A1)))</formula>
    </cfRule>
  </conditionalFormatting>
  <conditionalFormatting sqref="B5:H93">
    <cfRule type="containsText" dxfId="231" priority="17" operator="containsText" text="Cardã">
      <formula>NOT(ISERROR(SEARCH("Cardã",B5)))</formula>
    </cfRule>
    <cfRule type="containsText" dxfId="230" priority="18" operator="containsText" text="Pneu">
      <formula>NOT(ISERROR(SEARCH("Pneu",B5)))</formula>
    </cfRule>
    <cfRule type="containsText" dxfId="229" priority="19" operator="containsText" text="Vedação">
      <formula>NOT(ISERROR(SEARCH("Vedação",B5)))</formula>
    </cfRule>
    <cfRule type="containsText" dxfId="228" priority="20" operator="containsText" text="Retentor">
      <formula>NOT(ISERROR(SEARCH("Retentor",B5)))</formula>
    </cfRule>
    <cfRule type="containsText" dxfId="227" priority="21" operator="containsText" text="Motorredutor">
      <formula>NOT(ISERROR(SEARCH("Motorredutor",B5)))</formula>
    </cfRule>
    <cfRule type="containsText" dxfId="226" priority="22" operator="containsText" text="Redutor">
      <formula>NOT(ISERROR(SEARCH("Redutor",B5)))</formula>
    </cfRule>
    <cfRule type="containsText" dxfId="225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4A77A36-DD74-4A54-BC7F-8354556892D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DB74CC66-1CC1-477E-BFC2-DB1829D3FEA9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330B58AD-0F4C-4C3B-874E-1B0E4D0F03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2A3F1CD8-6C08-448A-B924-58716CB614C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9F09D9D4-AD31-4C9E-8394-9DC41854A69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324F946F-B414-4FC0-973C-41E623222AE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6BB96128-A0BD-40F9-836E-536AF7326E83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378BA597-69FB-4BE8-975E-B1A200DC7D7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9622CDA5-F828-45B6-9A62-EDFE608F11E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A9B420C-57AE-44B1-AB07-64F482A9B5B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6799BF8C-4A42-462C-BC22-204E2B75478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BACA54B-B90F-4B59-A948-9BD3873B9FA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91ECD91D-CDC6-4248-8195-2A769BDA9D0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A645C73-8E1E-4E5C-B774-A28EC4E9DBC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81AF4752-FCA1-4AE3-A57E-F7199E5CD6A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51C87246-B3DA-4B89-8389-72081D70186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071A080C-34F7-4213-B4A5-8BF97BBBC20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DBBE97BB-34FD-490D-814F-4B8CF55A3D9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AFCD-BC1E-42E9-B797-A81597296E7E}">
  <sheetPr>
    <tabColor theme="4"/>
    <pageSetUpPr fitToPage="1"/>
  </sheetPr>
  <dimension ref="A1:P93"/>
  <sheetViews>
    <sheetView showGridLines="0" zoomScaleNormal="100" workbookViewId="0">
      <pane ySplit="4" topLeftCell="A35" activePane="bottomLeft" state="frozen"/>
      <selection pane="bottomLeft" activeCell="G34" sqref="G3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114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44690</v>
      </c>
      <c r="C3" s="25">
        <f>B3+1</f>
        <v>44691</v>
      </c>
      <c r="D3" s="25">
        <f t="shared" ref="D3:H3" si="0">C3+1</f>
        <v>44692</v>
      </c>
      <c r="E3" s="25">
        <f t="shared" si="0"/>
        <v>44693</v>
      </c>
      <c r="F3" s="25">
        <f t="shared" si="0"/>
        <v>44694</v>
      </c>
      <c r="G3" s="25">
        <f t="shared" si="0"/>
        <v>44695</v>
      </c>
      <c r="H3" s="25">
        <f t="shared" si="0"/>
        <v>44696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 t="s">
        <v>21</v>
      </c>
      <c r="G5" s="20"/>
      <c r="H5" s="20"/>
      <c r="J5" s="35" t="s">
        <v>5</v>
      </c>
      <c r="K5" s="38">
        <f>COUNTIF($B$5:$H$93,J5)</f>
        <v>1</v>
      </c>
      <c r="L5" s="39">
        <f t="shared" ref="L5:L14" si="2">K5/$K$15</f>
        <v>0.14285714285714285</v>
      </c>
    </row>
    <row r="6" spans="1:16" x14ac:dyDescent="0.25">
      <c r="A6" s="8" t="s">
        <v>6</v>
      </c>
      <c r="B6" s="23"/>
      <c r="C6" s="23"/>
      <c r="D6" s="23"/>
      <c r="E6" s="20" t="s">
        <v>21</v>
      </c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 t="s">
        <v>21</v>
      </c>
      <c r="G7" s="23"/>
      <c r="H7" s="23"/>
      <c r="J7" s="13" t="s">
        <v>9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3</v>
      </c>
      <c r="L13" s="41">
        <f t="shared" si="2"/>
        <v>0.42857142857142855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3</v>
      </c>
      <c r="L14" s="43">
        <f t="shared" si="2"/>
        <v>0.42857142857142855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7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 t="s">
        <v>5</v>
      </c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 t="s">
        <v>23</v>
      </c>
      <c r="F34" s="23" t="s">
        <v>23</v>
      </c>
      <c r="G34" s="23" t="s">
        <v>23</v>
      </c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07" priority="24" operator="containsText" text="Pivô">
      <formula>NOT(ISERROR(SEARCH("Pivô",A1)))</formula>
    </cfRule>
    <cfRule type="containsText" dxfId="206" priority="25" operator="containsText" text="Pivô">
      <formula>NOT(ISERROR(SEARCH("Pivô",A1)))</formula>
    </cfRule>
  </conditionalFormatting>
  <conditionalFormatting sqref="B5:H93">
    <cfRule type="containsText" dxfId="205" priority="17" operator="containsText" text="Cardã">
      <formula>NOT(ISERROR(SEARCH("Cardã",B5)))</formula>
    </cfRule>
    <cfRule type="containsText" dxfId="204" priority="18" operator="containsText" text="Pneu">
      <formula>NOT(ISERROR(SEARCH("Pneu",B5)))</formula>
    </cfRule>
    <cfRule type="containsText" dxfId="203" priority="19" operator="containsText" text="Vedação">
      <formula>NOT(ISERROR(SEARCH("Vedação",B5)))</formula>
    </cfRule>
    <cfRule type="containsText" dxfId="202" priority="20" operator="containsText" text="Retentor">
      <formula>NOT(ISERROR(SEARCH("Retentor",B5)))</formula>
    </cfRule>
    <cfRule type="containsText" dxfId="201" priority="21" operator="containsText" text="Motorredutor">
      <formula>NOT(ISERROR(SEARCH("Motorredutor",B5)))</formula>
    </cfRule>
    <cfRule type="containsText" dxfId="200" priority="22" operator="containsText" text="Redutor">
      <formula>NOT(ISERROR(SEARCH("Redutor",B5)))</formula>
    </cfRule>
    <cfRule type="containsText" dxfId="199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513F83B-E509-4827-A986-D5AAC268D15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8211344D-765D-4123-9081-C24E8CD3C491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05715A9E-7EBC-4DDB-83C5-4E27198E34C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7877E90F-C48C-45FD-B9D5-01F590F892A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37A4860-10F0-4016-8634-A0511B074C0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9CA63524-40D7-4B8A-AD3A-5BFEF4FCF02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B88935A0-36D3-4FC4-A6D0-39313CEC8AB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210F3720-BA1F-458D-B098-E43F580224A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A453F8F5-DB21-41CD-9468-403B4B62536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F3F4393-08F2-41B3-97DB-8D8EFCA65C6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2A4140D1-90B9-4CBC-AAB1-289B7FDAB31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266697F-7DB0-40BE-87F5-2B8B6BDA070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B26B1942-D796-44A9-BBF3-DF405457ECE2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2D3FAC4-666A-45EF-A143-9DF8DFC7793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9E27CDA1-EEBC-479B-8C91-82034A4C328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F83BF29A-CA3D-40DB-B4DB-B31A8BEA611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3A9DEF20-AC7D-4CB2-9383-FC39AAF76F0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0C2CA3BB-4E82-44D1-923A-CBBABA77965C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9D68-2527-4714-B9E5-2BED914DE4E4}">
  <sheetPr>
    <tabColor theme="4"/>
    <pageSetUpPr fitToPage="1"/>
  </sheetPr>
  <dimension ref="A1:P93"/>
  <sheetViews>
    <sheetView showGridLines="0" zoomScaleNormal="100" workbookViewId="0">
      <pane ySplit="4" topLeftCell="A12" activePane="bottomLeft" state="frozen"/>
      <selection pane="bottomLeft" activeCell="H44" sqref="H4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115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44697</v>
      </c>
      <c r="C3" s="25">
        <f>B3+1</f>
        <v>44698</v>
      </c>
      <c r="D3" s="25">
        <f t="shared" ref="D3:H3" si="0">C3+1</f>
        <v>44699</v>
      </c>
      <c r="E3" s="25">
        <f t="shared" si="0"/>
        <v>44700</v>
      </c>
      <c r="F3" s="25">
        <f t="shared" si="0"/>
        <v>44701</v>
      </c>
      <c r="G3" s="25">
        <f t="shared" si="0"/>
        <v>44702</v>
      </c>
      <c r="H3" s="25">
        <f t="shared" si="0"/>
        <v>44703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3</v>
      </c>
      <c r="L5" s="39">
        <f t="shared" ref="L5:L14" si="2">K5/$K$15</f>
        <v>0.42857142857142855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2</v>
      </c>
      <c r="L7" s="41">
        <f t="shared" si="2"/>
        <v>0.2857142857142857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1</v>
      </c>
      <c r="L8" s="41">
        <f t="shared" si="2"/>
        <v>0.14285714285714285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1</v>
      </c>
      <c r="L9" s="41">
        <f t="shared" si="2"/>
        <v>0.14285714285714285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7</v>
      </c>
    </row>
    <row r="16" spans="1:16" x14ac:dyDescent="0.25">
      <c r="A16" s="8" t="s">
        <v>26</v>
      </c>
      <c r="B16" s="23" t="s">
        <v>9</v>
      </c>
      <c r="C16" s="23"/>
      <c r="D16" s="23"/>
      <c r="E16" s="23"/>
      <c r="F16" s="23"/>
      <c r="G16" s="23" t="s">
        <v>13</v>
      </c>
      <c r="H16" s="23" t="s">
        <v>5</v>
      </c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 t="s">
        <v>11</v>
      </c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 t="s">
        <v>5</v>
      </c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 t="s">
        <v>5</v>
      </c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 t="s">
        <v>9</v>
      </c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81" priority="24" operator="containsText" text="Pivô">
      <formula>NOT(ISERROR(SEARCH("Pivô",A1)))</formula>
    </cfRule>
    <cfRule type="containsText" dxfId="180" priority="25" operator="containsText" text="Pivô">
      <formula>NOT(ISERROR(SEARCH("Pivô",A1)))</formula>
    </cfRule>
  </conditionalFormatting>
  <conditionalFormatting sqref="B5:H93">
    <cfRule type="containsText" dxfId="179" priority="17" operator="containsText" text="Cardã">
      <formula>NOT(ISERROR(SEARCH("Cardã",B5)))</formula>
    </cfRule>
    <cfRule type="containsText" dxfId="178" priority="18" operator="containsText" text="Pneu">
      <formula>NOT(ISERROR(SEARCH("Pneu",B5)))</formula>
    </cfRule>
    <cfRule type="containsText" dxfId="177" priority="19" operator="containsText" text="Vedação">
      <formula>NOT(ISERROR(SEARCH("Vedação",B5)))</formula>
    </cfRule>
    <cfRule type="containsText" dxfId="176" priority="20" operator="containsText" text="Retentor">
      <formula>NOT(ISERROR(SEARCH("Retentor",B5)))</formula>
    </cfRule>
    <cfRule type="containsText" dxfId="175" priority="21" operator="containsText" text="Motorredutor">
      <formula>NOT(ISERROR(SEARCH("Motorredutor",B5)))</formula>
    </cfRule>
    <cfRule type="containsText" dxfId="174" priority="22" operator="containsText" text="Redutor">
      <formula>NOT(ISERROR(SEARCH("Redutor",B5)))</formula>
    </cfRule>
    <cfRule type="containsText" dxfId="173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AF8BC9A-B08B-4587-B570-8778EE37D9D7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12A2CF00-C6C6-4068-A651-86C00E0F8715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C4EB58C3-4D73-482B-BD21-3B8D40192E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1AF59917-51DB-4215-8040-DCECB60A45D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8FDFD869-4B7D-4A08-BCCD-DE520995F64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BFC34953-EB84-426C-B28D-D3CF2523AFF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26E8B35F-F8B9-452E-8343-A57B74D4B51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5D01504-545C-4D98-9A3C-7DD8C0BEFE7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A9359ECB-B1D3-4018-A30B-7F4B32974E5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61D95EAD-D76A-4298-A685-47A8381BD1F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C663D442-FCD4-40CD-9C19-EBD9B8079BD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C3C8152-FB4F-4B3B-ADC6-5A90B8D3A59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51807930-AE4C-470B-B0AC-FF991DE1151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9745880B-5364-425F-9778-9903A7CDF16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BE2A3899-FC6C-4848-9B35-D999D1AC073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13628AB-4FB0-4A06-9C49-45D4904BB7D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BBA4651B-3B91-46E9-8EE1-07A5D1EF442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1F8C4A18-C778-41AD-836E-FE5562EC7119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B47C-3E05-4FE4-8735-9571AE030D17}">
  <sheetPr>
    <tabColor theme="4"/>
    <pageSetUpPr fitToPage="1"/>
  </sheetPr>
  <dimension ref="A1:P93"/>
  <sheetViews>
    <sheetView showGridLines="0" zoomScaleNormal="100" workbookViewId="0">
      <pane ySplit="4" topLeftCell="A8" activePane="bottomLeft" state="frozen"/>
      <selection pane="bottomLeft" activeCell="E8" sqref="E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116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44704</v>
      </c>
      <c r="C3" s="25">
        <f>B3+1</f>
        <v>44705</v>
      </c>
      <c r="D3" s="25">
        <f t="shared" ref="D3:H3" si="0">C3+1</f>
        <v>44706</v>
      </c>
      <c r="E3" s="25">
        <f t="shared" si="0"/>
        <v>44707</v>
      </c>
      <c r="F3" s="25">
        <f t="shared" si="0"/>
        <v>44708</v>
      </c>
      <c r="G3" s="25">
        <f t="shared" si="0"/>
        <v>44709</v>
      </c>
      <c r="H3" s="25">
        <f t="shared" si="0"/>
        <v>44710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4</v>
      </c>
      <c r="L5" s="39">
        <f t="shared" ref="L5:L14" si="2">K5/$K$15</f>
        <v>0.2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2</v>
      </c>
      <c r="L6" s="41">
        <f t="shared" si="2"/>
        <v>0.1</v>
      </c>
    </row>
    <row r="7" spans="1:16" x14ac:dyDescent="0.25">
      <c r="A7" s="8" t="s">
        <v>8</v>
      </c>
      <c r="B7" s="23"/>
      <c r="C7" s="23"/>
      <c r="D7" s="23"/>
      <c r="E7" s="23" t="s">
        <v>11</v>
      </c>
      <c r="F7" s="23"/>
      <c r="G7" s="23"/>
      <c r="H7" s="23"/>
      <c r="J7" s="13" t="s">
        <v>9</v>
      </c>
      <c r="K7" s="40">
        <f t="shared" si="3"/>
        <v>1</v>
      </c>
      <c r="L7" s="41">
        <f t="shared" si="2"/>
        <v>0.05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4</v>
      </c>
      <c r="L8" s="41">
        <f t="shared" si="2"/>
        <v>0.2</v>
      </c>
    </row>
    <row r="9" spans="1:16" x14ac:dyDescent="0.25">
      <c r="A9" s="8" t="s">
        <v>12</v>
      </c>
      <c r="B9" s="23"/>
      <c r="C9" s="23" t="s">
        <v>11</v>
      </c>
      <c r="D9" s="23"/>
      <c r="E9" s="23"/>
      <c r="F9" s="23"/>
      <c r="G9" s="23"/>
      <c r="H9" s="23"/>
      <c r="J9" s="15" t="s">
        <v>13</v>
      </c>
      <c r="K9" s="40">
        <f t="shared" si="3"/>
        <v>1</v>
      </c>
      <c r="L9" s="41">
        <f t="shared" si="2"/>
        <v>0.05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7</v>
      </c>
      <c r="L11" s="41">
        <f t="shared" si="2"/>
        <v>0.35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1</v>
      </c>
      <c r="L14" s="43">
        <f t="shared" si="2"/>
        <v>0.05</v>
      </c>
    </row>
    <row r="15" spans="1:16" x14ac:dyDescent="0.25">
      <c r="A15" s="8" t="s">
        <v>24</v>
      </c>
      <c r="B15" s="23"/>
      <c r="C15" s="23"/>
      <c r="D15" s="23" t="s">
        <v>9</v>
      </c>
      <c r="E15" s="23"/>
      <c r="F15" s="23"/>
      <c r="G15" s="23"/>
      <c r="H15" s="23"/>
      <c r="J15" s="1" t="s">
        <v>25</v>
      </c>
      <c r="K15" s="1">
        <f>SUM(K5:K14)</f>
        <v>20</v>
      </c>
    </row>
    <row r="16" spans="1:16" x14ac:dyDescent="0.25">
      <c r="A16" s="8" t="s">
        <v>26</v>
      </c>
      <c r="B16" s="23" t="s">
        <v>5</v>
      </c>
      <c r="C16" s="23" t="s">
        <v>5</v>
      </c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 t="s">
        <v>11</v>
      </c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 t="s">
        <v>7</v>
      </c>
      <c r="H24" s="23" t="s">
        <v>7</v>
      </c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 t="s">
        <v>11</v>
      </c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 t="s">
        <v>5</v>
      </c>
      <c r="C29" s="23"/>
      <c r="D29" s="23" t="s">
        <v>23</v>
      </c>
      <c r="E29" s="23"/>
      <c r="F29" s="23"/>
      <c r="G29" s="23" t="s">
        <v>5</v>
      </c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 t="s">
        <v>13</v>
      </c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 t="s">
        <v>106</v>
      </c>
      <c r="C54" s="23" t="s">
        <v>106</v>
      </c>
      <c r="D54" s="23" t="s">
        <v>106</v>
      </c>
      <c r="E54" s="23" t="s">
        <v>106</v>
      </c>
      <c r="F54" s="23" t="s">
        <v>106</v>
      </c>
      <c r="G54" s="23" t="s">
        <v>106</v>
      </c>
      <c r="H54" s="23" t="s">
        <v>106</v>
      </c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55" priority="24" operator="containsText" text="Pivô">
      <formula>NOT(ISERROR(SEARCH("Pivô",A1)))</formula>
    </cfRule>
    <cfRule type="containsText" dxfId="154" priority="25" operator="containsText" text="Pivô">
      <formula>NOT(ISERROR(SEARCH("Pivô",A1)))</formula>
    </cfRule>
  </conditionalFormatting>
  <conditionalFormatting sqref="B5:H93">
    <cfRule type="containsText" dxfId="153" priority="17" operator="containsText" text="Cardã">
      <formula>NOT(ISERROR(SEARCH("Cardã",B5)))</formula>
    </cfRule>
    <cfRule type="containsText" dxfId="152" priority="18" operator="containsText" text="Pneu">
      <formula>NOT(ISERROR(SEARCH("Pneu",B5)))</formula>
    </cfRule>
    <cfRule type="containsText" dxfId="151" priority="19" operator="containsText" text="Vedação">
      <formula>NOT(ISERROR(SEARCH("Vedação",B5)))</formula>
    </cfRule>
    <cfRule type="containsText" dxfId="150" priority="20" operator="containsText" text="Retentor">
      <formula>NOT(ISERROR(SEARCH("Retentor",B5)))</formula>
    </cfRule>
    <cfRule type="containsText" dxfId="149" priority="21" operator="containsText" text="Motorredutor">
      <formula>NOT(ISERROR(SEARCH("Motorredutor",B5)))</formula>
    </cfRule>
    <cfRule type="containsText" dxfId="148" priority="22" operator="containsText" text="Redutor">
      <formula>NOT(ISERROR(SEARCH("Redutor",B5)))</formula>
    </cfRule>
    <cfRule type="containsText" dxfId="147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732B9D0-FD5F-440E-B0A3-7A3D3A775A5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65D757C0-FE1E-41D6-A951-F2B7E9A2638B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BD14B610-28B3-4B15-ABD0-D989D67583D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89450844-D979-4D5F-9321-38215B03772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A1D7C75A-1772-4C29-B36E-8D5B2DA23F7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EA504104-070F-4603-80D5-390FB26A54C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0C3F226B-F7C7-4B4F-BA0C-1A5CE7AA8291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04A76C3-AD40-4DA9-AD7E-EE2AA16770F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84EA56C9-CDC2-4FE4-9418-EA1B34ED5BE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7E40D48-A4A5-4C7B-B491-CFB1FD2B4B2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0A5B8DED-5DF9-4A9B-A686-1764D524B4E0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055D9B5-7A18-43AA-A63D-AC26E1C96FB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81EF4528-C948-4397-BD91-B1C2CA1EF7D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1F0A9B6C-D413-499C-B367-73C4AE7783B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457C6451-C61E-4233-9312-6979BD8B72E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D35912A0-FC6A-4EFD-AAF7-6558CB711FF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9DAB8C0E-8579-442F-A174-0A74253CAC3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A10687DF-E4E2-4EE0-A109-AD96A81A9B94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CF88-1D94-4226-9ED0-CDEA905FF73F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117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44711</v>
      </c>
      <c r="C3" s="25">
        <f>B3+1</f>
        <v>44712</v>
      </c>
      <c r="D3" s="25">
        <f t="shared" ref="D3:H3" si="0">C3+1</f>
        <v>44713</v>
      </c>
      <c r="E3" s="25">
        <f t="shared" si="0"/>
        <v>44714</v>
      </c>
      <c r="F3" s="25">
        <f t="shared" si="0"/>
        <v>44715</v>
      </c>
      <c r="G3" s="25">
        <f t="shared" si="0"/>
        <v>44716</v>
      </c>
      <c r="H3" s="25">
        <f t="shared" si="0"/>
        <v>44717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5</v>
      </c>
      <c r="L5" s="39">
        <f t="shared" ref="L5:L14" si="2">K5/$K$15</f>
        <v>1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 t="s">
        <v>5</v>
      </c>
      <c r="C9" s="23"/>
      <c r="D9" s="23"/>
      <c r="E9" s="23"/>
      <c r="F9" s="23"/>
      <c r="G9" s="23"/>
      <c r="H9" s="23"/>
      <c r="J9" s="15" t="s">
        <v>13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 t="s">
        <v>5</v>
      </c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5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 t="s">
        <v>5</v>
      </c>
    </row>
    <row r="29" spans="1:8" x14ac:dyDescent="0.25">
      <c r="A29" s="8" t="s">
        <v>39</v>
      </c>
      <c r="B29" s="23" t="s">
        <v>5</v>
      </c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 t="s">
        <v>5</v>
      </c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29" priority="24" operator="containsText" text="Pivô">
      <formula>NOT(ISERROR(SEARCH("Pivô",A1)))</formula>
    </cfRule>
    <cfRule type="containsText" dxfId="128" priority="25" operator="containsText" text="Pivô">
      <formula>NOT(ISERROR(SEARCH("Pivô",A1)))</formula>
    </cfRule>
  </conditionalFormatting>
  <conditionalFormatting sqref="B5:H93">
    <cfRule type="containsText" dxfId="127" priority="17" operator="containsText" text="Cardã">
      <formula>NOT(ISERROR(SEARCH("Cardã",B5)))</formula>
    </cfRule>
    <cfRule type="containsText" dxfId="126" priority="18" operator="containsText" text="Pneu">
      <formula>NOT(ISERROR(SEARCH("Pneu",B5)))</formula>
    </cfRule>
    <cfRule type="containsText" dxfId="125" priority="19" operator="containsText" text="Vedação">
      <formula>NOT(ISERROR(SEARCH("Vedação",B5)))</formula>
    </cfRule>
    <cfRule type="containsText" dxfId="124" priority="20" operator="containsText" text="Retentor">
      <formula>NOT(ISERROR(SEARCH("Retentor",B5)))</formula>
    </cfRule>
    <cfRule type="containsText" dxfId="123" priority="21" operator="containsText" text="Motorredutor">
      <formula>NOT(ISERROR(SEARCH("Motorredutor",B5)))</formula>
    </cfRule>
    <cfRule type="containsText" dxfId="122" priority="22" operator="containsText" text="Redutor">
      <formula>NOT(ISERROR(SEARCH("Redutor",B5)))</formula>
    </cfRule>
    <cfRule type="containsText" dxfId="121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B55F340-6A84-44A4-BE64-5EAF67813352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A80DFF7B-3B40-49D5-A695-848637B74903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5B3EA1A8-D2DA-4C86-AB67-F4BDCEEF8BE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87AD83C9-67FD-435A-986E-00FBDF9063D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BF3A1F7-3A69-47F8-BFAD-0302EDDAAF7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750FA7DB-47C9-4ADF-A64B-669C69D86FB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C4AAB80-4218-4978-AC3A-31F535E2D9A1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FBDE0B9D-F6B8-41DF-9FA9-DD932964DE2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5BF4F03B-D86D-45D2-8972-2D85D9EC4AC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B2357D45-6B57-4822-A204-8902B7B2F79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33D2F019-168D-41AA-87BB-6A109BB5CDB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6A87F51-D257-4A80-A6A3-F5BE901E2B6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A9DE08CE-D79D-4E3B-AB35-9BEFE3E26AA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A3E04B0F-0999-46DA-B198-3745586DB05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9EA72E0E-9C9B-457C-A5F2-3F4337D1E95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A920499-AD7C-43E4-8CAD-6FB9118D752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E822BC1D-B2C0-4553-8107-2216E2E54C1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96468E91-FC8E-47A5-B44D-A7AFD4A90C1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5E09-E050-4FCD-BD62-0ED6D9013850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118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44718</v>
      </c>
      <c r="C3" s="25">
        <f>B3+1</f>
        <v>44719</v>
      </c>
      <c r="D3" s="25">
        <f t="shared" ref="D3:H3" si="0">C3+1</f>
        <v>44720</v>
      </c>
      <c r="E3" s="25">
        <f t="shared" si="0"/>
        <v>44721</v>
      </c>
      <c r="F3" s="25">
        <f t="shared" si="0"/>
        <v>44722</v>
      </c>
      <c r="G3" s="25">
        <f t="shared" si="0"/>
        <v>44723</v>
      </c>
      <c r="H3" s="25">
        <f t="shared" si="0"/>
        <v>44724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0</v>
      </c>
      <c r="L5" s="39">
        <f t="shared" ref="L5:L14" si="2">K5/$K$15</f>
        <v>0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1</v>
      </c>
      <c r="L12" s="41">
        <f t="shared" si="2"/>
        <v>0.5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1</v>
      </c>
      <c r="L14" s="43">
        <f t="shared" si="2"/>
        <v>0.5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2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 t="s">
        <v>23</v>
      </c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 t="s">
        <v>19</v>
      </c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03" priority="24" operator="containsText" text="Pivô">
      <formula>NOT(ISERROR(SEARCH("Pivô",A1)))</formula>
    </cfRule>
    <cfRule type="containsText" dxfId="102" priority="25" operator="containsText" text="Pivô">
      <formula>NOT(ISERROR(SEARCH("Pivô",A1)))</formula>
    </cfRule>
  </conditionalFormatting>
  <conditionalFormatting sqref="B5:H93">
    <cfRule type="containsText" dxfId="101" priority="17" operator="containsText" text="Cardã">
      <formula>NOT(ISERROR(SEARCH("Cardã",B5)))</formula>
    </cfRule>
    <cfRule type="containsText" dxfId="100" priority="18" operator="containsText" text="Pneu">
      <formula>NOT(ISERROR(SEARCH("Pneu",B5)))</formula>
    </cfRule>
    <cfRule type="containsText" dxfId="99" priority="19" operator="containsText" text="Vedação">
      <formula>NOT(ISERROR(SEARCH("Vedação",B5)))</formula>
    </cfRule>
    <cfRule type="containsText" dxfId="98" priority="20" operator="containsText" text="Retentor">
      <formula>NOT(ISERROR(SEARCH("Retentor",B5)))</formula>
    </cfRule>
    <cfRule type="containsText" dxfId="97" priority="21" operator="containsText" text="Motorredutor">
      <formula>NOT(ISERROR(SEARCH("Motorredutor",B5)))</formula>
    </cfRule>
    <cfRule type="containsText" dxfId="96" priority="22" operator="containsText" text="Redutor">
      <formula>NOT(ISERROR(SEARCH("Redutor",B5)))</formula>
    </cfRule>
    <cfRule type="containsText" dxfId="95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B3E55A7-DE6D-4378-BC8C-4ABD1466A167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80BD508B-66B7-4447-BF88-28B19CF2C674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EA1EE865-7FFE-42E1-BD0C-AC49C3CEFF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5B7E2733-A620-4C62-8D98-BF4FF20DFD6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D3FA94E3-BDB4-426E-9C82-411E77B56BB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4368E599-2E53-4798-B569-5A65A563907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495C7BD1-DEAB-4372-ACB7-A5EA21AE86F7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C76CE94C-CA91-4343-89E1-11C3D93BAEA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119FA239-3CD9-4E5E-B199-3A6B664EA47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0033C862-36CB-46D5-B4D8-584C4A0C794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0222500D-DA38-4FDB-AAD2-39443384E39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A3171B3D-B032-48D9-BB69-DC82655E240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1C96A9A-7C06-4B21-B6B6-327FA984C36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2BB4B244-A27B-40FF-916C-A1A7EF4C294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3A053B84-93F3-4406-920F-F07B642F14D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6F5F993C-C18B-4E5D-99F6-4724BC4CD28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182DED21-285F-4704-B8FB-9C9DFE053CE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FF32C7D0-DFBA-4268-B431-5C54F4CAC1B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4879-2594-438E-B9C6-9C6A266D7FEC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H8" sqref="H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119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44725</v>
      </c>
      <c r="C3" s="25">
        <f>B3+1</f>
        <v>44726</v>
      </c>
      <c r="D3" s="25">
        <f t="shared" ref="D3:H3" si="0">C3+1</f>
        <v>44727</v>
      </c>
      <c r="E3" s="25">
        <f t="shared" si="0"/>
        <v>44728</v>
      </c>
      <c r="F3" s="25">
        <f t="shared" si="0"/>
        <v>44729</v>
      </c>
      <c r="G3" s="25">
        <f t="shared" si="0"/>
        <v>44730</v>
      </c>
      <c r="H3" s="25">
        <f t="shared" si="0"/>
        <v>44731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2</v>
      </c>
      <c r="L5" s="39">
        <f t="shared" ref="L5:L14" si="2">K5/$K$15</f>
        <v>0.5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1</v>
      </c>
      <c r="L6" s="41">
        <f t="shared" si="2"/>
        <v>0.25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 t="s">
        <v>7</v>
      </c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1</v>
      </c>
      <c r="L11" s="41">
        <f t="shared" si="2"/>
        <v>0.25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4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 t="s">
        <v>5</v>
      </c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 t="s">
        <v>106</v>
      </c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 t="s">
        <v>5</v>
      </c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7" priority="24" operator="containsText" text="Pivô">
      <formula>NOT(ISERROR(SEARCH("Pivô",A1)))</formula>
    </cfRule>
    <cfRule type="containsText" dxfId="76" priority="25" operator="containsText" text="Pivô">
      <formula>NOT(ISERROR(SEARCH("Pivô",A1)))</formula>
    </cfRule>
  </conditionalFormatting>
  <conditionalFormatting sqref="B5:H93">
    <cfRule type="containsText" dxfId="75" priority="17" operator="containsText" text="Cardã">
      <formula>NOT(ISERROR(SEARCH("Cardã",B5)))</formula>
    </cfRule>
    <cfRule type="containsText" dxfId="74" priority="18" operator="containsText" text="Pneu">
      <formula>NOT(ISERROR(SEARCH("Pneu",B5)))</formula>
    </cfRule>
    <cfRule type="containsText" dxfId="73" priority="19" operator="containsText" text="Vedação">
      <formula>NOT(ISERROR(SEARCH("Vedação",B5)))</formula>
    </cfRule>
    <cfRule type="containsText" dxfId="72" priority="20" operator="containsText" text="Retentor">
      <formula>NOT(ISERROR(SEARCH("Retentor",B5)))</formula>
    </cfRule>
    <cfRule type="containsText" dxfId="71" priority="21" operator="containsText" text="Motorredutor">
      <formula>NOT(ISERROR(SEARCH("Motorredutor",B5)))</formula>
    </cfRule>
    <cfRule type="containsText" dxfId="70" priority="22" operator="containsText" text="Redutor">
      <formula>NOT(ISERROR(SEARCH("Redutor",B5)))</formula>
    </cfRule>
    <cfRule type="containsText" dxfId="69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061892FE-22F9-4983-88EE-22EC8D2FEAEC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7B0D9A69-BE2A-47B7-AE6C-23BC1ACCF3E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5312E9B6-2DEE-454A-B4CE-1C3D8049F6C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16C4A9D7-5EC0-4B1B-8A46-17866A574FA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0F4A2E79-E606-4F4A-84CB-BB7220871CE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CE344DBD-B70B-447C-8407-92B3C4BE88C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B2650F7A-3947-4569-9221-17A1CEF7C62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54B95A6B-338D-4966-A8F1-D2AD8EE9980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5129A02D-7588-4FAE-A83D-25151E54A8C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58C9219D-02A9-408D-BAE4-AD10C57F48F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55EDEDF3-21F5-46BE-993C-FC8CF385FA0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FA0A9D07-D954-439C-9412-2549AC4A35C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95B4695-6303-4FFA-96BC-AD111B432C5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55045A24-4C48-4F7F-B377-1E72D5BA502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5E63BD9-C2B1-405E-BB7E-47A1FD4963E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67E68AB3-204C-4836-83D7-482227535C7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FC673234-E14A-4075-9F72-5A8F2AB04D4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FCA5984E-2967-46F4-8674-1C382EC6110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9C73-F30D-4644-B558-84498B22656E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121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44732</v>
      </c>
      <c r="C3" s="25">
        <f>B3+1</f>
        <v>44733</v>
      </c>
      <c r="D3" s="25">
        <f t="shared" ref="D3:H3" si="0">C3+1</f>
        <v>44734</v>
      </c>
      <c r="E3" s="25">
        <f t="shared" si="0"/>
        <v>44735</v>
      </c>
      <c r="F3" s="25">
        <f t="shared" si="0"/>
        <v>44736</v>
      </c>
      <c r="G3" s="25">
        <f t="shared" si="0"/>
        <v>44737</v>
      </c>
      <c r="H3" s="25">
        <f t="shared" si="0"/>
        <v>44738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/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3</v>
      </c>
      <c r="L5" s="39">
        <f t="shared" ref="L5:L14" si="2">K5/$K$15</f>
        <v>0.375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1</v>
      </c>
      <c r="L7" s="41">
        <f t="shared" si="2"/>
        <v>0.125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2</v>
      </c>
      <c r="L9" s="41">
        <f t="shared" si="2"/>
        <v>0.25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 t="s">
        <v>13</v>
      </c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 t="shared" si="2"/>
        <v>0.25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8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/>
      <c r="C20" s="23"/>
      <c r="D20" s="23"/>
      <c r="E20" s="23"/>
      <c r="F20" s="23" t="s">
        <v>5</v>
      </c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 t="s">
        <v>9</v>
      </c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 t="s">
        <v>5</v>
      </c>
      <c r="D29" s="23"/>
      <c r="E29" s="23" t="s">
        <v>5</v>
      </c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 t="s">
        <v>13</v>
      </c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 t="s">
        <v>23</v>
      </c>
      <c r="D93" s="23" t="s">
        <v>23</v>
      </c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5" priority="24" operator="containsText" text="Pivô">
      <formula>NOT(ISERROR(SEARCH("Pivô",A1)))</formula>
    </cfRule>
    <cfRule type="containsText" dxfId="24" priority="25" operator="containsText" text="Pivô">
      <formula>NOT(ISERROR(SEARCH("Pivô",A1)))</formula>
    </cfRule>
  </conditionalFormatting>
  <conditionalFormatting sqref="B5:H93">
    <cfRule type="containsText" dxfId="23" priority="17" operator="containsText" text="Cardã">
      <formula>NOT(ISERROR(SEARCH("Cardã",B5)))</formula>
    </cfRule>
    <cfRule type="containsText" dxfId="22" priority="18" operator="containsText" text="Pneu">
      <formula>NOT(ISERROR(SEARCH("Pneu",B5)))</formula>
    </cfRule>
    <cfRule type="containsText" dxfId="21" priority="19" operator="containsText" text="Vedação">
      <formula>NOT(ISERROR(SEARCH("Vedação",B5)))</formula>
    </cfRule>
    <cfRule type="containsText" dxfId="20" priority="20" operator="containsText" text="Retentor">
      <formula>NOT(ISERROR(SEARCH("Retentor",B5)))</formula>
    </cfRule>
    <cfRule type="containsText" dxfId="19" priority="21" operator="containsText" text="Motorredutor">
      <formula>NOT(ISERROR(SEARCH("Motorredutor",B5)))</formula>
    </cfRule>
    <cfRule type="containsText" dxfId="18" priority="22" operator="containsText" text="Redutor">
      <formula>NOT(ISERROR(SEARCH("Redutor",B5)))</formula>
    </cfRule>
    <cfRule type="containsText" dxfId="17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21EEB4D-CBE1-40F2-B156-FEC4A749C3D8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B5783D42-7F81-4C7C-BE26-D0B51FF9A18E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7EA23611-E8BC-4328-90DB-D0CD4AB4BEC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5DC75740-C07B-4842-9F60-4BF55797F42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615E14A2-11E3-443D-9D97-D4911267AA8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CDAA7157-5C9E-4E9B-AAB0-BC5C5CDFDB3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D8469B48-09E6-4F56-BB37-4EF9E40A402C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BC526469-4E7C-45D0-AA0E-BC822C5EE2B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E310043-7532-4208-9EFD-C622AA0082A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20DE38C4-FACC-4796-A954-633951C04BA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9740A247-CC4F-404C-89DD-04FE31F1077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1094FB14-764C-4ED6-9F8A-60B4CD4CD93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92592C1-556D-4D13-A0FD-7CB55D3A2CE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EBD80C7-34D8-4A55-A12E-96EDB2BA059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DB0569F-6CB2-481F-9462-F6FD8FDECA1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77C213EA-C7F3-4011-8D8F-35BA5621776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F706F769-F475-42AB-A671-BD9DFA312A2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A2E0DAE3-26CA-4068-B782-153499E1877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4209-BBC4-439F-984C-6044607E0B37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</cols>
  <sheetData>
    <row r="1" spans="1:16" s="9" customFormat="1" ht="15" customHeight="1" x14ac:dyDescent="0.25">
      <c r="A1" s="54" t="s">
        <v>120</v>
      </c>
      <c r="B1" s="54"/>
      <c r="C1" s="54"/>
      <c r="D1" s="54"/>
      <c r="E1" s="54"/>
      <c r="F1" s="54"/>
      <c r="G1" s="54"/>
      <c r="H1" s="54"/>
    </row>
    <row r="2" spans="1:16" s="9" customFormat="1" ht="15" customHeight="1" x14ac:dyDescent="0.25">
      <c r="A2" s="54"/>
      <c r="B2" s="54"/>
      <c r="C2" s="54"/>
      <c r="D2" s="54"/>
      <c r="E2" s="54"/>
      <c r="F2" s="54"/>
      <c r="G2" s="54"/>
      <c r="H2" s="54"/>
    </row>
    <row r="3" spans="1:16" s="9" customFormat="1" ht="15.75" x14ac:dyDescent="0.25">
      <c r="A3" s="24" t="s">
        <v>1</v>
      </c>
      <c r="B3" s="25">
        <v>44739</v>
      </c>
      <c r="C3" s="25">
        <f>B3+1</f>
        <v>44740</v>
      </c>
      <c r="D3" s="25">
        <f t="shared" ref="D3:H3" si="0">C3+1</f>
        <v>44741</v>
      </c>
      <c r="E3" s="25">
        <f t="shared" si="0"/>
        <v>44742</v>
      </c>
      <c r="F3" s="25">
        <f t="shared" si="0"/>
        <v>44743</v>
      </c>
      <c r="G3" s="25">
        <f t="shared" si="0"/>
        <v>44744</v>
      </c>
      <c r="H3" s="25">
        <f t="shared" si="0"/>
        <v>44745</v>
      </c>
      <c r="I3" s="11"/>
      <c r="K3" s="10"/>
    </row>
    <row r="4" spans="1:16" s="9" customFormat="1" ht="15.75" x14ac:dyDescent="0.25">
      <c r="A4" s="27" t="s">
        <v>2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3</v>
      </c>
      <c r="K4" s="18"/>
      <c r="L4" s="19"/>
    </row>
    <row r="5" spans="1:16" x14ac:dyDescent="0.25">
      <c r="A5" s="7" t="s">
        <v>4</v>
      </c>
      <c r="B5" s="20" t="s">
        <v>5</v>
      </c>
      <c r="C5" s="20"/>
      <c r="D5" s="21"/>
      <c r="E5" s="20"/>
      <c r="F5" s="22"/>
      <c r="G5" s="20"/>
      <c r="H5" s="20"/>
      <c r="J5" s="35" t="s">
        <v>5</v>
      </c>
      <c r="K5" s="38">
        <f>COUNTIF($B$5:$H$93,J5)</f>
        <v>3</v>
      </c>
      <c r="L5" s="39">
        <f t="shared" ref="L5:L14" si="2">K5/$K$15</f>
        <v>0.5</v>
      </c>
    </row>
    <row r="6" spans="1:16" x14ac:dyDescent="0.25">
      <c r="A6" s="8" t="s">
        <v>6</v>
      </c>
      <c r="B6" s="23"/>
      <c r="C6" s="23"/>
      <c r="D6" s="23"/>
      <c r="E6" s="20"/>
      <c r="F6" s="23"/>
      <c r="G6" s="23"/>
      <c r="H6" s="23"/>
      <c r="J6" s="12" t="s">
        <v>7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8</v>
      </c>
      <c r="B7" s="23"/>
      <c r="C7" s="23"/>
      <c r="D7" s="23"/>
      <c r="E7" s="23"/>
      <c r="F7" s="23"/>
      <c r="G7" s="23"/>
      <c r="H7" s="23"/>
      <c r="J7" s="13" t="s">
        <v>9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10</v>
      </c>
      <c r="B8" s="23"/>
      <c r="C8" s="23"/>
      <c r="D8" s="23"/>
      <c r="E8" s="23"/>
      <c r="F8" s="23"/>
      <c r="G8" s="23"/>
      <c r="H8" s="23"/>
      <c r="J8" s="14" t="s">
        <v>11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12</v>
      </c>
      <c r="B9" s="23"/>
      <c r="C9" s="23"/>
      <c r="D9" s="23"/>
      <c r="E9" s="23"/>
      <c r="F9" s="23"/>
      <c r="G9" s="23"/>
      <c r="H9" s="23"/>
      <c r="J9" s="15" t="s">
        <v>13</v>
      </c>
      <c r="K9" s="40">
        <f t="shared" si="3"/>
        <v>1</v>
      </c>
      <c r="L9" s="41">
        <f t="shared" si="2"/>
        <v>0.16666666666666666</v>
      </c>
      <c r="P9" s="6"/>
    </row>
    <row r="10" spans="1:16" x14ac:dyDescent="0.25">
      <c r="A10" s="8" t="s">
        <v>14</v>
      </c>
      <c r="B10" s="23"/>
      <c r="C10" s="23"/>
      <c r="D10" s="23"/>
      <c r="E10" s="23"/>
      <c r="F10" s="23"/>
      <c r="G10" s="23"/>
      <c r="H10" s="23"/>
      <c r="J10" s="16" t="s">
        <v>105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16</v>
      </c>
      <c r="B11" s="23"/>
      <c r="C11" s="23"/>
      <c r="D11" s="23"/>
      <c r="E11" s="23"/>
      <c r="F11" s="23"/>
      <c r="G11" s="23"/>
      <c r="H11" s="23"/>
      <c r="J11" s="17" t="s">
        <v>106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18</v>
      </c>
      <c r="B12" s="23"/>
      <c r="C12" s="23"/>
      <c r="D12" s="23"/>
      <c r="E12" s="23"/>
      <c r="F12" s="23"/>
      <c r="G12" s="23"/>
      <c r="H12" s="23"/>
      <c r="J12" s="34" t="s">
        <v>19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20</v>
      </c>
      <c r="B13" s="23"/>
      <c r="C13" s="23"/>
      <c r="D13" s="23"/>
      <c r="E13" s="23"/>
      <c r="F13" s="23"/>
      <c r="G13" s="23"/>
      <c r="H13" s="23"/>
      <c r="J13" s="36" t="s">
        <v>21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22</v>
      </c>
      <c r="B14" s="23"/>
      <c r="C14" s="23"/>
      <c r="D14" s="23"/>
      <c r="E14" s="23"/>
      <c r="F14" s="23"/>
      <c r="G14" s="23"/>
      <c r="H14" s="23"/>
      <c r="J14" s="37" t="s">
        <v>23</v>
      </c>
      <c r="K14" s="42">
        <f>COUNTIF($B$5:$H$93,J14)</f>
        <v>2</v>
      </c>
      <c r="L14" s="43">
        <f t="shared" si="2"/>
        <v>0.33333333333333331</v>
      </c>
    </row>
    <row r="15" spans="1:16" x14ac:dyDescent="0.25">
      <c r="A15" s="8" t="s">
        <v>24</v>
      </c>
      <c r="B15" s="23"/>
      <c r="C15" s="23"/>
      <c r="D15" s="23"/>
      <c r="E15" s="23"/>
      <c r="F15" s="23"/>
      <c r="G15" s="23"/>
      <c r="H15" s="23"/>
      <c r="J15" s="1" t="s">
        <v>25</v>
      </c>
      <c r="K15" s="1">
        <f>SUM(K5:K14)</f>
        <v>6</v>
      </c>
    </row>
    <row r="16" spans="1:16" x14ac:dyDescent="0.25">
      <c r="A16" s="8" t="s">
        <v>26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27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28</v>
      </c>
      <c r="B18" s="23"/>
      <c r="C18" s="23"/>
      <c r="D18" s="23"/>
      <c r="E18" s="23"/>
      <c r="F18" s="23"/>
      <c r="G18" s="23" t="s">
        <v>5</v>
      </c>
      <c r="H18" s="23"/>
    </row>
    <row r="19" spans="1:8" x14ac:dyDescent="0.25">
      <c r="A19" s="8" t="s">
        <v>29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30</v>
      </c>
      <c r="B20" s="23" t="s">
        <v>5</v>
      </c>
      <c r="C20" s="23"/>
      <c r="D20" s="23"/>
      <c r="E20" s="23"/>
      <c r="F20" s="23"/>
      <c r="G20" s="23"/>
      <c r="H20" s="23"/>
    </row>
    <row r="21" spans="1:8" x14ac:dyDescent="0.25">
      <c r="A21" s="8" t="s">
        <v>31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32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33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34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35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36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37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38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39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40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41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42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43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44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45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46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47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48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49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50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51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52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53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54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55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56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57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58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59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60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61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62</v>
      </c>
      <c r="B52" s="23"/>
      <c r="C52" s="23"/>
      <c r="D52" s="23"/>
      <c r="E52" s="23" t="s">
        <v>23</v>
      </c>
      <c r="F52" s="23" t="s">
        <v>23</v>
      </c>
      <c r="G52" s="23"/>
      <c r="H52" s="23"/>
    </row>
    <row r="53" spans="1:8" x14ac:dyDescent="0.25">
      <c r="A53" s="8" t="s">
        <v>63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64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65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66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67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68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69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70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71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72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73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74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75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76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77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78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79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80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81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82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83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84</v>
      </c>
      <c r="B74" s="23"/>
      <c r="C74" s="23"/>
      <c r="D74" s="23"/>
      <c r="E74" s="23" t="s">
        <v>13</v>
      </c>
      <c r="F74" s="23"/>
      <c r="G74" s="23"/>
      <c r="H74" s="23"/>
    </row>
    <row r="75" spans="1:8" x14ac:dyDescent="0.25">
      <c r="A75" s="8" t="s">
        <v>85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86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87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88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89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93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94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95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96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97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98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99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100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101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102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103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51" priority="24" operator="containsText" text="Pivô">
      <formula>NOT(ISERROR(SEARCH("Pivô",A1)))</formula>
    </cfRule>
    <cfRule type="containsText" dxfId="50" priority="25" operator="containsText" text="Pivô">
      <formula>NOT(ISERROR(SEARCH("Pivô",A1)))</formula>
    </cfRule>
  </conditionalFormatting>
  <conditionalFormatting sqref="B5:H93">
    <cfRule type="containsText" dxfId="49" priority="17" operator="containsText" text="Cardã">
      <formula>NOT(ISERROR(SEARCH("Cardã",B5)))</formula>
    </cfRule>
    <cfRule type="containsText" dxfId="48" priority="18" operator="containsText" text="Pneu">
      <formula>NOT(ISERROR(SEARCH("Pneu",B5)))</formula>
    </cfRule>
    <cfRule type="containsText" dxfId="47" priority="19" operator="containsText" text="Vedação">
      <formula>NOT(ISERROR(SEARCH("Vedação",B5)))</formula>
    </cfRule>
    <cfRule type="containsText" dxfId="46" priority="20" operator="containsText" text="Retentor">
      <formula>NOT(ISERROR(SEARCH("Retentor",B5)))</formula>
    </cfRule>
    <cfRule type="containsText" dxfId="45" priority="21" operator="containsText" text="Motorredutor">
      <formula>NOT(ISERROR(SEARCH("Motorredutor",B5)))</formula>
    </cfRule>
    <cfRule type="containsText" dxfId="44" priority="22" operator="containsText" text="Redutor">
      <formula>NOT(ISERROR(SEARCH("Redutor",B5)))</formula>
    </cfRule>
    <cfRule type="containsText" dxfId="43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3ADFCF7-4ADD-4BEB-BAD5-E41DB22B9DFE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8BA12BDA-242A-4EF3-8766-A1377BC39044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B94:H1048576</xm:sqref>
        </x14:conditionalFormatting>
        <x14:conditionalFormatting xmlns:xm="http://schemas.microsoft.com/office/excel/2006/main">
          <x14:cfRule type="containsText" priority="9" operator="containsText" id="{3DD66690-1AFC-4E93-9A3E-A1B7AFE457D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0ED926E4-B258-4399-B8D8-C6415249312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9775506B-0458-4A64-BF18-A5550C81B7C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E5331D6-0021-4703-A039-71B1ABEF48D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00646C71-C3D4-48B5-9724-57F6ABDB8FC7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CEAFF92F-B1E2-4D4E-AEAD-172EC72B0C3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37013B57-B653-4F00-9BDD-7293CF89A48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74CEDEF8-DFA1-49DC-91CF-6129E10B532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98A7A075-44AF-485F-BB9B-4A76DD71BC5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A6D21939-A4FA-4666-9479-704D2E3B390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347A3FEC-90D2-40F9-ACB7-517DE1E97E8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C2D8F956-12AE-4094-9963-C612435D433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98D4914-62E2-40D0-B0BA-93C8BBE6E3F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CBFB432C-0E2F-4A5A-9259-0376A3C1B2D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ED22166A-FF21-4514-A069-1B68D992158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" operator="containsText" id="{75A0D69C-1EA3-470F-A605-A94474929EA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>
    <tabColor rgb="FF002060"/>
  </sheetPr>
  <dimension ref="A2:V15"/>
  <sheetViews>
    <sheetView tabSelected="1" workbookViewId="0">
      <selection activeCell="T3" sqref="T3:T12"/>
    </sheetView>
  </sheetViews>
  <sheetFormatPr defaultRowHeight="15" x14ac:dyDescent="0.25"/>
  <cols>
    <col min="1" max="1" width="13.42578125" bestFit="1" customWidth="1"/>
    <col min="2" max="3" width="6.7109375" bestFit="1" customWidth="1"/>
    <col min="4" max="4" width="7.28515625" bestFit="1" customWidth="1"/>
    <col min="23" max="23" width="10" customWidth="1"/>
  </cols>
  <sheetData>
    <row r="2" spans="1:22" x14ac:dyDescent="0.25">
      <c r="A2" s="51" t="s">
        <v>3</v>
      </c>
      <c r="B2" s="46">
        <v>44613</v>
      </c>
      <c r="C2" s="46">
        <v>44620</v>
      </c>
      <c r="D2" s="46">
        <v>44627</v>
      </c>
      <c r="E2" s="46">
        <v>44634</v>
      </c>
      <c r="F2" s="46">
        <v>44641</v>
      </c>
      <c r="G2" s="46">
        <v>44648</v>
      </c>
      <c r="H2" s="46">
        <v>44655</v>
      </c>
      <c r="I2" s="46">
        <v>44662</v>
      </c>
      <c r="J2" s="46">
        <v>44669</v>
      </c>
      <c r="K2" s="46">
        <v>44676</v>
      </c>
      <c r="L2" s="46">
        <v>44683</v>
      </c>
      <c r="M2" s="46">
        <v>44690</v>
      </c>
      <c r="N2" s="46">
        <v>44697</v>
      </c>
      <c r="O2" s="46">
        <v>44704</v>
      </c>
      <c r="P2" s="46">
        <v>44711</v>
      </c>
      <c r="Q2" s="46">
        <v>44718</v>
      </c>
      <c r="R2" s="46">
        <v>44725</v>
      </c>
      <c r="S2" s="46">
        <v>44732</v>
      </c>
      <c r="T2" s="46">
        <v>44739</v>
      </c>
      <c r="U2" s="47" t="s">
        <v>25</v>
      </c>
      <c r="V2" s="48" t="s">
        <v>122</v>
      </c>
    </row>
    <row r="3" spans="1:22" x14ac:dyDescent="0.25">
      <c r="A3" s="33" t="s">
        <v>5</v>
      </c>
      <c r="B3">
        <f>'21 02 2022'!K5</f>
        <v>1</v>
      </c>
      <c r="C3">
        <f>'28 02 2022 '!K5</f>
        <v>2</v>
      </c>
      <c r="D3">
        <f>'07 03 2022'!K5</f>
        <v>2</v>
      </c>
      <c r="E3">
        <f>'14 03 2022'!K5</f>
        <v>0</v>
      </c>
      <c r="F3">
        <f>'21 03 2022'!K5</f>
        <v>0</v>
      </c>
      <c r="G3">
        <f>'28 03 2022'!K5</f>
        <v>0</v>
      </c>
      <c r="H3">
        <f>'04 04 2022'!K5</f>
        <v>0</v>
      </c>
      <c r="I3">
        <f>'11 04 2022'!K5</f>
        <v>2</v>
      </c>
      <c r="J3">
        <f>'18 04 2022'!K5</f>
        <v>4</v>
      </c>
      <c r="K3">
        <f>'25 04 2023'!K5</f>
        <v>3</v>
      </c>
      <c r="L3">
        <f>'02 05 2022'!K5</f>
        <v>2</v>
      </c>
      <c r="M3">
        <f>'09 05 2022'!K5</f>
        <v>1</v>
      </c>
      <c r="N3">
        <f>'16 05 2022 '!K5</f>
        <v>3</v>
      </c>
      <c r="O3">
        <f>'23 05 2022  '!K5</f>
        <v>4</v>
      </c>
      <c r="P3">
        <f>'30 05 2022   '!K5</f>
        <v>5</v>
      </c>
      <c r="Q3">
        <f>'06 06 2022'!K5</f>
        <v>0</v>
      </c>
      <c r="R3">
        <f>'13 06 2022   '!K5</f>
        <v>2</v>
      </c>
      <c r="S3">
        <f>'20 06 2022   '!K5</f>
        <v>3</v>
      </c>
      <c r="T3">
        <f>'27 06 2022  '!K5</f>
        <v>3</v>
      </c>
      <c r="U3" s="49">
        <f t="shared" ref="U3:U7" si="0">SUM(B3:T3)</f>
        <v>37</v>
      </c>
      <c r="V3" s="50">
        <f t="shared" ref="V3:V12" si="1">U3/$U$13</f>
        <v>0.14799999999999999</v>
      </c>
    </row>
    <row r="4" spans="1:22" x14ac:dyDescent="0.25">
      <c r="A4" s="30" t="s">
        <v>7</v>
      </c>
      <c r="B4">
        <f>'21 02 2022'!K6</f>
        <v>1</v>
      </c>
      <c r="C4">
        <f>'28 02 2022 '!K6</f>
        <v>0</v>
      </c>
      <c r="D4">
        <f>'07 03 2022'!K6</f>
        <v>0</v>
      </c>
      <c r="E4">
        <f>'14 03 2022'!K6</f>
        <v>3</v>
      </c>
      <c r="F4">
        <f>'21 03 2022'!K6</f>
        <v>0</v>
      </c>
      <c r="G4">
        <f>'28 03 2022'!K6</f>
        <v>1</v>
      </c>
      <c r="H4">
        <f>'04 04 2022'!K6</f>
        <v>1</v>
      </c>
      <c r="I4">
        <f>'11 04 2022'!K6</f>
        <v>0</v>
      </c>
      <c r="J4">
        <f>'18 04 2022'!K6</f>
        <v>1</v>
      </c>
      <c r="K4">
        <f>'25 04 2023'!K6</f>
        <v>0</v>
      </c>
      <c r="L4">
        <f>'02 05 2022'!K6</f>
        <v>0</v>
      </c>
      <c r="M4">
        <f>'09 05 2022'!K6</f>
        <v>0</v>
      </c>
      <c r="N4">
        <f>'16 05 2022 '!K6</f>
        <v>0</v>
      </c>
      <c r="O4">
        <f>'23 05 2022  '!K6</f>
        <v>2</v>
      </c>
      <c r="P4">
        <f>'30 05 2022   '!K6</f>
        <v>0</v>
      </c>
      <c r="Q4">
        <f>'06 06 2022'!K6</f>
        <v>0</v>
      </c>
      <c r="R4">
        <f>'13 06 2022   '!K6</f>
        <v>1</v>
      </c>
      <c r="S4">
        <f>'20 06 2022   '!K6</f>
        <v>0</v>
      </c>
      <c r="T4">
        <f>'27 06 2022  '!K6</f>
        <v>0</v>
      </c>
      <c r="U4" s="49">
        <f t="shared" si="0"/>
        <v>10</v>
      </c>
      <c r="V4" s="50">
        <f t="shared" si="1"/>
        <v>0.04</v>
      </c>
    </row>
    <row r="5" spans="1:22" x14ac:dyDescent="0.25">
      <c r="A5" s="2" t="s">
        <v>9</v>
      </c>
      <c r="B5">
        <f>'21 02 2022'!K7</f>
        <v>0</v>
      </c>
      <c r="C5">
        <f>'28 02 2022 '!K7</f>
        <v>0</v>
      </c>
      <c r="D5">
        <f>'07 03 2022'!K7</f>
        <v>0</v>
      </c>
      <c r="E5">
        <f>'14 03 2022'!K7</f>
        <v>0</v>
      </c>
      <c r="F5">
        <f>'21 03 2022'!K7</f>
        <v>0</v>
      </c>
      <c r="G5">
        <f>'28 03 2022'!K7</f>
        <v>0</v>
      </c>
      <c r="H5">
        <f>'04 04 2022'!K7</f>
        <v>0</v>
      </c>
      <c r="I5">
        <f>'11 04 2022'!K7</f>
        <v>0</v>
      </c>
      <c r="J5">
        <f>'18 04 2022'!K7</f>
        <v>0</v>
      </c>
      <c r="K5">
        <f>'25 04 2023'!K7</f>
        <v>1</v>
      </c>
      <c r="L5">
        <f>'02 05 2022'!K7</f>
        <v>2</v>
      </c>
      <c r="M5">
        <f>'09 05 2022'!K7</f>
        <v>0</v>
      </c>
      <c r="N5">
        <f>'16 05 2022 '!K7</f>
        <v>2</v>
      </c>
      <c r="O5">
        <f>'23 05 2022  '!K7</f>
        <v>1</v>
      </c>
      <c r="P5">
        <f>'30 05 2022   '!K7</f>
        <v>0</v>
      </c>
      <c r="Q5">
        <f>'06 06 2022'!K7</f>
        <v>0</v>
      </c>
      <c r="R5">
        <f>'13 06 2022   '!K7</f>
        <v>0</v>
      </c>
      <c r="S5">
        <f>'20 06 2022   '!K7</f>
        <v>1</v>
      </c>
      <c r="T5">
        <f>'27 06 2022  '!K7</f>
        <v>0</v>
      </c>
      <c r="U5" s="49">
        <f t="shared" si="0"/>
        <v>7</v>
      </c>
      <c r="V5" s="50">
        <f t="shared" si="1"/>
        <v>2.8000000000000001E-2</v>
      </c>
    </row>
    <row r="6" spans="1:22" x14ac:dyDescent="0.25">
      <c r="A6" s="5" t="s">
        <v>11</v>
      </c>
      <c r="B6">
        <f>'21 02 2022'!K8</f>
        <v>0</v>
      </c>
      <c r="C6">
        <f>'28 02 2022 '!K8</f>
        <v>0</v>
      </c>
      <c r="D6">
        <f>'07 03 2022'!K8</f>
        <v>0</v>
      </c>
      <c r="E6">
        <f>'14 03 2022'!K8</f>
        <v>1</v>
      </c>
      <c r="F6">
        <f>'21 03 2022'!K8</f>
        <v>0</v>
      </c>
      <c r="G6">
        <f>'28 03 2022'!K8</f>
        <v>0</v>
      </c>
      <c r="H6">
        <f>'04 04 2022'!K8</f>
        <v>1</v>
      </c>
      <c r="I6">
        <f>'11 04 2022'!K8</f>
        <v>2</v>
      </c>
      <c r="J6">
        <f>'18 04 2022'!K8</f>
        <v>3</v>
      </c>
      <c r="K6">
        <f>'25 04 2023'!K8</f>
        <v>2</v>
      </c>
      <c r="L6">
        <f>'02 05 2022'!K8</f>
        <v>0</v>
      </c>
      <c r="M6">
        <f>'09 05 2022'!K8</f>
        <v>0</v>
      </c>
      <c r="N6">
        <f>'16 05 2022 '!K8</f>
        <v>1</v>
      </c>
      <c r="O6">
        <f>'23 05 2022  '!K8</f>
        <v>4</v>
      </c>
      <c r="P6">
        <f>'30 05 2022   '!K8</f>
        <v>0</v>
      </c>
      <c r="Q6">
        <f>'06 06 2022'!K8</f>
        <v>0</v>
      </c>
      <c r="R6">
        <f>'13 06 2022   '!K8</f>
        <v>0</v>
      </c>
      <c r="S6">
        <f>'20 06 2022   '!K8</f>
        <v>0</v>
      </c>
      <c r="T6">
        <f>'27 06 2022  '!K8</f>
        <v>0</v>
      </c>
      <c r="U6" s="49">
        <f t="shared" si="0"/>
        <v>14</v>
      </c>
      <c r="V6" s="50">
        <f t="shared" si="1"/>
        <v>5.6000000000000001E-2</v>
      </c>
    </row>
    <row r="7" spans="1:22" x14ac:dyDescent="0.25">
      <c r="A7" s="32" t="s">
        <v>13</v>
      </c>
      <c r="B7">
        <f>'21 02 2022'!K9</f>
        <v>0</v>
      </c>
      <c r="C7">
        <f>'28 02 2022 '!K9</f>
        <v>2</v>
      </c>
      <c r="D7">
        <f>'07 03 2022'!K9</f>
        <v>2</v>
      </c>
      <c r="E7">
        <f>'14 03 2022'!K9</f>
        <v>4</v>
      </c>
      <c r="F7">
        <f>'21 03 2022'!K9</f>
        <v>1</v>
      </c>
      <c r="G7">
        <f>'28 03 2022'!K9</f>
        <v>1</v>
      </c>
      <c r="H7">
        <f>'04 04 2022'!K9</f>
        <v>1</v>
      </c>
      <c r="I7">
        <f>'11 04 2022'!K9</f>
        <v>2</v>
      </c>
      <c r="J7">
        <f>'18 04 2022'!K9</f>
        <v>4</v>
      </c>
      <c r="K7">
        <f>'25 04 2023'!K9</f>
        <v>1</v>
      </c>
      <c r="L7">
        <f>'02 05 2022'!K9</f>
        <v>5</v>
      </c>
      <c r="M7">
        <f>'09 05 2022'!K9</f>
        <v>0</v>
      </c>
      <c r="N7">
        <f>'16 05 2022 '!K9</f>
        <v>1</v>
      </c>
      <c r="O7">
        <f>'23 05 2022  '!K9</f>
        <v>1</v>
      </c>
      <c r="P7">
        <f>'30 05 2022   '!K9</f>
        <v>0</v>
      </c>
      <c r="Q7">
        <f>'06 06 2022'!K9</f>
        <v>0</v>
      </c>
      <c r="R7">
        <f>'13 06 2022   '!K9</f>
        <v>0</v>
      </c>
      <c r="S7">
        <f>'20 06 2022   '!K9</f>
        <v>2</v>
      </c>
      <c r="T7">
        <f>'27 06 2022  '!K9</f>
        <v>1</v>
      </c>
      <c r="U7" s="49">
        <f t="shared" si="0"/>
        <v>28</v>
      </c>
      <c r="V7" s="50">
        <f t="shared" si="1"/>
        <v>0.112</v>
      </c>
    </row>
    <row r="8" spans="1:22" x14ac:dyDescent="0.25">
      <c r="A8" s="53" t="s">
        <v>105</v>
      </c>
      <c r="B8">
        <f>'21 02 2022'!K10</f>
        <v>0</v>
      </c>
      <c r="C8">
        <f>'28 02 2022 '!K10</f>
        <v>10</v>
      </c>
      <c r="D8">
        <f>'07 03 2022'!K10</f>
        <v>5</v>
      </c>
      <c r="E8">
        <f>'14 03 2022'!K10</f>
        <v>11</v>
      </c>
      <c r="F8">
        <f>'21 03 2022'!K10</f>
        <v>11</v>
      </c>
      <c r="G8">
        <f>'28 03 2022'!K10</f>
        <v>11</v>
      </c>
      <c r="H8">
        <f>'04 04 2022'!K10</f>
        <v>11</v>
      </c>
      <c r="I8">
        <f>'11 04 2022'!K10</f>
        <v>15</v>
      </c>
      <c r="J8">
        <f>'18 04 2022'!K10</f>
        <v>5</v>
      </c>
      <c r="K8">
        <f>'25 04 2023'!K10</f>
        <v>0</v>
      </c>
      <c r="L8">
        <f>'02 05 2022'!K10</f>
        <v>0</v>
      </c>
      <c r="M8">
        <f>'09 05 2022'!K10</f>
        <v>0</v>
      </c>
      <c r="N8">
        <f>'16 05 2022 '!K10</f>
        <v>0</v>
      </c>
      <c r="O8">
        <f>'23 05 2022  '!K10</f>
        <v>0</v>
      </c>
      <c r="P8">
        <f>'30 05 2022   '!K10</f>
        <v>0</v>
      </c>
      <c r="Q8">
        <f>'06 06 2022'!K10</f>
        <v>0</v>
      </c>
      <c r="R8">
        <f>'13 06 2022   '!K10</f>
        <v>0</v>
      </c>
      <c r="S8">
        <f>'20 06 2022   '!K10</f>
        <v>0</v>
      </c>
      <c r="T8">
        <f>'27 06 2022  '!K10</f>
        <v>0</v>
      </c>
      <c r="U8" s="49">
        <f>SUM(B8:T8)</f>
        <v>79</v>
      </c>
      <c r="V8" s="50">
        <f t="shared" si="1"/>
        <v>0.316</v>
      </c>
    </row>
    <row r="9" spans="1:22" x14ac:dyDescent="0.25">
      <c r="A9" s="4" t="s">
        <v>106</v>
      </c>
      <c r="B9">
        <f>'21 02 2022'!K11</f>
        <v>2</v>
      </c>
      <c r="C9">
        <f>'28 02 2022 '!K11</f>
        <v>1</v>
      </c>
      <c r="D9">
        <f>'07 03 2022'!K11</f>
        <v>0</v>
      </c>
      <c r="E9">
        <f>'14 03 2022'!K11</f>
        <v>1</v>
      </c>
      <c r="F9">
        <f>'21 03 2022'!K11</f>
        <v>0</v>
      </c>
      <c r="G9">
        <f>'28 03 2022'!K11</f>
        <v>0</v>
      </c>
      <c r="H9">
        <f>'04 04 2022'!K11</f>
        <v>1</v>
      </c>
      <c r="I9">
        <f>'11 04 2022'!K11</f>
        <v>0</v>
      </c>
      <c r="J9">
        <f>'18 04 2022'!K11</f>
        <v>1</v>
      </c>
      <c r="K9">
        <f>'25 04 2023'!K11</f>
        <v>13</v>
      </c>
      <c r="L9">
        <f>'02 05 2022'!K11</f>
        <v>5</v>
      </c>
      <c r="M9">
        <f>'09 05 2022'!K11</f>
        <v>0</v>
      </c>
      <c r="N9">
        <f>'16 05 2022 '!K11</f>
        <v>0</v>
      </c>
      <c r="O9">
        <f>'23 05 2022  '!K11</f>
        <v>7</v>
      </c>
      <c r="P9">
        <f>'30 05 2022   '!K11</f>
        <v>0</v>
      </c>
      <c r="Q9">
        <f>'06 06 2022'!K11</f>
        <v>0</v>
      </c>
      <c r="R9">
        <f>'13 06 2022   '!K11</f>
        <v>1</v>
      </c>
      <c r="S9">
        <f>'20 06 2022   '!K11</f>
        <v>0</v>
      </c>
      <c r="T9">
        <f>'27 06 2022  '!K11</f>
        <v>0</v>
      </c>
      <c r="U9" s="49">
        <f>SUM(B9:T9)</f>
        <v>32</v>
      </c>
      <c r="V9" s="50">
        <f t="shared" si="1"/>
        <v>0.128</v>
      </c>
    </row>
    <row r="10" spans="1:22" x14ac:dyDescent="0.25">
      <c r="A10" s="31" t="s">
        <v>19</v>
      </c>
      <c r="B10">
        <f>'21 02 2022'!K12</f>
        <v>0</v>
      </c>
      <c r="C10">
        <f>'28 02 2022 '!K12</f>
        <v>0</v>
      </c>
      <c r="D10">
        <f>'07 03 2022'!K12</f>
        <v>1</v>
      </c>
      <c r="E10">
        <f>'14 03 2022'!K12</f>
        <v>0</v>
      </c>
      <c r="F10">
        <f>'21 03 2022'!K12</f>
        <v>3</v>
      </c>
      <c r="G10">
        <f>'28 03 2022'!K12</f>
        <v>0</v>
      </c>
      <c r="H10">
        <f>'04 04 2022'!K12</f>
        <v>0</v>
      </c>
      <c r="I10">
        <f>'11 04 2022'!K12</f>
        <v>0</v>
      </c>
      <c r="J10">
        <f>'18 04 2022'!K12</f>
        <v>0</v>
      </c>
      <c r="K10">
        <f>'25 04 2023'!K12</f>
        <v>0</v>
      </c>
      <c r="L10">
        <f>'02 05 2022'!K12</f>
        <v>0</v>
      </c>
      <c r="M10">
        <f>'09 05 2022'!K12</f>
        <v>0</v>
      </c>
      <c r="N10">
        <f>'16 05 2022 '!K12</f>
        <v>0</v>
      </c>
      <c r="O10">
        <f>'23 05 2022  '!K12</f>
        <v>0</v>
      </c>
      <c r="P10">
        <f>'30 05 2022   '!K12</f>
        <v>0</v>
      </c>
      <c r="Q10">
        <f>'06 06 2022'!K12</f>
        <v>1</v>
      </c>
      <c r="R10">
        <f>'13 06 2022   '!K12</f>
        <v>0</v>
      </c>
      <c r="S10">
        <f>'20 06 2022   '!K12</f>
        <v>0</v>
      </c>
      <c r="T10">
        <f>'27 06 2022  '!K12</f>
        <v>0</v>
      </c>
      <c r="U10" s="49">
        <f>SUM(B10:T10)</f>
        <v>5</v>
      </c>
      <c r="V10" s="50">
        <f t="shared" si="1"/>
        <v>0.02</v>
      </c>
    </row>
    <row r="11" spans="1:22" x14ac:dyDescent="0.25">
      <c r="A11" s="3" t="s">
        <v>21</v>
      </c>
      <c r="B11">
        <f>'21 02 2022'!K13</f>
        <v>0</v>
      </c>
      <c r="C11">
        <f>'28 02 2022 '!K13</f>
        <v>0</v>
      </c>
      <c r="D11">
        <f>'07 03 2022'!K13</f>
        <v>0</v>
      </c>
      <c r="E11">
        <f>'14 03 2022'!K13</f>
        <v>0</v>
      </c>
      <c r="F11">
        <f>'21 03 2022'!K13</f>
        <v>0</v>
      </c>
      <c r="G11">
        <f>'28 03 2022'!K13</f>
        <v>0</v>
      </c>
      <c r="H11">
        <f>'04 04 2022'!K13</f>
        <v>0</v>
      </c>
      <c r="I11">
        <f>'11 04 2022'!K13</f>
        <v>0</v>
      </c>
      <c r="J11">
        <f>'18 04 2022'!K13</f>
        <v>6</v>
      </c>
      <c r="K11">
        <f>'25 04 2023'!K13</f>
        <v>8</v>
      </c>
      <c r="L11">
        <f>'02 05 2022'!K13</f>
        <v>2</v>
      </c>
      <c r="M11">
        <f>'09 05 2022'!K13</f>
        <v>3</v>
      </c>
      <c r="N11">
        <f>'16 05 2022 '!K13</f>
        <v>0</v>
      </c>
      <c r="O11">
        <f>'23 05 2022  '!K13</f>
        <v>0</v>
      </c>
      <c r="P11">
        <f>'30 05 2022   '!K13</f>
        <v>0</v>
      </c>
      <c r="Q11">
        <f>'06 06 2022'!K13</f>
        <v>0</v>
      </c>
      <c r="R11">
        <f>'13 06 2022   '!K13</f>
        <v>0</v>
      </c>
      <c r="S11">
        <f>'20 06 2022   '!K13</f>
        <v>0</v>
      </c>
      <c r="T11">
        <f>'27 06 2022  '!K13</f>
        <v>0</v>
      </c>
      <c r="U11" s="49">
        <f>SUM(B11:T11)</f>
        <v>19</v>
      </c>
      <c r="V11" s="50">
        <f t="shared" si="1"/>
        <v>7.5999999999999998E-2</v>
      </c>
    </row>
    <row r="12" spans="1:22" x14ac:dyDescent="0.25">
      <c r="A12" s="44" t="s">
        <v>23</v>
      </c>
      <c r="B12">
        <f>'21 02 2022'!K14</f>
        <v>2</v>
      </c>
      <c r="C12">
        <f>'28 02 2022 '!K14</f>
        <v>2</v>
      </c>
      <c r="D12">
        <f>'07 03 2022'!K14</f>
        <v>0</v>
      </c>
      <c r="E12">
        <f>'14 03 2022'!K14</f>
        <v>0</v>
      </c>
      <c r="F12">
        <f>'21 03 2022'!K14</f>
        <v>0</v>
      </c>
      <c r="G12">
        <f>'28 03 2022'!K14</f>
        <v>1</v>
      </c>
      <c r="H12">
        <f>'04 04 2022'!K14</f>
        <v>2</v>
      </c>
      <c r="I12">
        <f>'11 04 2022'!K14</f>
        <v>2</v>
      </c>
      <c r="J12">
        <f>'18 04 2022'!K14</f>
        <v>1</v>
      </c>
      <c r="K12">
        <f>'25 04 2023'!K14</f>
        <v>0</v>
      </c>
      <c r="L12">
        <f>'02 05 2022'!K14</f>
        <v>0</v>
      </c>
      <c r="M12">
        <f>'09 05 2022'!K14</f>
        <v>3</v>
      </c>
      <c r="N12">
        <f>'16 05 2022 '!K14</f>
        <v>0</v>
      </c>
      <c r="O12">
        <f>'23 05 2022  '!K14</f>
        <v>1</v>
      </c>
      <c r="P12">
        <f>'30 05 2022   '!K14</f>
        <v>0</v>
      </c>
      <c r="Q12">
        <f>'06 06 2022'!K14</f>
        <v>1</v>
      </c>
      <c r="R12">
        <f>'13 06 2022   '!K14</f>
        <v>0</v>
      </c>
      <c r="S12">
        <f>'20 06 2022   '!K14</f>
        <v>2</v>
      </c>
      <c r="T12">
        <f>'27 06 2022  '!K14</f>
        <v>2</v>
      </c>
      <c r="U12" s="49">
        <f>SUM(B12:T12)</f>
        <v>19</v>
      </c>
      <c r="V12" s="50">
        <f t="shared" si="1"/>
        <v>7.5999999999999998E-2</v>
      </c>
    </row>
    <row r="13" spans="1:22" x14ac:dyDescent="0.25">
      <c r="A13" s="45" t="s">
        <v>25</v>
      </c>
      <c r="B13" s="45">
        <f t="shared" ref="B13:U13" si="2">SUM(B3:B12)</f>
        <v>6</v>
      </c>
      <c r="C13" s="45">
        <f t="shared" si="2"/>
        <v>17</v>
      </c>
      <c r="D13" s="45">
        <f t="shared" si="2"/>
        <v>10</v>
      </c>
      <c r="E13" s="45">
        <f t="shared" si="2"/>
        <v>20</v>
      </c>
      <c r="F13" s="45">
        <f t="shared" si="2"/>
        <v>15</v>
      </c>
      <c r="G13" s="45">
        <f t="shared" si="2"/>
        <v>14</v>
      </c>
      <c r="H13" s="45">
        <f t="shared" si="2"/>
        <v>17</v>
      </c>
      <c r="I13" s="45">
        <f t="shared" si="2"/>
        <v>23</v>
      </c>
      <c r="J13" s="45">
        <f t="shared" si="2"/>
        <v>25</v>
      </c>
      <c r="K13" s="45">
        <f t="shared" si="2"/>
        <v>28</v>
      </c>
      <c r="L13" s="45">
        <f t="shared" si="2"/>
        <v>16</v>
      </c>
      <c r="M13" s="45">
        <f t="shared" si="2"/>
        <v>7</v>
      </c>
      <c r="N13" s="45">
        <f t="shared" si="2"/>
        <v>7</v>
      </c>
      <c r="O13" s="45">
        <f t="shared" si="2"/>
        <v>20</v>
      </c>
      <c r="P13" s="45">
        <f t="shared" si="2"/>
        <v>5</v>
      </c>
      <c r="Q13" s="45">
        <f t="shared" si="2"/>
        <v>2</v>
      </c>
      <c r="R13" s="45">
        <f t="shared" si="2"/>
        <v>4</v>
      </c>
      <c r="S13" s="45">
        <f t="shared" si="2"/>
        <v>8</v>
      </c>
      <c r="T13" s="45">
        <f t="shared" si="2"/>
        <v>6</v>
      </c>
      <c r="U13" s="45">
        <f t="shared" si="2"/>
        <v>250</v>
      </c>
    </row>
    <row r="15" spans="1:22" x14ac:dyDescent="0.25">
      <c r="M15" s="52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21 02 2022</vt:lpstr>
      <vt:lpstr>28 02 2022 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25 04 2023</vt:lpstr>
      <vt:lpstr>02 05 2022</vt:lpstr>
      <vt:lpstr>09 05 2022</vt:lpstr>
      <vt:lpstr>16 05 2022 </vt:lpstr>
      <vt:lpstr>23 05 2022  </vt:lpstr>
      <vt:lpstr>30 05 2022   </vt:lpstr>
      <vt:lpstr>06 06 2022</vt:lpstr>
      <vt:lpstr>13 06 2022   </vt:lpstr>
      <vt:lpstr>20 06 2022   </vt:lpstr>
      <vt:lpstr>27 06 2022  </vt:lpstr>
      <vt:lpstr>Acumulado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Leonardo Santos</cp:lastModifiedBy>
  <cp:revision/>
  <dcterms:created xsi:type="dcterms:W3CDTF">2022-02-17T20:52:24Z</dcterms:created>
  <dcterms:modified xsi:type="dcterms:W3CDTF">2022-07-06T20:13:51Z</dcterms:modified>
  <cp:category/>
  <cp:contentStatus/>
</cp:coreProperties>
</file>